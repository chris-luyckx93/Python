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:\Travel and Leisure\Restaurants\Data\Industry data\Technomic\"/>
    </mc:Choice>
  </mc:AlternateContent>
  <xr:revisionPtr revIDLastSave="0" documentId="13_ncr:1_{DEA00944-FA8F-4E81-8F19-224B15D18005}" xr6:coauthVersionLast="47" xr6:coauthVersionMax="47" xr10:uidLastSave="{00000000-0000-0000-0000-000000000000}"/>
  <bookViews>
    <workbookView xWindow="-28920" yWindow="-120" windowWidth="29040" windowHeight="15720" xr2:uid="{DB85852A-8753-4172-9CFF-42E953DB5817}"/>
  </bookViews>
  <sheets>
    <sheet name="Technomic Top 500 Chains" sheetId="1" r:id="rId1"/>
  </sheets>
  <externalReferences>
    <externalReference r:id="rId2"/>
  </externalReferences>
  <definedNames>
    <definedName name="_bdm.FastTrackBookmark.2_10_2025_2_08_21_PM.edm" hidden="1">'[1]Top 500 Chains segmentation'!#REF!</definedName>
    <definedName name="_xlnm._FilterDatabase" localSheetId="0" hidden="1">'Technomic Top 500 Chains'!$A$1:$AP$501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3" i="1" l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14" i="1"/>
  <c r="AA215" i="1"/>
  <c r="AA216" i="1"/>
  <c r="AA217" i="1"/>
  <c r="AA218" i="1"/>
  <c r="AA219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A232" i="1"/>
  <c r="AA233" i="1"/>
  <c r="AA234" i="1"/>
  <c r="AA235" i="1"/>
  <c r="AA236" i="1"/>
  <c r="AA237" i="1"/>
  <c r="AA238" i="1"/>
  <c r="AA239" i="1"/>
  <c r="AA240" i="1"/>
  <c r="AA241" i="1"/>
  <c r="AA242" i="1"/>
  <c r="AA243" i="1"/>
  <c r="AA244" i="1"/>
  <c r="AA245" i="1"/>
  <c r="AA246" i="1"/>
  <c r="AA247" i="1"/>
  <c r="AA248" i="1"/>
  <c r="AA249" i="1"/>
  <c r="AA250" i="1"/>
  <c r="AA251" i="1"/>
  <c r="AA252" i="1"/>
  <c r="AA253" i="1"/>
  <c r="AA254" i="1"/>
  <c r="AA255" i="1"/>
  <c r="AA256" i="1"/>
  <c r="AA257" i="1"/>
  <c r="AA258" i="1"/>
  <c r="AA259" i="1"/>
  <c r="AA260" i="1"/>
  <c r="AA261" i="1"/>
  <c r="AA262" i="1"/>
  <c r="AA263" i="1"/>
  <c r="AA264" i="1"/>
  <c r="AA265" i="1"/>
  <c r="AA266" i="1"/>
  <c r="AA267" i="1"/>
  <c r="AA268" i="1"/>
  <c r="AA269" i="1"/>
  <c r="AA270" i="1"/>
  <c r="AA271" i="1"/>
  <c r="AA272" i="1"/>
  <c r="AA273" i="1"/>
  <c r="AA274" i="1"/>
  <c r="AA275" i="1"/>
  <c r="AA276" i="1"/>
  <c r="AA277" i="1"/>
  <c r="AA278" i="1"/>
  <c r="AA279" i="1"/>
  <c r="AA280" i="1"/>
  <c r="AA281" i="1"/>
  <c r="AA282" i="1"/>
  <c r="AA283" i="1"/>
  <c r="AA284" i="1"/>
  <c r="AA285" i="1"/>
  <c r="AA286" i="1"/>
  <c r="AA287" i="1"/>
  <c r="AA288" i="1"/>
  <c r="AA289" i="1"/>
  <c r="AA290" i="1"/>
  <c r="AA291" i="1"/>
  <c r="AA292" i="1"/>
  <c r="AA293" i="1"/>
  <c r="AA294" i="1"/>
  <c r="AA295" i="1"/>
  <c r="AA296" i="1"/>
  <c r="AA297" i="1"/>
  <c r="AA298" i="1"/>
  <c r="AA299" i="1"/>
  <c r="AA300" i="1"/>
  <c r="AA301" i="1"/>
  <c r="AA302" i="1"/>
  <c r="AA303" i="1"/>
  <c r="AA304" i="1"/>
  <c r="AA305" i="1"/>
  <c r="AA306" i="1"/>
  <c r="AA307" i="1"/>
  <c r="AA308" i="1"/>
  <c r="AA309" i="1"/>
  <c r="AA310" i="1"/>
  <c r="AA311" i="1"/>
  <c r="AA312" i="1"/>
  <c r="AA313" i="1"/>
  <c r="AA314" i="1"/>
  <c r="AA315" i="1"/>
  <c r="AA316" i="1"/>
  <c r="AA317" i="1"/>
  <c r="AA318" i="1"/>
  <c r="AA319" i="1"/>
  <c r="AA320" i="1"/>
  <c r="AA321" i="1"/>
  <c r="AA322" i="1"/>
  <c r="AA323" i="1"/>
  <c r="AA324" i="1"/>
  <c r="AA325" i="1"/>
  <c r="AA326" i="1"/>
  <c r="AA327" i="1"/>
  <c r="AA328" i="1"/>
  <c r="AA329" i="1"/>
  <c r="AA330" i="1"/>
  <c r="AA331" i="1"/>
  <c r="AA332" i="1"/>
  <c r="AA333" i="1"/>
  <c r="AA334" i="1"/>
  <c r="AA335" i="1"/>
  <c r="AA336" i="1"/>
  <c r="AA337" i="1"/>
  <c r="AA338" i="1"/>
  <c r="AA339" i="1"/>
  <c r="AA340" i="1"/>
  <c r="AA341" i="1"/>
  <c r="AA342" i="1"/>
  <c r="AA343" i="1"/>
  <c r="AA344" i="1"/>
  <c r="AA345" i="1"/>
  <c r="AA346" i="1"/>
  <c r="AA347" i="1"/>
  <c r="AA348" i="1"/>
  <c r="AA349" i="1"/>
  <c r="AA350" i="1"/>
  <c r="AA351" i="1"/>
  <c r="AA352" i="1"/>
  <c r="AA353" i="1"/>
  <c r="AA354" i="1"/>
  <c r="AA355" i="1"/>
  <c r="AA356" i="1"/>
  <c r="AA357" i="1"/>
  <c r="AA358" i="1"/>
  <c r="AA359" i="1"/>
  <c r="AA360" i="1"/>
  <c r="AA361" i="1"/>
  <c r="AA362" i="1"/>
  <c r="AA363" i="1"/>
  <c r="AA364" i="1"/>
  <c r="AA365" i="1"/>
  <c r="AA366" i="1"/>
  <c r="AA367" i="1"/>
  <c r="AA368" i="1"/>
  <c r="AA369" i="1"/>
  <c r="AA370" i="1"/>
  <c r="AA371" i="1"/>
  <c r="AA372" i="1"/>
  <c r="AA373" i="1"/>
  <c r="AA374" i="1"/>
  <c r="AA375" i="1"/>
  <c r="AA376" i="1"/>
  <c r="AA377" i="1"/>
  <c r="AA378" i="1"/>
  <c r="AA379" i="1"/>
  <c r="AA380" i="1"/>
  <c r="AA381" i="1"/>
  <c r="AA382" i="1"/>
  <c r="AA383" i="1"/>
  <c r="AA384" i="1"/>
  <c r="AA385" i="1"/>
  <c r="AA386" i="1"/>
  <c r="AA387" i="1"/>
  <c r="AA388" i="1"/>
  <c r="AA389" i="1"/>
  <c r="AA390" i="1"/>
  <c r="AA391" i="1"/>
  <c r="AA392" i="1"/>
  <c r="AA393" i="1"/>
  <c r="AA394" i="1"/>
  <c r="AA395" i="1"/>
  <c r="AA396" i="1"/>
  <c r="AA397" i="1"/>
  <c r="AA398" i="1"/>
  <c r="AA399" i="1"/>
  <c r="AA400" i="1"/>
  <c r="AA401" i="1"/>
  <c r="AA402" i="1"/>
  <c r="AA403" i="1"/>
  <c r="AA404" i="1"/>
  <c r="AA405" i="1"/>
  <c r="AA406" i="1"/>
  <c r="AA407" i="1"/>
  <c r="AA408" i="1"/>
  <c r="AA409" i="1"/>
  <c r="AA410" i="1"/>
  <c r="AA411" i="1"/>
  <c r="AA412" i="1"/>
  <c r="AA413" i="1"/>
  <c r="AA414" i="1"/>
  <c r="AA415" i="1"/>
  <c r="AA416" i="1"/>
  <c r="AA417" i="1"/>
  <c r="AA418" i="1"/>
  <c r="AA419" i="1"/>
  <c r="AA420" i="1"/>
  <c r="AA421" i="1"/>
  <c r="AA422" i="1"/>
  <c r="AA423" i="1"/>
  <c r="AA424" i="1"/>
  <c r="AA425" i="1"/>
  <c r="AA426" i="1"/>
  <c r="AA427" i="1"/>
  <c r="AA428" i="1"/>
  <c r="AA429" i="1"/>
  <c r="AA430" i="1"/>
  <c r="AA431" i="1"/>
  <c r="AA432" i="1"/>
  <c r="AA433" i="1"/>
  <c r="AA434" i="1"/>
  <c r="AA435" i="1"/>
  <c r="AA436" i="1"/>
  <c r="AA437" i="1"/>
  <c r="AA438" i="1"/>
  <c r="AA439" i="1"/>
  <c r="AA440" i="1"/>
  <c r="AA441" i="1"/>
  <c r="AA442" i="1"/>
  <c r="AA443" i="1"/>
  <c r="AA444" i="1"/>
  <c r="AA445" i="1"/>
  <c r="AA446" i="1"/>
  <c r="AA447" i="1"/>
  <c r="AA448" i="1"/>
  <c r="AA449" i="1"/>
  <c r="AA450" i="1"/>
  <c r="AA451" i="1"/>
  <c r="AA452" i="1"/>
  <c r="AA453" i="1"/>
  <c r="AA454" i="1"/>
  <c r="AA455" i="1"/>
  <c r="AA456" i="1"/>
  <c r="AA457" i="1"/>
  <c r="AA458" i="1"/>
  <c r="AA459" i="1"/>
  <c r="AA460" i="1"/>
  <c r="AA461" i="1"/>
  <c r="AA462" i="1"/>
  <c r="AA463" i="1"/>
  <c r="AA464" i="1"/>
  <c r="AA465" i="1"/>
  <c r="AA466" i="1"/>
  <c r="AA467" i="1"/>
  <c r="AA468" i="1"/>
  <c r="AA469" i="1"/>
  <c r="AA470" i="1"/>
  <c r="AA471" i="1"/>
  <c r="AA472" i="1"/>
  <c r="AA473" i="1"/>
  <c r="AA474" i="1"/>
  <c r="AA475" i="1"/>
  <c r="AA476" i="1"/>
  <c r="AA477" i="1"/>
  <c r="AA478" i="1"/>
  <c r="AA479" i="1"/>
  <c r="AA480" i="1"/>
  <c r="AA481" i="1"/>
  <c r="AA482" i="1"/>
  <c r="AA483" i="1"/>
  <c r="AA484" i="1"/>
  <c r="AA485" i="1"/>
  <c r="AA486" i="1"/>
  <c r="AA487" i="1"/>
  <c r="AA488" i="1"/>
  <c r="AA489" i="1"/>
  <c r="AA490" i="1"/>
  <c r="AA491" i="1"/>
  <c r="AA492" i="1"/>
  <c r="AA493" i="1"/>
  <c r="AA494" i="1"/>
  <c r="AA495" i="1"/>
  <c r="AA496" i="1"/>
  <c r="AA497" i="1"/>
  <c r="AA498" i="1"/>
  <c r="AA499" i="1"/>
  <c r="AA500" i="1"/>
  <c r="AA501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AQ501" i="1"/>
  <c r="AO501" i="1"/>
  <c r="AM501" i="1"/>
  <c r="AK501" i="1"/>
  <c r="AI501" i="1"/>
  <c r="AG501" i="1"/>
  <c r="AE501" i="1"/>
  <c r="AC501" i="1"/>
  <c r="V501" i="1"/>
  <c r="R501" i="1"/>
  <c r="S501" i="1" s="1"/>
  <c r="P501" i="1"/>
  <c r="O501" i="1"/>
  <c r="M501" i="1"/>
  <c r="K501" i="1"/>
  <c r="J501" i="1"/>
  <c r="H501" i="1"/>
  <c r="AQ500" i="1"/>
  <c r="AO500" i="1"/>
  <c r="AM500" i="1"/>
  <c r="AK500" i="1"/>
  <c r="AI500" i="1"/>
  <c r="AG500" i="1"/>
  <c r="AE500" i="1"/>
  <c r="AC500" i="1"/>
  <c r="V500" i="1"/>
  <c r="R500" i="1"/>
  <c r="S500" i="1" s="1"/>
  <c r="P500" i="1"/>
  <c r="O500" i="1"/>
  <c r="M500" i="1"/>
  <c r="K500" i="1"/>
  <c r="J500" i="1"/>
  <c r="H500" i="1"/>
  <c r="AQ499" i="1"/>
  <c r="AO499" i="1"/>
  <c r="AM499" i="1"/>
  <c r="AK499" i="1"/>
  <c r="AI499" i="1"/>
  <c r="AG499" i="1"/>
  <c r="AE499" i="1"/>
  <c r="AC499" i="1"/>
  <c r="V499" i="1"/>
  <c r="R499" i="1"/>
  <c r="P499" i="1"/>
  <c r="O499" i="1"/>
  <c r="M499" i="1"/>
  <c r="K499" i="1"/>
  <c r="J499" i="1"/>
  <c r="H499" i="1"/>
  <c r="AQ498" i="1"/>
  <c r="AO498" i="1"/>
  <c r="AM498" i="1"/>
  <c r="AK498" i="1"/>
  <c r="AI498" i="1"/>
  <c r="AG498" i="1"/>
  <c r="AE498" i="1"/>
  <c r="AC498" i="1"/>
  <c r="V498" i="1"/>
  <c r="R498" i="1"/>
  <c r="S498" i="1" s="1"/>
  <c r="P498" i="1"/>
  <c r="O498" i="1"/>
  <c r="M498" i="1"/>
  <c r="K498" i="1"/>
  <c r="J498" i="1"/>
  <c r="H498" i="1"/>
  <c r="AQ497" i="1"/>
  <c r="AO497" i="1"/>
  <c r="AM497" i="1"/>
  <c r="AK497" i="1"/>
  <c r="AI497" i="1"/>
  <c r="AG497" i="1"/>
  <c r="AE497" i="1"/>
  <c r="AC497" i="1"/>
  <c r="V497" i="1"/>
  <c r="R497" i="1"/>
  <c r="P497" i="1"/>
  <c r="O497" i="1"/>
  <c r="M497" i="1"/>
  <c r="K497" i="1"/>
  <c r="J497" i="1"/>
  <c r="H497" i="1"/>
  <c r="AQ496" i="1"/>
  <c r="AO496" i="1"/>
  <c r="AM496" i="1"/>
  <c r="AK496" i="1"/>
  <c r="AI496" i="1"/>
  <c r="AG496" i="1"/>
  <c r="AE496" i="1"/>
  <c r="AC496" i="1"/>
  <c r="V496" i="1"/>
  <c r="R496" i="1"/>
  <c r="S496" i="1" s="1"/>
  <c r="P496" i="1"/>
  <c r="O496" i="1"/>
  <c r="M496" i="1"/>
  <c r="K496" i="1"/>
  <c r="J496" i="1"/>
  <c r="H496" i="1"/>
  <c r="AQ495" i="1"/>
  <c r="AO495" i="1"/>
  <c r="AM495" i="1"/>
  <c r="AK495" i="1"/>
  <c r="AI495" i="1"/>
  <c r="AG495" i="1"/>
  <c r="AE495" i="1"/>
  <c r="AC495" i="1"/>
  <c r="V495" i="1"/>
  <c r="R495" i="1"/>
  <c r="S495" i="1" s="1"/>
  <c r="P495" i="1"/>
  <c r="O495" i="1"/>
  <c r="M495" i="1"/>
  <c r="K495" i="1"/>
  <c r="J495" i="1"/>
  <c r="H495" i="1"/>
  <c r="AQ494" i="1"/>
  <c r="AO494" i="1"/>
  <c r="AM494" i="1"/>
  <c r="AK494" i="1"/>
  <c r="AI494" i="1"/>
  <c r="AG494" i="1"/>
  <c r="AE494" i="1"/>
  <c r="AC494" i="1"/>
  <c r="V494" i="1"/>
  <c r="R494" i="1"/>
  <c r="P494" i="1"/>
  <c r="O494" i="1"/>
  <c r="M494" i="1"/>
  <c r="K494" i="1"/>
  <c r="J494" i="1"/>
  <c r="H494" i="1"/>
  <c r="AQ493" i="1"/>
  <c r="AO493" i="1"/>
  <c r="AM493" i="1"/>
  <c r="AK493" i="1"/>
  <c r="AI493" i="1"/>
  <c r="AG493" i="1"/>
  <c r="AE493" i="1"/>
  <c r="AC493" i="1"/>
  <c r="V493" i="1"/>
  <c r="R493" i="1"/>
  <c r="S493" i="1" s="1"/>
  <c r="P493" i="1"/>
  <c r="O493" i="1"/>
  <c r="M493" i="1"/>
  <c r="K493" i="1"/>
  <c r="J493" i="1"/>
  <c r="H493" i="1"/>
  <c r="AQ492" i="1"/>
  <c r="AO492" i="1"/>
  <c r="AM492" i="1"/>
  <c r="AK492" i="1"/>
  <c r="AI492" i="1"/>
  <c r="AG492" i="1"/>
  <c r="AE492" i="1"/>
  <c r="AC492" i="1"/>
  <c r="V492" i="1"/>
  <c r="R492" i="1"/>
  <c r="S492" i="1" s="1"/>
  <c r="P492" i="1"/>
  <c r="O492" i="1"/>
  <c r="M492" i="1"/>
  <c r="K492" i="1"/>
  <c r="J492" i="1"/>
  <c r="H492" i="1"/>
  <c r="AQ491" i="1"/>
  <c r="AO491" i="1"/>
  <c r="AM491" i="1"/>
  <c r="AK491" i="1"/>
  <c r="AI491" i="1"/>
  <c r="AG491" i="1"/>
  <c r="AE491" i="1"/>
  <c r="AC491" i="1"/>
  <c r="V491" i="1"/>
  <c r="R491" i="1"/>
  <c r="P491" i="1"/>
  <c r="O491" i="1"/>
  <c r="M491" i="1"/>
  <c r="K491" i="1"/>
  <c r="J491" i="1"/>
  <c r="H491" i="1"/>
  <c r="AQ490" i="1"/>
  <c r="AO490" i="1"/>
  <c r="AM490" i="1"/>
  <c r="AK490" i="1"/>
  <c r="AI490" i="1"/>
  <c r="AG490" i="1"/>
  <c r="AE490" i="1"/>
  <c r="AC490" i="1"/>
  <c r="V490" i="1"/>
  <c r="R490" i="1"/>
  <c r="S490" i="1" s="1"/>
  <c r="P490" i="1"/>
  <c r="O490" i="1"/>
  <c r="M490" i="1"/>
  <c r="K490" i="1"/>
  <c r="J490" i="1"/>
  <c r="H490" i="1"/>
  <c r="AQ489" i="1"/>
  <c r="AO489" i="1"/>
  <c r="AM489" i="1"/>
  <c r="AK489" i="1"/>
  <c r="AI489" i="1"/>
  <c r="AG489" i="1"/>
  <c r="AE489" i="1"/>
  <c r="AC489" i="1"/>
  <c r="V489" i="1"/>
  <c r="R489" i="1"/>
  <c r="P489" i="1"/>
  <c r="O489" i="1"/>
  <c r="M489" i="1"/>
  <c r="K489" i="1"/>
  <c r="J489" i="1"/>
  <c r="H489" i="1"/>
  <c r="AQ488" i="1"/>
  <c r="AO488" i="1"/>
  <c r="AM488" i="1"/>
  <c r="AK488" i="1"/>
  <c r="AI488" i="1"/>
  <c r="AG488" i="1"/>
  <c r="AE488" i="1"/>
  <c r="AC488" i="1"/>
  <c r="V488" i="1"/>
  <c r="R488" i="1"/>
  <c r="S488" i="1" s="1"/>
  <c r="P488" i="1"/>
  <c r="O488" i="1"/>
  <c r="M488" i="1"/>
  <c r="K488" i="1"/>
  <c r="J488" i="1"/>
  <c r="H488" i="1"/>
  <c r="AQ487" i="1"/>
  <c r="AO487" i="1"/>
  <c r="AM487" i="1"/>
  <c r="AK487" i="1"/>
  <c r="AI487" i="1"/>
  <c r="AG487" i="1"/>
  <c r="AE487" i="1"/>
  <c r="AC487" i="1"/>
  <c r="V487" i="1"/>
  <c r="R487" i="1"/>
  <c r="S487" i="1" s="1"/>
  <c r="P487" i="1"/>
  <c r="O487" i="1"/>
  <c r="M487" i="1"/>
  <c r="K487" i="1"/>
  <c r="J487" i="1"/>
  <c r="H487" i="1"/>
  <c r="AQ486" i="1"/>
  <c r="AO486" i="1"/>
  <c r="AM486" i="1"/>
  <c r="AK486" i="1"/>
  <c r="AI486" i="1"/>
  <c r="AG486" i="1"/>
  <c r="AE486" i="1"/>
  <c r="AC486" i="1"/>
  <c r="V486" i="1"/>
  <c r="R486" i="1"/>
  <c r="P486" i="1"/>
  <c r="O486" i="1"/>
  <c r="M486" i="1"/>
  <c r="K486" i="1"/>
  <c r="J486" i="1"/>
  <c r="H486" i="1"/>
  <c r="AQ485" i="1"/>
  <c r="AO485" i="1"/>
  <c r="AM485" i="1"/>
  <c r="AK485" i="1"/>
  <c r="AI485" i="1"/>
  <c r="AG485" i="1"/>
  <c r="AE485" i="1"/>
  <c r="AC485" i="1"/>
  <c r="V485" i="1"/>
  <c r="R485" i="1"/>
  <c r="S485" i="1" s="1"/>
  <c r="P485" i="1"/>
  <c r="O485" i="1"/>
  <c r="M485" i="1"/>
  <c r="K485" i="1"/>
  <c r="J485" i="1"/>
  <c r="H485" i="1"/>
  <c r="AQ484" i="1"/>
  <c r="AO484" i="1"/>
  <c r="AM484" i="1"/>
  <c r="AK484" i="1"/>
  <c r="AI484" i="1"/>
  <c r="AG484" i="1"/>
  <c r="AE484" i="1"/>
  <c r="AC484" i="1"/>
  <c r="V484" i="1"/>
  <c r="R484" i="1"/>
  <c r="S484" i="1" s="1"/>
  <c r="P484" i="1"/>
  <c r="O484" i="1"/>
  <c r="M484" i="1"/>
  <c r="K484" i="1"/>
  <c r="J484" i="1"/>
  <c r="H484" i="1"/>
  <c r="AQ483" i="1"/>
  <c r="AO483" i="1"/>
  <c r="AM483" i="1"/>
  <c r="AK483" i="1"/>
  <c r="AI483" i="1"/>
  <c r="AG483" i="1"/>
  <c r="AE483" i="1"/>
  <c r="AC483" i="1"/>
  <c r="V483" i="1"/>
  <c r="R483" i="1"/>
  <c r="P483" i="1"/>
  <c r="O483" i="1"/>
  <c r="M483" i="1"/>
  <c r="K483" i="1"/>
  <c r="J483" i="1"/>
  <c r="H483" i="1"/>
  <c r="AQ482" i="1"/>
  <c r="AO482" i="1"/>
  <c r="AM482" i="1"/>
  <c r="AK482" i="1"/>
  <c r="AI482" i="1"/>
  <c r="AG482" i="1"/>
  <c r="AE482" i="1"/>
  <c r="AC482" i="1"/>
  <c r="V482" i="1"/>
  <c r="R482" i="1"/>
  <c r="S482" i="1" s="1"/>
  <c r="P482" i="1"/>
  <c r="O482" i="1"/>
  <c r="M482" i="1"/>
  <c r="K482" i="1"/>
  <c r="J482" i="1"/>
  <c r="H482" i="1"/>
  <c r="AQ481" i="1"/>
  <c r="AO481" i="1"/>
  <c r="AM481" i="1"/>
  <c r="AK481" i="1"/>
  <c r="AI481" i="1"/>
  <c r="AG481" i="1"/>
  <c r="AE481" i="1"/>
  <c r="AC481" i="1"/>
  <c r="V481" i="1"/>
  <c r="R481" i="1"/>
  <c r="P481" i="1"/>
  <c r="O481" i="1"/>
  <c r="M481" i="1"/>
  <c r="K481" i="1"/>
  <c r="J481" i="1"/>
  <c r="H481" i="1"/>
  <c r="AQ480" i="1"/>
  <c r="AO480" i="1"/>
  <c r="AM480" i="1"/>
  <c r="AK480" i="1"/>
  <c r="AI480" i="1"/>
  <c r="AG480" i="1"/>
  <c r="AE480" i="1"/>
  <c r="AC480" i="1"/>
  <c r="V480" i="1"/>
  <c r="R480" i="1"/>
  <c r="S480" i="1" s="1"/>
  <c r="P480" i="1"/>
  <c r="O480" i="1"/>
  <c r="M480" i="1"/>
  <c r="K480" i="1"/>
  <c r="J480" i="1"/>
  <c r="H480" i="1"/>
  <c r="AQ479" i="1"/>
  <c r="AO479" i="1"/>
  <c r="AM479" i="1"/>
  <c r="AK479" i="1"/>
  <c r="AI479" i="1"/>
  <c r="AG479" i="1"/>
  <c r="AE479" i="1"/>
  <c r="AC479" i="1"/>
  <c r="V479" i="1"/>
  <c r="R479" i="1"/>
  <c r="S479" i="1" s="1"/>
  <c r="P479" i="1"/>
  <c r="O479" i="1"/>
  <c r="M479" i="1"/>
  <c r="K479" i="1"/>
  <c r="J479" i="1"/>
  <c r="H479" i="1"/>
  <c r="AQ478" i="1"/>
  <c r="AO478" i="1"/>
  <c r="AM478" i="1"/>
  <c r="AK478" i="1"/>
  <c r="AI478" i="1"/>
  <c r="AG478" i="1"/>
  <c r="AE478" i="1"/>
  <c r="AC478" i="1"/>
  <c r="V478" i="1"/>
  <c r="R478" i="1"/>
  <c r="P478" i="1"/>
  <c r="O478" i="1"/>
  <c r="M478" i="1"/>
  <c r="K478" i="1"/>
  <c r="J478" i="1"/>
  <c r="H478" i="1"/>
  <c r="AQ477" i="1"/>
  <c r="AO477" i="1"/>
  <c r="AM477" i="1"/>
  <c r="AK477" i="1"/>
  <c r="AI477" i="1"/>
  <c r="AG477" i="1"/>
  <c r="AE477" i="1"/>
  <c r="AC477" i="1"/>
  <c r="V477" i="1"/>
  <c r="R477" i="1"/>
  <c r="S477" i="1" s="1"/>
  <c r="P477" i="1"/>
  <c r="O477" i="1"/>
  <c r="M477" i="1"/>
  <c r="K477" i="1"/>
  <c r="J477" i="1"/>
  <c r="H477" i="1"/>
  <c r="AQ476" i="1"/>
  <c r="AO476" i="1"/>
  <c r="AM476" i="1"/>
  <c r="AK476" i="1"/>
  <c r="AI476" i="1"/>
  <c r="AG476" i="1"/>
  <c r="AE476" i="1"/>
  <c r="AC476" i="1"/>
  <c r="V476" i="1"/>
  <c r="R476" i="1"/>
  <c r="S476" i="1" s="1"/>
  <c r="P476" i="1"/>
  <c r="O476" i="1"/>
  <c r="M476" i="1"/>
  <c r="K476" i="1"/>
  <c r="J476" i="1"/>
  <c r="H476" i="1"/>
  <c r="AQ475" i="1"/>
  <c r="AO475" i="1"/>
  <c r="AM475" i="1"/>
  <c r="AK475" i="1"/>
  <c r="AI475" i="1"/>
  <c r="AG475" i="1"/>
  <c r="AE475" i="1"/>
  <c r="AC475" i="1"/>
  <c r="V475" i="1"/>
  <c r="R475" i="1"/>
  <c r="P475" i="1"/>
  <c r="O475" i="1"/>
  <c r="M475" i="1"/>
  <c r="K475" i="1"/>
  <c r="J475" i="1"/>
  <c r="H475" i="1"/>
  <c r="AQ474" i="1"/>
  <c r="AO474" i="1"/>
  <c r="AM474" i="1"/>
  <c r="AK474" i="1"/>
  <c r="AI474" i="1"/>
  <c r="AG474" i="1"/>
  <c r="AE474" i="1"/>
  <c r="AC474" i="1"/>
  <c r="V474" i="1"/>
  <c r="R474" i="1"/>
  <c r="S474" i="1" s="1"/>
  <c r="P474" i="1"/>
  <c r="O474" i="1"/>
  <c r="M474" i="1"/>
  <c r="K474" i="1"/>
  <c r="J474" i="1"/>
  <c r="H474" i="1"/>
  <c r="AQ473" i="1"/>
  <c r="AO473" i="1"/>
  <c r="AM473" i="1"/>
  <c r="AK473" i="1"/>
  <c r="AI473" i="1"/>
  <c r="AG473" i="1"/>
  <c r="AE473" i="1"/>
  <c r="AC473" i="1"/>
  <c r="V473" i="1"/>
  <c r="R473" i="1"/>
  <c r="P473" i="1"/>
  <c r="O473" i="1"/>
  <c r="M473" i="1"/>
  <c r="K473" i="1"/>
  <c r="J473" i="1"/>
  <c r="H473" i="1"/>
  <c r="AQ472" i="1"/>
  <c r="AO472" i="1"/>
  <c r="AM472" i="1"/>
  <c r="AK472" i="1"/>
  <c r="AI472" i="1"/>
  <c r="AG472" i="1"/>
  <c r="AE472" i="1"/>
  <c r="AC472" i="1"/>
  <c r="V472" i="1"/>
  <c r="R472" i="1"/>
  <c r="S472" i="1" s="1"/>
  <c r="P472" i="1"/>
  <c r="O472" i="1"/>
  <c r="M472" i="1"/>
  <c r="K472" i="1"/>
  <c r="J472" i="1"/>
  <c r="H472" i="1"/>
  <c r="AQ471" i="1"/>
  <c r="AO471" i="1"/>
  <c r="AM471" i="1"/>
  <c r="AK471" i="1"/>
  <c r="AI471" i="1"/>
  <c r="AG471" i="1"/>
  <c r="AE471" i="1"/>
  <c r="AC471" i="1"/>
  <c r="V471" i="1"/>
  <c r="R471" i="1"/>
  <c r="S471" i="1" s="1"/>
  <c r="P471" i="1"/>
  <c r="O471" i="1"/>
  <c r="M471" i="1"/>
  <c r="K471" i="1"/>
  <c r="J471" i="1"/>
  <c r="H471" i="1"/>
  <c r="AQ470" i="1"/>
  <c r="AO470" i="1"/>
  <c r="AM470" i="1"/>
  <c r="AK470" i="1"/>
  <c r="AI470" i="1"/>
  <c r="AG470" i="1"/>
  <c r="AE470" i="1"/>
  <c r="AC470" i="1"/>
  <c r="V470" i="1"/>
  <c r="R470" i="1"/>
  <c r="P470" i="1"/>
  <c r="O470" i="1"/>
  <c r="M470" i="1"/>
  <c r="K470" i="1"/>
  <c r="J470" i="1"/>
  <c r="H470" i="1"/>
  <c r="AQ469" i="1"/>
  <c r="AO469" i="1"/>
  <c r="AM469" i="1"/>
  <c r="AK469" i="1"/>
  <c r="AI469" i="1"/>
  <c r="AG469" i="1"/>
  <c r="AE469" i="1"/>
  <c r="AC469" i="1"/>
  <c r="V469" i="1"/>
  <c r="R469" i="1"/>
  <c r="S469" i="1" s="1"/>
  <c r="P469" i="1"/>
  <c r="O469" i="1"/>
  <c r="M469" i="1"/>
  <c r="K469" i="1"/>
  <c r="J469" i="1"/>
  <c r="H469" i="1"/>
  <c r="AQ468" i="1"/>
  <c r="AO468" i="1"/>
  <c r="AM468" i="1"/>
  <c r="AK468" i="1"/>
  <c r="AI468" i="1"/>
  <c r="AG468" i="1"/>
  <c r="AE468" i="1"/>
  <c r="AC468" i="1"/>
  <c r="V468" i="1"/>
  <c r="R468" i="1"/>
  <c r="S468" i="1" s="1"/>
  <c r="P468" i="1"/>
  <c r="O468" i="1"/>
  <c r="M468" i="1"/>
  <c r="K468" i="1"/>
  <c r="J468" i="1"/>
  <c r="H468" i="1"/>
  <c r="AQ467" i="1"/>
  <c r="AO467" i="1"/>
  <c r="AM467" i="1"/>
  <c r="AK467" i="1"/>
  <c r="AI467" i="1"/>
  <c r="AG467" i="1"/>
  <c r="AE467" i="1"/>
  <c r="AC467" i="1"/>
  <c r="V467" i="1"/>
  <c r="R467" i="1"/>
  <c r="P467" i="1"/>
  <c r="O467" i="1"/>
  <c r="M467" i="1"/>
  <c r="K467" i="1"/>
  <c r="J467" i="1"/>
  <c r="H467" i="1"/>
  <c r="AQ466" i="1"/>
  <c r="AO466" i="1"/>
  <c r="AM466" i="1"/>
  <c r="AK466" i="1"/>
  <c r="AI466" i="1"/>
  <c r="AG466" i="1"/>
  <c r="AE466" i="1"/>
  <c r="AC466" i="1"/>
  <c r="V466" i="1"/>
  <c r="R466" i="1"/>
  <c r="S466" i="1" s="1"/>
  <c r="P466" i="1"/>
  <c r="O466" i="1"/>
  <c r="M466" i="1"/>
  <c r="K466" i="1"/>
  <c r="J466" i="1"/>
  <c r="H466" i="1"/>
  <c r="AQ465" i="1"/>
  <c r="AO465" i="1"/>
  <c r="AM465" i="1"/>
  <c r="AK465" i="1"/>
  <c r="AI465" i="1"/>
  <c r="AG465" i="1"/>
  <c r="AE465" i="1"/>
  <c r="AC465" i="1"/>
  <c r="V465" i="1"/>
  <c r="R465" i="1"/>
  <c r="P465" i="1"/>
  <c r="O465" i="1"/>
  <c r="M465" i="1"/>
  <c r="K465" i="1"/>
  <c r="J465" i="1"/>
  <c r="H465" i="1"/>
  <c r="AQ464" i="1"/>
  <c r="AO464" i="1"/>
  <c r="AM464" i="1"/>
  <c r="AK464" i="1"/>
  <c r="AI464" i="1"/>
  <c r="AG464" i="1"/>
  <c r="AE464" i="1"/>
  <c r="AC464" i="1"/>
  <c r="V464" i="1"/>
  <c r="R464" i="1"/>
  <c r="S464" i="1" s="1"/>
  <c r="P464" i="1"/>
  <c r="O464" i="1"/>
  <c r="M464" i="1"/>
  <c r="K464" i="1"/>
  <c r="J464" i="1"/>
  <c r="H464" i="1"/>
  <c r="AQ463" i="1"/>
  <c r="AO463" i="1"/>
  <c r="AM463" i="1"/>
  <c r="AK463" i="1"/>
  <c r="AI463" i="1"/>
  <c r="AG463" i="1"/>
  <c r="AE463" i="1"/>
  <c r="AC463" i="1"/>
  <c r="V463" i="1"/>
  <c r="R463" i="1"/>
  <c r="S463" i="1" s="1"/>
  <c r="P463" i="1"/>
  <c r="O463" i="1"/>
  <c r="M463" i="1"/>
  <c r="K463" i="1"/>
  <c r="J463" i="1"/>
  <c r="H463" i="1"/>
  <c r="AQ462" i="1"/>
  <c r="AO462" i="1"/>
  <c r="AM462" i="1"/>
  <c r="AK462" i="1"/>
  <c r="AI462" i="1"/>
  <c r="AG462" i="1"/>
  <c r="AE462" i="1"/>
  <c r="AC462" i="1"/>
  <c r="V462" i="1"/>
  <c r="R462" i="1"/>
  <c r="P462" i="1"/>
  <c r="O462" i="1"/>
  <c r="M462" i="1"/>
  <c r="K462" i="1"/>
  <c r="J462" i="1"/>
  <c r="H462" i="1"/>
  <c r="AQ461" i="1"/>
  <c r="AO461" i="1"/>
  <c r="AM461" i="1"/>
  <c r="AK461" i="1"/>
  <c r="AI461" i="1"/>
  <c r="AG461" i="1"/>
  <c r="AE461" i="1"/>
  <c r="AC461" i="1"/>
  <c r="V461" i="1"/>
  <c r="R461" i="1"/>
  <c r="S461" i="1" s="1"/>
  <c r="P461" i="1"/>
  <c r="O461" i="1"/>
  <c r="M461" i="1"/>
  <c r="K461" i="1"/>
  <c r="J461" i="1"/>
  <c r="H461" i="1"/>
  <c r="AQ460" i="1"/>
  <c r="AO460" i="1"/>
  <c r="AM460" i="1"/>
  <c r="AK460" i="1"/>
  <c r="AI460" i="1"/>
  <c r="AG460" i="1"/>
  <c r="AE460" i="1"/>
  <c r="AC460" i="1"/>
  <c r="V460" i="1"/>
  <c r="R460" i="1"/>
  <c r="S460" i="1" s="1"/>
  <c r="P460" i="1"/>
  <c r="O460" i="1"/>
  <c r="M460" i="1"/>
  <c r="K460" i="1"/>
  <c r="J460" i="1"/>
  <c r="H460" i="1"/>
  <c r="AQ459" i="1"/>
  <c r="AO459" i="1"/>
  <c r="AM459" i="1"/>
  <c r="AK459" i="1"/>
  <c r="AI459" i="1"/>
  <c r="AG459" i="1"/>
  <c r="AE459" i="1"/>
  <c r="AC459" i="1"/>
  <c r="V459" i="1"/>
  <c r="R459" i="1"/>
  <c r="P459" i="1"/>
  <c r="O459" i="1"/>
  <c r="M459" i="1"/>
  <c r="K459" i="1"/>
  <c r="J459" i="1"/>
  <c r="H459" i="1"/>
  <c r="AQ458" i="1"/>
  <c r="AO458" i="1"/>
  <c r="AM458" i="1"/>
  <c r="AK458" i="1"/>
  <c r="AI458" i="1"/>
  <c r="AG458" i="1"/>
  <c r="AE458" i="1"/>
  <c r="AC458" i="1"/>
  <c r="V458" i="1"/>
  <c r="R458" i="1"/>
  <c r="S458" i="1" s="1"/>
  <c r="P458" i="1"/>
  <c r="O458" i="1"/>
  <c r="M458" i="1"/>
  <c r="K458" i="1"/>
  <c r="J458" i="1"/>
  <c r="H458" i="1"/>
  <c r="AQ457" i="1"/>
  <c r="AO457" i="1"/>
  <c r="AM457" i="1"/>
  <c r="AK457" i="1"/>
  <c r="AI457" i="1"/>
  <c r="AG457" i="1"/>
  <c r="AE457" i="1"/>
  <c r="AC457" i="1"/>
  <c r="V457" i="1"/>
  <c r="R457" i="1"/>
  <c r="P457" i="1"/>
  <c r="O457" i="1"/>
  <c r="M457" i="1"/>
  <c r="K457" i="1"/>
  <c r="J457" i="1"/>
  <c r="H457" i="1"/>
  <c r="AQ456" i="1"/>
  <c r="AO456" i="1"/>
  <c r="AM456" i="1"/>
  <c r="AK456" i="1"/>
  <c r="AI456" i="1"/>
  <c r="AG456" i="1"/>
  <c r="AE456" i="1"/>
  <c r="AC456" i="1"/>
  <c r="V456" i="1"/>
  <c r="R456" i="1"/>
  <c r="S456" i="1" s="1"/>
  <c r="P456" i="1"/>
  <c r="O456" i="1"/>
  <c r="M456" i="1"/>
  <c r="K456" i="1"/>
  <c r="J456" i="1"/>
  <c r="H456" i="1"/>
  <c r="AQ455" i="1"/>
  <c r="AO455" i="1"/>
  <c r="AM455" i="1"/>
  <c r="AK455" i="1"/>
  <c r="AI455" i="1"/>
  <c r="AG455" i="1"/>
  <c r="AE455" i="1"/>
  <c r="AC455" i="1"/>
  <c r="V455" i="1"/>
  <c r="R455" i="1"/>
  <c r="S455" i="1" s="1"/>
  <c r="P455" i="1"/>
  <c r="O455" i="1"/>
  <c r="M455" i="1"/>
  <c r="K455" i="1"/>
  <c r="J455" i="1"/>
  <c r="H455" i="1"/>
  <c r="AQ454" i="1"/>
  <c r="AO454" i="1"/>
  <c r="AM454" i="1"/>
  <c r="AK454" i="1"/>
  <c r="AI454" i="1"/>
  <c r="AG454" i="1"/>
  <c r="AE454" i="1"/>
  <c r="AC454" i="1"/>
  <c r="V454" i="1"/>
  <c r="R454" i="1"/>
  <c r="P454" i="1"/>
  <c r="O454" i="1"/>
  <c r="M454" i="1"/>
  <c r="K454" i="1"/>
  <c r="J454" i="1"/>
  <c r="H454" i="1"/>
  <c r="AQ453" i="1"/>
  <c r="AO453" i="1"/>
  <c r="AM453" i="1"/>
  <c r="AK453" i="1"/>
  <c r="AI453" i="1"/>
  <c r="AG453" i="1"/>
  <c r="AE453" i="1"/>
  <c r="AC453" i="1"/>
  <c r="V453" i="1"/>
  <c r="R453" i="1"/>
  <c r="S453" i="1" s="1"/>
  <c r="P453" i="1"/>
  <c r="O453" i="1"/>
  <c r="M453" i="1"/>
  <c r="K453" i="1"/>
  <c r="J453" i="1"/>
  <c r="H453" i="1"/>
  <c r="AQ452" i="1"/>
  <c r="AO452" i="1"/>
  <c r="AM452" i="1"/>
  <c r="AK452" i="1"/>
  <c r="AI452" i="1"/>
  <c r="AG452" i="1"/>
  <c r="AE452" i="1"/>
  <c r="AC452" i="1"/>
  <c r="V452" i="1"/>
  <c r="R452" i="1"/>
  <c r="S452" i="1" s="1"/>
  <c r="P452" i="1"/>
  <c r="O452" i="1"/>
  <c r="M452" i="1"/>
  <c r="K452" i="1"/>
  <c r="J452" i="1"/>
  <c r="H452" i="1"/>
  <c r="AQ451" i="1"/>
  <c r="AO451" i="1"/>
  <c r="AM451" i="1"/>
  <c r="AK451" i="1"/>
  <c r="AI451" i="1"/>
  <c r="AG451" i="1"/>
  <c r="AE451" i="1"/>
  <c r="AC451" i="1"/>
  <c r="V451" i="1"/>
  <c r="R451" i="1"/>
  <c r="P451" i="1"/>
  <c r="O451" i="1"/>
  <c r="M451" i="1"/>
  <c r="K451" i="1"/>
  <c r="J451" i="1"/>
  <c r="H451" i="1"/>
  <c r="AQ450" i="1"/>
  <c r="AO450" i="1"/>
  <c r="AM450" i="1"/>
  <c r="AK450" i="1"/>
  <c r="AI450" i="1"/>
  <c r="AG450" i="1"/>
  <c r="AE450" i="1"/>
  <c r="AC450" i="1"/>
  <c r="V450" i="1"/>
  <c r="R450" i="1"/>
  <c r="S450" i="1" s="1"/>
  <c r="P450" i="1"/>
  <c r="O450" i="1"/>
  <c r="M450" i="1"/>
  <c r="K450" i="1"/>
  <c r="J450" i="1"/>
  <c r="H450" i="1"/>
  <c r="AQ449" i="1"/>
  <c r="AO449" i="1"/>
  <c r="AM449" i="1"/>
  <c r="AK449" i="1"/>
  <c r="AI449" i="1"/>
  <c r="AG449" i="1"/>
  <c r="AE449" i="1"/>
  <c r="AC449" i="1"/>
  <c r="V449" i="1"/>
  <c r="R449" i="1"/>
  <c r="P449" i="1"/>
  <c r="O449" i="1"/>
  <c r="M449" i="1"/>
  <c r="K449" i="1"/>
  <c r="J449" i="1"/>
  <c r="H449" i="1"/>
  <c r="AQ448" i="1"/>
  <c r="AO448" i="1"/>
  <c r="AM448" i="1"/>
  <c r="AK448" i="1"/>
  <c r="AI448" i="1"/>
  <c r="AG448" i="1"/>
  <c r="AE448" i="1"/>
  <c r="AC448" i="1"/>
  <c r="V448" i="1"/>
  <c r="R448" i="1"/>
  <c r="S448" i="1" s="1"/>
  <c r="P448" i="1"/>
  <c r="O448" i="1"/>
  <c r="M448" i="1"/>
  <c r="K448" i="1"/>
  <c r="J448" i="1"/>
  <c r="H448" i="1"/>
  <c r="AQ447" i="1"/>
  <c r="AO447" i="1"/>
  <c r="AM447" i="1"/>
  <c r="AK447" i="1"/>
  <c r="AI447" i="1"/>
  <c r="AG447" i="1"/>
  <c r="AE447" i="1"/>
  <c r="AC447" i="1"/>
  <c r="V447" i="1"/>
  <c r="R447" i="1"/>
  <c r="S447" i="1" s="1"/>
  <c r="P447" i="1"/>
  <c r="O447" i="1"/>
  <c r="M447" i="1"/>
  <c r="K447" i="1"/>
  <c r="J447" i="1"/>
  <c r="H447" i="1"/>
  <c r="AQ446" i="1"/>
  <c r="AO446" i="1"/>
  <c r="AM446" i="1"/>
  <c r="AK446" i="1"/>
  <c r="AI446" i="1"/>
  <c r="AG446" i="1"/>
  <c r="AE446" i="1"/>
  <c r="AC446" i="1"/>
  <c r="V446" i="1"/>
  <c r="R446" i="1"/>
  <c r="P446" i="1"/>
  <c r="O446" i="1"/>
  <c r="M446" i="1"/>
  <c r="K446" i="1"/>
  <c r="J446" i="1"/>
  <c r="H446" i="1"/>
  <c r="AQ445" i="1"/>
  <c r="AO445" i="1"/>
  <c r="AM445" i="1"/>
  <c r="AK445" i="1"/>
  <c r="AI445" i="1"/>
  <c r="AG445" i="1"/>
  <c r="AE445" i="1"/>
  <c r="AC445" i="1"/>
  <c r="V445" i="1"/>
  <c r="R445" i="1"/>
  <c r="S445" i="1" s="1"/>
  <c r="P445" i="1"/>
  <c r="O445" i="1"/>
  <c r="M445" i="1"/>
  <c r="K445" i="1"/>
  <c r="J445" i="1"/>
  <c r="H445" i="1"/>
  <c r="AQ444" i="1"/>
  <c r="AO444" i="1"/>
  <c r="AM444" i="1"/>
  <c r="AK444" i="1"/>
  <c r="AI444" i="1"/>
  <c r="AG444" i="1"/>
  <c r="AE444" i="1"/>
  <c r="AC444" i="1"/>
  <c r="V444" i="1"/>
  <c r="R444" i="1"/>
  <c r="S444" i="1" s="1"/>
  <c r="P444" i="1"/>
  <c r="O444" i="1"/>
  <c r="M444" i="1"/>
  <c r="K444" i="1"/>
  <c r="J444" i="1"/>
  <c r="H444" i="1"/>
  <c r="AQ443" i="1"/>
  <c r="AO443" i="1"/>
  <c r="AM443" i="1"/>
  <c r="AK443" i="1"/>
  <c r="AI443" i="1"/>
  <c r="AG443" i="1"/>
  <c r="AE443" i="1"/>
  <c r="AC443" i="1"/>
  <c r="V443" i="1"/>
  <c r="R443" i="1"/>
  <c r="P443" i="1"/>
  <c r="O443" i="1"/>
  <c r="M443" i="1"/>
  <c r="K443" i="1"/>
  <c r="J443" i="1"/>
  <c r="H443" i="1"/>
  <c r="AQ442" i="1"/>
  <c r="AO442" i="1"/>
  <c r="AM442" i="1"/>
  <c r="AK442" i="1"/>
  <c r="AI442" i="1"/>
  <c r="AG442" i="1"/>
  <c r="AE442" i="1"/>
  <c r="AC442" i="1"/>
  <c r="V442" i="1"/>
  <c r="R442" i="1"/>
  <c r="S442" i="1" s="1"/>
  <c r="P442" i="1"/>
  <c r="O442" i="1"/>
  <c r="M442" i="1"/>
  <c r="K442" i="1"/>
  <c r="J442" i="1"/>
  <c r="H442" i="1"/>
  <c r="AQ441" i="1"/>
  <c r="AO441" i="1"/>
  <c r="AM441" i="1"/>
  <c r="AK441" i="1"/>
  <c r="AI441" i="1"/>
  <c r="AG441" i="1"/>
  <c r="AE441" i="1"/>
  <c r="AC441" i="1"/>
  <c r="V441" i="1"/>
  <c r="R441" i="1"/>
  <c r="P441" i="1"/>
  <c r="O441" i="1"/>
  <c r="M441" i="1"/>
  <c r="K441" i="1"/>
  <c r="J441" i="1"/>
  <c r="H441" i="1"/>
  <c r="AQ440" i="1"/>
  <c r="AO440" i="1"/>
  <c r="AM440" i="1"/>
  <c r="AK440" i="1"/>
  <c r="AI440" i="1"/>
  <c r="AG440" i="1"/>
  <c r="AE440" i="1"/>
  <c r="AC440" i="1"/>
  <c r="V440" i="1"/>
  <c r="R440" i="1"/>
  <c r="S440" i="1" s="1"/>
  <c r="P440" i="1"/>
  <c r="O440" i="1"/>
  <c r="M440" i="1"/>
  <c r="K440" i="1"/>
  <c r="J440" i="1"/>
  <c r="H440" i="1"/>
  <c r="AQ439" i="1"/>
  <c r="AO439" i="1"/>
  <c r="AM439" i="1"/>
  <c r="AK439" i="1"/>
  <c r="AI439" i="1"/>
  <c r="AG439" i="1"/>
  <c r="AE439" i="1"/>
  <c r="AC439" i="1"/>
  <c r="V439" i="1"/>
  <c r="R439" i="1"/>
  <c r="S439" i="1" s="1"/>
  <c r="P439" i="1"/>
  <c r="O439" i="1"/>
  <c r="M439" i="1"/>
  <c r="K439" i="1"/>
  <c r="J439" i="1"/>
  <c r="H439" i="1"/>
  <c r="AQ438" i="1"/>
  <c r="AO438" i="1"/>
  <c r="AM438" i="1"/>
  <c r="AK438" i="1"/>
  <c r="AI438" i="1"/>
  <c r="AG438" i="1"/>
  <c r="AE438" i="1"/>
  <c r="AC438" i="1"/>
  <c r="V438" i="1"/>
  <c r="R438" i="1"/>
  <c r="P438" i="1"/>
  <c r="O438" i="1"/>
  <c r="M438" i="1"/>
  <c r="K438" i="1"/>
  <c r="J438" i="1"/>
  <c r="H438" i="1"/>
  <c r="AQ437" i="1"/>
  <c r="AO437" i="1"/>
  <c r="AM437" i="1"/>
  <c r="AK437" i="1"/>
  <c r="AI437" i="1"/>
  <c r="AG437" i="1"/>
  <c r="AE437" i="1"/>
  <c r="AC437" i="1"/>
  <c r="V437" i="1"/>
  <c r="R437" i="1"/>
  <c r="S437" i="1" s="1"/>
  <c r="P437" i="1"/>
  <c r="O437" i="1"/>
  <c r="M437" i="1"/>
  <c r="K437" i="1"/>
  <c r="J437" i="1"/>
  <c r="H437" i="1"/>
  <c r="AQ436" i="1"/>
  <c r="AO436" i="1"/>
  <c r="AM436" i="1"/>
  <c r="AK436" i="1"/>
  <c r="AI436" i="1"/>
  <c r="AG436" i="1"/>
  <c r="AE436" i="1"/>
  <c r="AC436" i="1"/>
  <c r="V436" i="1"/>
  <c r="R436" i="1"/>
  <c r="S436" i="1" s="1"/>
  <c r="P436" i="1"/>
  <c r="O436" i="1"/>
  <c r="M436" i="1"/>
  <c r="K436" i="1"/>
  <c r="J436" i="1"/>
  <c r="H436" i="1"/>
  <c r="AQ435" i="1"/>
  <c r="AO435" i="1"/>
  <c r="AM435" i="1"/>
  <c r="AK435" i="1"/>
  <c r="AI435" i="1"/>
  <c r="AG435" i="1"/>
  <c r="AE435" i="1"/>
  <c r="AC435" i="1"/>
  <c r="V435" i="1"/>
  <c r="R435" i="1"/>
  <c r="P435" i="1"/>
  <c r="O435" i="1"/>
  <c r="M435" i="1"/>
  <c r="K435" i="1"/>
  <c r="J435" i="1"/>
  <c r="H435" i="1"/>
  <c r="AQ434" i="1"/>
  <c r="AO434" i="1"/>
  <c r="AM434" i="1"/>
  <c r="AK434" i="1"/>
  <c r="AI434" i="1"/>
  <c r="AG434" i="1"/>
  <c r="AE434" i="1"/>
  <c r="AC434" i="1"/>
  <c r="V434" i="1"/>
  <c r="R434" i="1"/>
  <c r="S434" i="1" s="1"/>
  <c r="P434" i="1"/>
  <c r="O434" i="1"/>
  <c r="M434" i="1"/>
  <c r="K434" i="1"/>
  <c r="J434" i="1"/>
  <c r="H434" i="1"/>
  <c r="AQ433" i="1"/>
  <c r="AO433" i="1"/>
  <c r="AM433" i="1"/>
  <c r="AK433" i="1"/>
  <c r="AI433" i="1"/>
  <c r="AG433" i="1"/>
  <c r="AE433" i="1"/>
  <c r="AC433" i="1"/>
  <c r="V433" i="1"/>
  <c r="R433" i="1"/>
  <c r="S433" i="1" s="1"/>
  <c r="P433" i="1"/>
  <c r="O433" i="1"/>
  <c r="M433" i="1"/>
  <c r="K433" i="1"/>
  <c r="J433" i="1"/>
  <c r="H433" i="1"/>
  <c r="AQ432" i="1"/>
  <c r="AO432" i="1"/>
  <c r="AM432" i="1"/>
  <c r="AK432" i="1"/>
  <c r="AI432" i="1"/>
  <c r="AG432" i="1"/>
  <c r="AE432" i="1"/>
  <c r="AC432" i="1"/>
  <c r="V432" i="1"/>
  <c r="R432" i="1"/>
  <c r="S432" i="1" s="1"/>
  <c r="P432" i="1"/>
  <c r="O432" i="1"/>
  <c r="M432" i="1"/>
  <c r="K432" i="1"/>
  <c r="J432" i="1"/>
  <c r="H432" i="1"/>
  <c r="AQ431" i="1"/>
  <c r="AO431" i="1"/>
  <c r="AM431" i="1"/>
  <c r="AK431" i="1"/>
  <c r="AI431" i="1"/>
  <c r="AG431" i="1"/>
  <c r="AE431" i="1"/>
  <c r="AC431" i="1"/>
  <c r="V431" i="1"/>
  <c r="R431" i="1"/>
  <c r="S431" i="1" s="1"/>
  <c r="P431" i="1"/>
  <c r="O431" i="1"/>
  <c r="M431" i="1"/>
  <c r="K431" i="1"/>
  <c r="J431" i="1"/>
  <c r="H431" i="1"/>
  <c r="L431" i="1" s="1"/>
  <c r="AQ430" i="1"/>
  <c r="AO430" i="1"/>
  <c r="AM430" i="1"/>
  <c r="AK430" i="1"/>
  <c r="AI430" i="1"/>
  <c r="AG430" i="1"/>
  <c r="AE430" i="1"/>
  <c r="AC430" i="1"/>
  <c r="V430" i="1"/>
  <c r="R430" i="1"/>
  <c r="S430" i="1" s="1"/>
  <c r="P430" i="1"/>
  <c r="O430" i="1"/>
  <c r="M430" i="1"/>
  <c r="K430" i="1"/>
  <c r="J430" i="1"/>
  <c r="H430" i="1"/>
  <c r="N430" i="1" s="1"/>
  <c r="AQ429" i="1"/>
  <c r="AO429" i="1"/>
  <c r="AM429" i="1"/>
  <c r="AK429" i="1"/>
  <c r="AI429" i="1"/>
  <c r="AG429" i="1"/>
  <c r="AE429" i="1"/>
  <c r="AC429" i="1"/>
  <c r="V429" i="1"/>
  <c r="R429" i="1"/>
  <c r="S429" i="1" s="1"/>
  <c r="P429" i="1"/>
  <c r="M429" i="1"/>
  <c r="K429" i="1"/>
  <c r="J429" i="1"/>
  <c r="O429" i="1" s="1"/>
  <c r="H429" i="1"/>
  <c r="AQ428" i="1"/>
  <c r="AO428" i="1"/>
  <c r="AM428" i="1"/>
  <c r="AK428" i="1"/>
  <c r="AI428" i="1"/>
  <c r="AG428" i="1"/>
  <c r="AE428" i="1"/>
  <c r="AC428" i="1"/>
  <c r="V428" i="1"/>
  <c r="R428" i="1"/>
  <c r="P428" i="1"/>
  <c r="O428" i="1"/>
  <c r="M428" i="1"/>
  <c r="K428" i="1"/>
  <c r="J428" i="1"/>
  <c r="H428" i="1"/>
  <c r="AQ427" i="1"/>
  <c r="AO427" i="1"/>
  <c r="AM427" i="1"/>
  <c r="AK427" i="1"/>
  <c r="AI427" i="1"/>
  <c r="AG427" i="1"/>
  <c r="AE427" i="1"/>
  <c r="AC427" i="1"/>
  <c r="V427" i="1"/>
  <c r="R427" i="1"/>
  <c r="S427" i="1" s="1"/>
  <c r="P427" i="1"/>
  <c r="O427" i="1"/>
  <c r="M427" i="1"/>
  <c r="K427" i="1"/>
  <c r="J427" i="1"/>
  <c r="H427" i="1"/>
  <c r="AQ426" i="1"/>
  <c r="AO426" i="1"/>
  <c r="AM426" i="1"/>
  <c r="AK426" i="1"/>
  <c r="AI426" i="1"/>
  <c r="AG426" i="1"/>
  <c r="AE426" i="1"/>
  <c r="AC426" i="1"/>
  <c r="V426" i="1"/>
  <c r="R426" i="1"/>
  <c r="P426" i="1"/>
  <c r="O426" i="1"/>
  <c r="M426" i="1"/>
  <c r="L426" i="1"/>
  <c r="K426" i="1"/>
  <c r="J426" i="1"/>
  <c r="H426" i="1"/>
  <c r="N426" i="1" s="1"/>
  <c r="AQ425" i="1"/>
  <c r="AO425" i="1"/>
  <c r="AM425" i="1"/>
  <c r="AK425" i="1"/>
  <c r="AI425" i="1"/>
  <c r="AG425" i="1"/>
  <c r="AE425" i="1"/>
  <c r="AC425" i="1"/>
  <c r="V425" i="1"/>
  <c r="S425" i="1"/>
  <c r="R425" i="1"/>
  <c r="P425" i="1"/>
  <c r="M425" i="1"/>
  <c r="K425" i="1"/>
  <c r="J425" i="1"/>
  <c r="O425" i="1" s="1"/>
  <c r="H425" i="1"/>
  <c r="AQ424" i="1"/>
  <c r="AO424" i="1"/>
  <c r="AM424" i="1"/>
  <c r="AK424" i="1"/>
  <c r="AI424" i="1"/>
  <c r="AG424" i="1"/>
  <c r="AE424" i="1"/>
  <c r="AC424" i="1"/>
  <c r="V424" i="1"/>
  <c r="R424" i="1"/>
  <c r="P424" i="1"/>
  <c r="O424" i="1"/>
  <c r="M424" i="1"/>
  <c r="K424" i="1"/>
  <c r="J424" i="1"/>
  <c r="H424" i="1"/>
  <c r="AQ423" i="1"/>
  <c r="AO423" i="1"/>
  <c r="AM423" i="1"/>
  <c r="AK423" i="1"/>
  <c r="AI423" i="1"/>
  <c r="AG423" i="1"/>
  <c r="AE423" i="1"/>
  <c r="AC423" i="1"/>
  <c r="V423" i="1"/>
  <c r="R423" i="1"/>
  <c r="S423" i="1" s="1"/>
  <c r="P423" i="1"/>
  <c r="O423" i="1"/>
  <c r="M423" i="1"/>
  <c r="K423" i="1"/>
  <c r="J423" i="1"/>
  <c r="H423" i="1"/>
  <c r="AQ422" i="1"/>
  <c r="AO422" i="1"/>
  <c r="AM422" i="1"/>
  <c r="AK422" i="1"/>
  <c r="AI422" i="1"/>
  <c r="AG422" i="1"/>
  <c r="AE422" i="1"/>
  <c r="AC422" i="1"/>
  <c r="V422" i="1"/>
  <c r="R422" i="1"/>
  <c r="P422" i="1"/>
  <c r="O422" i="1"/>
  <c r="M422" i="1"/>
  <c r="L422" i="1"/>
  <c r="K422" i="1"/>
  <c r="J422" i="1"/>
  <c r="H422" i="1"/>
  <c r="AQ421" i="1"/>
  <c r="AO421" i="1"/>
  <c r="AM421" i="1"/>
  <c r="AK421" i="1"/>
  <c r="AI421" i="1"/>
  <c r="AG421" i="1"/>
  <c r="AE421" i="1"/>
  <c r="AC421" i="1"/>
  <c r="V421" i="1"/>
  <c r="R421" i="1"/>
  <c r="P421" i="1"/>
  <c r="M421" i="1"/>
  <c r="K421" i="1"/>
  <c r="J421" i="1"/>
  <c r="O421" i="1" s="1"/>
  <c r="H421" i="1"/>
  <c r="AQ420" i="1"/>
  <c r="AO420" i="1"/>
  <c r="AM420" i="1"/>
  <c r="AK420" i="1"/>
  <c r="AI420" i="1"/>
  <c r="AG420" i="1"/>
  <c r="AE420" i="1"/>
  <c r="AC420" i="1"/>
  <c r="V420" i="1"/>
  <c r="R420" i="1"/>
  <c r="P420" i="1"/>
  <c r="O420" i="1"/>
  <c r="M420" i="1"/>
  <c r="K420" i="1"/>
  <c r="J420" i="1"/>
  <c r="H420" i="1"/>
  <c r="AQ419" i="1"/>
  <c r="AO419" i="1"/>
  <c r="AM419" i="1"/>
  <c r="AK419" i="1"/>
  <c r="AI419" i="1"/>
  <c r="AG419" i="1"/>
  <c r="AE419" i="1"/>
  <c r="AC419" i="1"/>
  <c r="V419" i="1"/>
  <c r="R419" i="1"/>
  <c r="P419" i="1"/>
  <c r="O419" i="1"/>
  <c r="M419" i="1"/>
  <c r="K419" i="1"/>
  <c r="J419" i="1"/>
  <c r="H419" i="1"/>
  <c r="AQ418" i="1"/>
  <c r="AO418" i="1"/>
  <c r="AM418" i="1"/>
  <c r="AK418" i="1"/>
  <c r="AI418" i="1"/>
  <c r="AG418" i="1"/>
  <c r="AE418" i="1"/>
  <c r="AC418" i="1"/>
  <c r="V418" i="1"/>
  <c r="R418" i="1"/>
  <c r="P418" i="1"/>
  <c r="O418" i="1"/>
  <c r="M418" i="1"/>
  <c r="L418" i="1"/>
  <c r="K418" i="1"/>
  <c r="J418" i="1"/>
  <c r="H418" i="1"/>
  <c r="AQ417" i="1"/>
  <c r="AO417" i="1"/>
  <c r="AM417" i="1"/>
  <c r="AK417" i="1"/>
  <c r="AI417" i="1"/>
  <c r="AG417" i="1"/>
  <c r="AE417" i="1"/>
  <c r="AC417" i="1"/>
  <c r="V417" i="1"/>
  <c r="R417" i="1"/>
  <c r="P417" i="1"/>
  <c r="O417" i="1"/>
  <c r="M417" i="1"/>
  <c r="K417" i="1"/>
  <c r="J417" i="1"/>
  <c r="H417" i="1"/>
  <c r="AQ416" i="1"/>
  <c r="AO416" i="1"/>
  <c r="AM416" i="1"/>
  <c r="AK416" i="1"/>
  <c r="AI416" i="1"/>
  <c r="AG416" i="1"/>
  <c r="AE416" i="1"/>
  <c r="AC416" i="1"/>
  <c r="V416" i="1"/>
  <c r="R416" i="1"/>
  <c r="P416" i="1"/>
  <c r="O416" i="1"/>
  <c r="M416" i="1"/>
  <c r="K416" i="1"/>
  <c r="J416" i="1"/>
  <c r="H416" i="1"/>
  <c r="AQ415" i="1"/>
  <c r="AO415" i="1"/>
  <c r="AM415" i="1"/>
  <c r="AK415" i="1"/>
  <c r="AI415" i="1"/>
  <c r="AG415" i="1"/>
  <c r="AE415" i="1"/>
  <c r="AC415" i="1"/>
  <c r="V415" i="1"/>
  <c r="R415" i="1"/>
  <c r="P415" i="1"/>
  <c r="O415" i="1"/>
  <c r="N415" i="1"/>
  <c r="M415" i="1"/>
  <c r="K415" i="1"/>
  <c r="J415" i="1"/>
  <c r="H415" i="1"/>
  <c r="AQ414" i="1"/>
  <c r="AO414" i="1"/>
  <c r="AM414" i="1"/>
  <c r="AK414" i="1"/>
  <c r="AI414" i="1"/>
  <c r="AG414" i="1"/>
  <c r="AE414" i="1"/>
  <c r="AC414" i="1"/>
  <c r="V414" i="1"/>
  <c r="R414" i="1"/>
  <c r="S414" i="1" s="1"/>
  <c r="P414" i="1"/>
  <c r="O414" i="1"/>
  <c r="M414" i="1"/>
  <c r="K414" i="1"/>
  <c r="J414" i="1"/>
  <c r="H414" i="1"/>
  <c r="N414" i="1" s="1"/>
  <c r="AQ413" i="1"/>
  <c r="AO413" i="1"/>
  <c r="AM413" i="1"/>
  <c r="AK413" i="1"/>
  <c r="AI413" i="1"/>
  <c r="AG413" i="1"/>
  <c r="AE413" i="1"/>
  <c r="AC413" i="1"/>
  <c r="V413" i="1"/>
  <c r="R413" i="1"/>
  <c r="P413" i="1"/>
  <c r="O413" i="1"/>
  <c r="M413" i="1"/>
  <c r="K413" i="1"/>
  <c r="J413" i="1"/>
  <c r="H413" i="1"/>
  <c r="AQ412" i="1"/>
  <c r="AO412" i="1"/>
  <c r="N412" i="1" s="1"/>
  <c r="AM412" i="1"/>
  <c r="AK412" i="1"/>
  <c r="AI412" i="1"/>
  <c r="AG412" i="1"/>
  <c r="AE412" i="1"/>
  <c r="AC412" i="1"/>
  <c r="V412" i="1"/>
  <c r="R412" i="1"/>
  <c r="S412" i="1" s="1"/>
  <c r="P412" i="1"/>
  <c r="M412" i="1"/>
  <c r="K412" i="1"/>
  <c r="J412" i="1"/>
  <c r="O412" i="1" s="1"/>
  <c r="H412" i="1"/>
  <c r="AQ411" i="1"/>
  <c r="AO411" i="1"/>
  <c r="AM411" i="1"/>
  <c r="AK411" i="1"/>
  <c r="AI411" i="1"/>
  <c r="AG411" i="1"/>
  <c r="AE411" i="1"/>
  <c r="AC411" i="1"/>
  <c r="V411" i="1"/>
  <c r="R411" i="1"/>
  <c r="P411" i="1"/>
  <c r="O411" i="1"/>
  <c r="M411" i="1"/>
  <c r="K411" i="1"/>
  <c r="J411" i="1"/>
  <c r="H411" i="1"/>
  <c r="AQ410" i="1"/>
  <c r="AO410" i="1"/>
  <c r="AM410" i="1"/>
  <c r="AK410" i="1"/>
  <c r="AI410" i="1"/>
  <c r="AG410" i="1"/>
  <c r="AE410" i="1"/>
  <c r="AC410" i="1"/>
  <c r="V410" i="1"/>
  <c r="R410" i="1"/>
  <c r="P410" i="1"/>
  <c r="O410" i="1"/>
  <c r="N410" i="1"/>
  <c r="M410" i="1"/>
  <c r="K410" i="1"/>
  <c r="J410" i="1"/>
  <c r="H410" i="1"/>
  <c r="L410" i="1" s="1"/>
  <c r="AQ409" i="1"/>
  <c r="AO409" i="1"/>
  <c r="AM409" i="1"/>
  <c r="AK409" i="1"/>
  <c r="AI409" i="1"/>
  <c r="AG409" i="1"/>
  <c r="AE409" i="1"/>
  <c r="AC409" i="1"/>
  <c r="V409" i="1"/>
  <c r="R409" i="1"/>
  <c r="S409" i="1" s="1"/>
  <c r="P409" i="1"/>
  <c r="M409" i="1"/>
  <c r="L409" i="1"/>
  <c r="K409" i="1"/>
  <c r="J409" i="1"/>
  <c r="O409" i="1" s="1"/>
  <c r="H409" i="1"/>
  <c r="AQ408" i="1"/>
  <c r="AO408" i="1"/>
  <c r="AM408" i="1"/>
  <c r="AK408" i="1"/>
  <c r="AI408" i="1"/>
  <c r="AG408" i="1"/>
  <c r="AE408" i="1"/>
  <c r="AC408" i="1"/>
  <c r="V408" i="1"/>
  <c r="R408" i="1"/>
  <c r="P408" i="1"/>
  <c r="M408" i="1"/>
  <c r="K408" i="1"/>
  <c r="J408" i="1"/>
  <c r="O408" i="1" s="1"/>
  <c r="H408" i="1"/>
  <c r="AQ407" i="1"/>
  <c r="AO407" i="1"/>
  <c r="AM407" i="1"/>
  <c r="AK407" i="1"/>
  <c r="AI407" i="1"/>
  <c r="AG407" i="1"/>
  <c r="AE407" i="1"/>
  <c r="AC407" i="1"/>
  <c r="V407" i="1"/>
  <c r="R407" i="1"/>
  <c r="P407" i="1"/>
  <c r="O407" i="1"/>
  <c r="N407" i="1"/>
  <c r="M407" i="1"/>
  <c r="L407" i="1"/>
  <c r="K407" i="1"/>
  <c r="J407" i="1"/>
  <c r="H407" i="1"/>
  <c r="AQ406" i="1"/>
  <c r="AO406" i="1"/>
  <c r="AM406" i="1"/>
  <c r="AK406" i="1"/>
  <c r="AI406" i="1"/>
  <c r="AG406" i="1"/>
  <c r="AE406" i="1"/>
  <c r="AC406" i="1"/>
  <c r="V406" i="1"/>
  <c r="S406" i="1"/>
  <c r="R406" i="1"/>
  <c r="P406" i="1"/>
  <c r="M406" i="1"/>
  <c r="L406" i="1"/>
  <c r="K406" i="1"/>
  <c r="J406" i="1"/>
  <c r="O406" i="1" s="1"/>
  <c r="H406" i="1"/>
  <c r="AQ405" i="1"/>
  <c r="AO405" i="1"/>
  <c r="AM405" i="1"/>
  <c r="AK405" i="1"/>
  <c r="AI405" i="1"/>
  <c r="AG405" i="1"/>
  <c r="AE405" i="1"/>
  <c r="AC405" i="1"/>
  <c r="V405" i="1"/>
  <c r="S405" i="1"/>
  <c r="R405" i="1"/>
  <c r="P405" i="1"/>
  <c r="M405" i="1"/>
  <c r="K405" i="1"/>
  <c r="J405" i="1"/>
  <c r="O405" i="1" s="1"/>
  <c r="H405" i="1"/>
  <c r="AQ404" i="1"/>
  <c r="AO404" i="1"/>
  <c r="N404" i="1" s="1"/>
  <c r="AM404" i="1"/>
  <c r="AK404" i="1"/>
  <c r="AI404" i="1"/>
  <c r="AG404" i="1"/>
  <c r="AE404" i="1"/>
  <c r="AC404" i="1"/>
  <c r="V404" i="1"/>
  <c r="R404" i="1"/>
  <c r="P404" i="1"/>
  <c r="O404" i="1"/>
  <c r="M404" i="1"/>
  <c r="K404" i="1"/>
  <c r="J404" i="1"/>
  <c r="H404" i="1"/>
  <c r="AQ403" i="1"/>
  <c r="AO403" i="1"/>
  <c r="AM403" i="1"/>
  <c r="AK403" i="1"/>
  <c r="AI403" i="1"/>
  <c r="AG403" i="1"/>
  <c r="AE403" i="1"/>
  <c r="AC403" i="1"/>
  <c r="V403" i="1"/>
  <c r="R403" i="1"/>
  <c r="S403" i="1" s="1"/>
  <c r="P403" i="1"/>
  <c r="O403" i="1"/>
  <c r="M403" i="1"/>
  <c r="K403" i="1"/>
  <c r="J403" i="1"/>
  <c r="H403" i="1"/>
  <c r="N403" i="1" s="1"/>
  <c r="AQ402" i="1"/>
  <c r="AO402" i="1"/>
  <c r="AM402" i="1"/>
  <c r="AK402" i="1"/>
  <c r="AI402" i="1"/>
  <c r="AG402" i="1"/>
  <c r="AE402" i="1"/>
  <c r="AC402" i="1"/>
  <c r="V402" i="1"/>
  <c r="S402" i="1"/>
  <c r="R402" i="1"/>
  <c r="P402" i="1"/>
  <c r="M402" i="1"/>
  <c r="K402" i="1"/>
  <c r="J402" i="1"/>
  <c r="O402" i="1" s="1"/>
  <c r="H402" i="1"/>
  <c r="AQ401" i="1"/>
  <c r="AO401" i="1"/>
  <c r="AM401" i="1"/>
  <c r="AK401" i="1"/>
  <c r="AI401" i="1"/>
  <c r="AG401" i="1"/>
  <c r="AE401" i="1"/>
  <c r="AC401" i="1"/>
  <c r="V401" i="1"/>
  <c r="R401" i="1"/>
  <c r="S401" i="1" s="1"/>
  <c r="P401" i="1"/>
  <c r="O401" i="1"/>
  <c r="M401" i="1"/>
  <c r="L401" i="1"/>
  <c r="K401" i="1"/>
  <c r="J401" i="1"/>
  <c r="H401" i="1"/>
  <c r="AQ400" i="1"/>
  <c r="AO400" i="1"/>
  <c r="AM400" i="1"/>
  <c r="AK400" i="1"/>
  <c r="AI400" i="1"/>
  <c r="AG400" i="1"/>
  <c r="AE400" i="1"/>
  <c r="AC400" i="1"/>
  <c r="V400" i="1"/>
  <c r="S400" i="1"/>
  <c r="R400" i="1"/>
  <c r="P400" i="1"/>
  <c r="M400" i="1"/>
  <c r="K400" i="1"/>
  <c r="J400" i="1"/>
  <c r="O400" i="1" s="1"/>
  <c r="H400" i="1"/>
  <c r="AQ399" i="1"/>
  <c r="AO399" i="1"/>
  <c r="AM399" i="1"/>
  <c r="AK399" i="1"/>
  <c r="AI399" i="1"/>
  <c r="AG399" i="1"/>
  <c r="AE399" i="1"/>
  <c r="AC399" i="1"/>
  <c r="V399" i="1"/>
  <c r="R399" i="1"/>
  <c r="P399" i="1"/>
  <c r="O399" i="1"/>
  <c r="N399" i="1"/>
  <c r="M399" i="1"/>
  <c r="K399" i="1"/>
  <c r="J399" i="1"/>
  <c r="H399" i="1"/>
  <c r="L399" i="1" s="1"/>
  <c r="AQ398" i="1"/>
  <c r="AO398" i="1"/>
  <c r="AM398" i="1"/>
  <c r="AK398" i="1"/>
  <c r="AI398" i="1"/>
  <c r="AG398" i="1"/>
  <c r="AE398" i="1"/>
  <c r="AC398" i="1"/>
  <c r="V398" i="1"/>
  <c r="R398" i="1"/>
  <c r="S398" i="1" s="1"/>
  <c r="P398" i="1"/>
  <c r="O398" i="1"/>
  <c r="N398" i="1"/>
  <c r="M398" i="1"/>
  <c r="L398" i="1"/>
  <c r="K398" i="1"/>
  <c r="J398" i="1"/>
  <c r="H398" i="1"/>
  <c r="AQ397" i="1"/>
  <c r="AO397" i="1"/>
  <c r="AM397" i="1"/>
  <c r="AK397" i="1"/>
  <c r="AI397" i="1"/>
  <c r="AG397" i="1"/>
  <c r="AE397" i="1"/>
  <c r="AC397" i="1"/>
  <c r="V397" i="1"/>
  <c r="S397" i="1"/>
  <c r="R397" i="1"/>
  <c r="P397" i="1"/>
  <c r="M397" i="1"/>
  <c r="L397" i="1"/>
  <c r="K397" i="1"/>
  <c r="J397" i="1"/>
  <c r="O397" i="1" s="1"/>
  <c r="H397" i="1"/>
  <c r="AQ396" i="1"/>
  <c r="AO396" i="1"/>
  <c r="AM396" i="1"/>
  <c r="AK396" i="1"/>
  <c r="AI396" i="1"/>
  <c r="AG396" i="1"/>
  <c r="AE396" i="1"/>
  <c r="AC396" i="1"/>
  <c r="V396" i="1"/>
  <c r="S396" i="1"/>
  <c r="R396" i="1"/>
  <c r="P396" i="1"/>
  <c r="O396" i="1"/>
  <c r="M396" i="1"/>
  <c r="K396" i="1"/>
  <c r="J396" i="1"/>
  <c r="H396" i="1"/>
  <c r="AQ395" i="1"/>
  <c r="AO395" i="1"/>
  <c r="AM395" i="1"/>
  <c r="AK395" i="1"/>
  <c r="AI395" i="1"/>
  <c r="AG395" i="1"/>
  <c r="AE395" i="1"/>
  <c r="AC395" i="1"/>
  <c r="V395" i="1"/>
  <c r="R395" i="1"/>
  <c r="P395" i="1"/>
  <c r="O395" i="1"/>
  <c r="N395" i="1"/>
  <c r="M395" i="1"/>
  <c r="L395" i="1"/>
  <c r="K395" i="1"/>
  <c r="J395" i="1"/>
  <c r="H395" i="1"/>
  <c r="AQ394" i="1"/>
  <c r="AO394" i="1"/>
  <c r="AM394" i="1"/>
  <c r="AK394" i="1"/>
  <c r="AI394" i="1"/>
  <c r="AG394" i="1"/>
  <c r="AE394" i="1"/>
  <c r="AC394" i="1"/>
  <c r="V394" i="1"/>
  <c r="S394" i="1"/>
  <c r="R394" i="1"/>
  <c r="P394" i="1"/>
  <c r="M394" i="1"/>
  <c r="K394" i="1"/>
  <c r="J394" i="1"/>
  <c r="O394" i="1" s="1"/>
  <c r="H394" i="1"/>
  <c r="N394" i="1" s="1"/>
  <c r="AQ393" i="1"/>
  <c r="AO393" i="1"/>
  <c r="AM393" i="1"/>
  <c r="AK393" i="1"/>
  <c r="AI393" i="1"/>
  <c r="AG393" i="1"/>
  <c r="AE393" i="1"/>
  <c r="AC393" i="1"/>
  <c r="V393" i="1"/>
  <c r="R393" i="1"/>
  <c r="P393" i="1"/>
  <c r="O393" i="1"/>
  <c r="M393" i="1"/>
  <c r="K393" i="1"/>
  <c r="J393" i="1"/>
  <c r="H393" i="1"/>
  <c r="AQ392" i="1"/>
  <c r="AO392" i="1"/>
  <c r="AM392" i="1"/>
  <c r="AK392" i="1"/>
  <c r="AI392" i="1"/>
  <c r="AG392" i="1"/>
  <c r="AE392" i="1"/>
  <c r="AC392" i="1"/>
  <c r="V392" i="1"/>
  <c r="R392" i="1"/>
  <c r="P392" i="1"/>
  <c r="O392" i="1"/>
  <c r="N392" i="1"/>
  <c r="M392" i="1"/>
  <c r="K392" i="1"/>
  <c r="J392" i="1"/>
  <c r="H392" i="1"/>
  <c r="AQ391" i="1"/>
  <c r="AO391" i="1"/>
  <c r="AM391" i="1"/>
  <c r="AK391" i="1"/>
  <c r="AI391" i="1"/>
  <c r="AG391" i="1"/>
  <c r="AE391" i="1"/>
  <c r="AC391" i="1"/>
  <c r="V391" i="1"/>
  <c r="R391" i="1"/>
  <c r="P391" i="1"/>
  <c r="O391" i="1"/>
  <c r="M391" i="1"/>
  <c r="K391" i="1"/>
  <c r="J391" i="1"/>
  <c r="H391" i="1"/>
  <c r="AQ390" i="1"/>
  <c r="AO390" i="1"/>
  <c r="AM390" i="1"/>
  <c r="AK390" i="1"/>
  <c r="AI390" i="1"/>
  <c r="AG390" i="1"/>
  <c r="AE390" i="1"/>
  <c r="AC390" i="1"/>
  <c r="V390" i="1"/>
  <c r="R390" i="1"/>
  <c r="P390" i="1"/>
  <c r="O390" i="1"/>
  <c r="N390" i="1"/>
  <c r="M390" i="1"/>
  <c r="K390" i="1"/>
  <c r="J390" i="1"/>
  <c r="H390" i="1"/>
  <c r="AQ389" i="1"/>
  <c r="AO389" i="1"/>
  <c r="AM389" i="1"/>
  <c r="AK389" i="1"/>
  <c r="AI389" i="1"/>
  <c r="AG389" i="1"/>
  <c r="AE389" i="1"/>
  <c r="AC389" i="1"/>
  <c r="V389" i="1"/>
  <c r="R389" i="1"/>
  <c r="S389" i="1" s="1"/>
  <c r="P389" i="1"/>
  <c r="O389" i="1"/>
  <c r="M389" i="1"/>
  <c r="L389" i="1"/>
  <c r="K389" i="1"/>
  <c r="J389" i="1"/>
  <c r="H389" i="1"/>
  <c r="AQ388" i="1"/>
  <c r="AO388" i="1"/>
  <c r="AM388" i="1"/>
  <c r="AK388" i="1"/>
  <c r="AI388" i="1"/>
  <c r="AG388" i="1"/>
  <c r="AE388" i="1"/>
  <c r="AC388" i="1"/>
  <c r="V388" i="1"/>
  <c r="R388" i="1"/>
  <c r="P388" i="1"/>
  <c r="M388" i="1"/>
  <c r="K388" i="1"/>
  <c r="J388" i="1"/>
  <c r="O388" i="1" s="1"/>
  <c r="H388" i="1"/>
  <c r="N388" i="1" s="1"/>
  <c r="AQ387" i="1"/>
  <c r="AO387" i="1"/>
  <c r="AM387" i="1"/>
  <c r="AK387" i="1"/>
  <c r="AI387" i="1"/>
  <c r="AG387" i="1"/>
  <c r="AE387" i="1"/>
  <c r="AC387" i="1"/>
  <c r="V387" i="1"/>
  <c r="R387" i="1"/>
  <c r="P387" i="1"/>
  <c r="M387" i="1"/>
  <c r="K387" i="1"/>
  <c r="J387" i="1"/>
  <c r="O387" i="1" s="1"/>
  <c r="H387" i="1"/>
  <c r="AQ386" i="1"/>
  <c r="AO386" i="1"/>
  <c r="N386" i="1" s="1"/>
  <c r="AM386" i="1"/>
  <c r="AK386" i="1"/>
  <c r="AI386" i="1"/>
  <c r="AG386" i="1"/>
  <c r="AE386" i="1"/>
  <c r="AC386" i="1"/>
  <c r="S386" i="1" s="1"/>
  <c r="V386" i="1"/>
  <c r="R386" i="1"/>
  <c r="P386" i="1"/>
  <c r="O386" i="1"/>
  <c r="M386" i="1"/>
  <c r="K386" i="1"/>
  <c r="J386" i="1"/>
  <c r="H386" i="1"/>
  <c r="L386" i="1" s="1"/>
  <c r="AQ385" i="1"/>
  <c r="AO385" i="1"/>
  <c r="AM385" i="1"/>
  <c r="AK385" i="1"/>
  <c r="AI385" i="1"/>
  <c r="AG385" i="1"/>
  <c r="AE385" i="1"/>
  <c r="AC385" i="1"/>
  <c r="V385" i="1"/>
  <c r="R385" i="1"/>
  <c r="S385" i="1" s="1"/>
  <c r="P385" i="1"/>
  <c r="O385" i="1"/>
  <c r="M385" i="1"/>
  <c r="K385" i="1"/>
  <c r="J385" i="1"/>
  <c r="H385" i="1"/>
  <c r="L385" i="1" s="1"/>
  <c r="AQ384" i="1"/>
  <c r="AO384" i="1"/>
  <c r="AM384" i="1"/>
  <c r="AK384" i="1"/>
  <c r="AI384" i="1"/>
  <c r="AG384" i="1"/>
  <c r="AE384" i="1"/>
  <c r="AC384" i="1"/>
  <c r="V384" i="1"/>
  <c r="S384" i="1"/>
  <c r="R384" i="1"/>
  <c r="P384" i="1"/>
  <c r="O384" i="1"/>
  <c r="M384" i="1"/>
  <c r="K384" i="1"/>
  <c r="J384" i="1"/>
  <c r="H384" i="1"/>
  <c r="N384" i="1" s="1"/>
  <c r="AQ383" i="1"/>
  <c r="AO383" i="1"/>
  <c r="AM383" i="1"/>
  <c r="AK383" i="1"/>
  <c r="AI383" i="1"/>
  <c r="AG383" i="1"/>
  <c r="AE383" i="1"/>
  <c r="AC383" i="1"/>
  <c r="V383" i="1"/>
  <c r="R383" i="1"/>
  <c r="P383" i="1"/>
  <c r="O383" i="1"/>
  <c r="M383" i="1"/>
  <c r="K383" i="1"/>
  <c r="J383" i="1"/>
  <c r="H383" i="1"/>
  <c r="AQ382" i="1"/>
  <c r="AO382" i="1"/>
  <c r="AM382" i="1"/>
  <c r="AK382" i="1"/>
  <c r="AI382" i="1"/>
  <c r="AG382" i="1"/>
  <c r="AE382" i="1"/>
  <c r="AC382" i="1"/>
  <c r="V382" i="1"/>
  <c r="R382" i="1"/>
  <c r="P382" i="1"/>
  <c r="O382" i="1"/>
  <c r="M382" i="1"/>
  <c r="K382" i="1"/>
  <c r="J382" i="1"/>
  <c r="H382" i="1"/>
  <c r="L382" i="1" s="1"/>
  <c r="AQ381" i="1"/>
  <c r="AO381" i="1"/>
  <c r="AM381" i="1"/>
  <c r="AK381" i="1"/>
  <c r="AI381" i="1"/>
  <c r="AG381" i="1"/>
  <c r="AE381" i="1"/>
  <c r="AC381" i="1"/>
  <c r="V381" i="1"/>
  <c r="R381" i="1"/>
  <c r="P381" i="1"/>
  <c r="O381" i="1"/>
  <c r="N381" i="1"/>
  <c r="M381" i="1"/>
  <c r="K381" i="1"/>
  <c r="J381" i="1"/>
  <c r="H381" i="1"/>
  <c r="L381" i="1" s="1"/>
  <c r="AQ380" i="1"/>
  <c r="AO380" i="1"/>
  <c r="AM380" i="1"/>
  <c r="AK380" i="1"/>
  <c r="AI380" i="1"/>
  <c r="AG380" i="1"/>
  <c r="AE380" i="1"/>
  <c r="AC380" i="1"/>
  <c r="S380" i="1" s="1"/>
  <c r="V380" i="1"/>
  <c r="R380" i="1"/>
  <c r="P380" i="1"/>
  <c r="O380" i="1"/>
  <c r="M380" i="1"/>
  <c r="K380" i="1"/>
  <c r="J380" i="1"/>
  <c r="H380" i="1"/>
  <c r="N380" i="1" s="1"/>
  <c r="AQ379" i="1"/>
  <c r="AO379" i="1"/>
  <c r="AM379" i="1"/>
  <c r="AK379" i="1"/>
  <c r="AI379" i="1"/>
  <c r="AG379" i="1"/>
  <c r="AE379" i="1"/>
  <c r="AC379" i="1"/>
  <c r="V379" i="1"/>
  <c r="R379" i="1"/>
  <c r="P379" i="1"/>
  <c r="M379" i="1"/>
  <c r="K379" i="1"/>
  <c r="J379" i="1"/>
  <c r="O379" i="1" s="1"/>
  <c r="H379" i="1"/>
  <c r="AQ378" i="1"/>
  <c r="AO378" i="1"/>
  <c r="N378" i="1" s="1"/>
  <c r="AM378" i="1"/>
  <c r="AK378" i="1"/>
  <c r="AI378" i="1"/>
  <c r="AG378" i="1"/>
  <c r="AE378" i="1"/>
  <c r="AC378" i="1"/>
  <c r="V378" i="1"/>
  <c r="R378" i="1"/>
  <c r="P378" i="1"/>
  <c r="O378" i="1"/>
  <c r="M378" i="1"/>
  <c r="K378" i="1"/>
  <c r="J378" i="1"/>
  <c r="H378" i="1"/>
  <c r="L378" i="1" s="1"/>
  <c r="AQ377" i="1"/>
  <c r="AO377" i="1"/>
  <c r="N377" i="1" s="1"/>
  <c r="AM377" i="1"/>
  <c r="AK377" i="1"/>
  <c r="AI377" i="1"/>
  <c r="AG377" i="1"/>
  <c r="AE377" i="1"/>
  <c r="AC377" i="1"/>
  <c r="V377" i="1"/>
  <c r="R377" i="1"/>
  <c r="P377" i="1"/>
  <c r="O377" i="1"/>
  <c r="M377" i="1"/>
  <c r="L377" i="1"/>
  <c r="K377" i="1"/>
  <c r="J377" i="1"/>
  <c r="H377" i="1"/>
  <c r="AQ376" i="1"/>
  <c r="AO376" i="1"/>
  <c r="AM376" i="1"/>
  <c r="AK376" i="1"/>
  <c r="AI376" i="1"/>
  <c r="AG376" i="1"/>
  <c r="AE376" i="1"/>
  <c r="AC376" i="1"/>
  <c r="V376" i="1"/>
  <c r="S376" i="1"/>
  <c r="R376" i="1"/>
  <c r="P376" i="1"/>
  <c r="M376" i="1"/>
  <c r="K376" i="1"/>
  <c r="J376" i="1"/>
  <c r="O376" i="1" s="1"/>
  <c r="H376" i="1"/>
  <c r="N376" i="1" s="1"/>
  <c r="AQ375" i="1"/>
  <c r="AO375" i="1"/>
  <c r="AM375" i="1"/>
  <c r="AK375" i="1"/>
  <c r="AI375" i="1"/>
  <c r="AG375" i="1"/>
  <c r="AE375" i="1"/>
  <c r="AC375" i="1"/>
  <c r="V375" i="1"/>
  <c r="R375" i="1"/>
  <c r="S375" i="1" s="1"/>
  <c r="P375" i="1"/>
  <c r="O375" i="1"/>
  <c r="M375" i="1"/>
  <c r="K375" i="1"/>
  <c r="J375" i="1"/>
  <c r="H375" i="1"/>
  <c r="AQ374" i="1"/>
  <c r="AO374" i="1"/>
  <c r="AM374" i="1"/>
  <c r="AK374" i="1"/>
  <c r="AI374" i="1"/>
  <c r="AG374" i="1"/>
  <c r="AE374" i="1"/>
  <c r="AC374" i="1"/>
  <c r="V374" i="1"/>
  <c r="R374" i="1"/>
  <c r="P374" i="1"/>
  <c r="O374" i="1"/>
  <c r="N374" i="1"/>
  <c r="M374" i="1"/>
  <c r="K374" i="1"/>
  <c r="J374" i="1"/>
  <c r="H374" i="1"/>
  <c r="L374" i="1" s="1"/>
  <c r="AQ373" i="1"/>
  <c r="AO373" i="1"/>
  <c r="AM373" i="1"/>
  <c r="AK373" i="1"/>
  <c r="AI373" i="1"/>
  <c r="AG373" i="1"/>
  <c r="AE373" i="1"/>
  <c r="AC373" i="1"/>
  <c r="V373" i="1"/>
  <c r="R373" i="1"/>
  <c r="P373" i="1"/>
  <c r="O373" i="1"/>
  <c r="N373" i="1"/>
  <c r="M373" i="1"/>
  <c r="L373" i="1"/>
  <c r="K373" i="1"/>
  <c r="J373" i="1"/>
  <c r="H373" i="1"/>
  <c r="AQ372" i="1"/>
  <c r="AO372" i="1"/>
  <c r="AM372" i="1"/>
  <c r="AK372" i="1"/>
  <c r="AI372" i="1"/>
  <c r="AG372" i="1"/>
  <c r="AE372" i="1"/>
  <c r="AC372" i="1"/>
  <c r="V372" i="1"/>
  <c r="S372" i="1"/>
  <c r="R372" i="1"/>
  <c r="P372" i="1"/>
  <c r="M372" i="1"/>
  <c r="K372" i="1"/>
  <c r="J372" i="1"/>
  <c r="O372" i="1" s="1"/>
  <c r="H372" i="1"/>
  <c r="N372" i="1" s="1"/>
  <c r="AQ371" i="1"/>
  <c r="AO371" i="1"/>
  <c r="AM371" i="1"/>
  <c r="AK371" i="1"/>
  <c r="AI371" i="1"/>
  <c r="AG371" i="1"/>
  <c r="AE371" i="1"/>
  <c r="AC371" i="1"/>
  <c r="V371" i="1"/>
  <c r="R371" i="1"/>
  <c r="S371" i="1" s="1"/>
  <c r="P371" i="1"/>
  <c r="O371" i="1"/>
  <c r="M371" i="1"/>
  <c r="K371" i="1"/>
  <c r="J371" i="1"/>
  <c r="H371" i="1"/>
  <c r="AQ370" i="1"/>
  <c r="AO370" i="1"/>
  <c r="AM370" i="1"/>
  <c r="AK370" i="1"/>
  <c r="AI370" i="1"/>
  <c r="AG370" i="1"/>
  <c r="AE370" i="1"/>
  <c r="AC370" i="1"/>
  <c r="V370" i="1"/>
  <c r="R370" i="1"/>
  <c r="P370" i="1"/>
  <c r="O370" i="1"/>
  <c r="M370" i="1"/>
  <c r="K370" i="1"/>
  <c r="J370" i="1"/>
  <c r="H370" i="1"/>
  <c r="L370" i="1" s="1"/>
  <c r="AQ369" i="1"/>
  <c r="AO369" i="1"/>
  <c r="N369" i="1" s="1"/>
  <c r="AM369" i="1"/>
  <c r="AK369" i="1"/>
  <c r="AI369" i="1"/>
  <c r="AG369" i="1"/>
  <c r="AE369" i="1"/>
  <c r="AC369" i="1"/>
  <c r="V369" i="1"/>
  <c r="R369" i="1"/>
  <c r="P369" i="1"/>
  <c r="O369" i="1"/>
  <c r="M369" i="1"/>
  <c r="L369" i="1"/>
  <c r="K369" i="1"/>
  <c r="J369" i="1"/>
  <c r="H369" i="1"/>
  <c r="AQ368" i="1"/>
  <c r="AO368" i="1"/>
  <c r="AM368" i="1"/>
  <c r="AK368" i="1"/>
  <c r="AI368" i="1"/>
  <c r="AG368" i="1"/>
  <c r="AE368" i="1"/>
  <c r="AC368" i="1"/>
  <c r="V368" i="1"/>
  <c r="S368" i="1"/>
  <c r="R368" i="1"/>
  <c r="P368" i="1"/>
  <c r="O368" i="1"/>
  <c r="M368" i="1"/>
  <c r="K368" i="1"/>
  <c r="J368" i="1"/>
  <c r="H368" i="1"/>
  <c r="N368" i="1" s="1"/>
  <c r="AQ367" i="1"/>
  <c r="AO367" i="1"/>
  <c r="AM367" i="1"/>
  <c r="AK367" i="1"/>
  <c r="AI367" i="1"/>
  <c r="AG367" i="1"/>
  <c r="AE367" i="1"/>
  <c r="AC367" i="1"/>
  <c r="V367" i="1"/>
  <c r="R367" i="1"/>
  <c r="P367" i="1"/>
  <c r="O367" i="1"/>
  <c r="M367" i="1"/>
  <c r="K367" i="1"/>
  <c r="J367" i="1"/>
  <c r="H367" i="1"/>
  <c r="AQ366" i="1"/>
  <c r="AO366" i="1"/>
  <c r="AM366" i="1"/>
  <c r="AK366" i="1"/>
  <c r="AI366" i="1"/>
  <c r="AG366" i="1"/>
  <c r="AE366" i="1"/>
  <c r="AC366" i="1"/>
  <c r="V366" i="1"/>
  <c r="R366" i="1"/>
  <c r="P366" i="1"/>
  <c r="O366" i="1"/>
  <c r="M366" i="1"/>
  <c r="K366" i="1"/>
  <c r="J366" i="1"/>
  <c r="H366" i="1"/>
  <c r="L366" i="1" s="1"/>
  <c r="AQ365" i="1"/>
  <c r="AO365" i="1"/>
  <c r="AM365" i="1"/>
  <c r="AK365" i="1"/>
  <c r="AI365" i="1"/>
  <c r="AG365" i="1"/>
  <c r="AE365" i="1"/>
  <c r="AC365" i="1"/>
  <c r="V365" i="1"/>
  <c r="R365" i="1"/>
  <c r="P365" i="1"/>
  <c r="O365" i="1"/>
  <c r="N365" i="1"/>
  <c r="M365" i="1"/>
  <c r="L365" i="1"/>
  <c r="K365" i="1"/>
  <c r="J365" i="1"/>
  <c r="H365" i="1"/>
  <c r="AQ364" i="1"/>
  <c r="AO364" i="1"/>
  <c r="AM364" i="1"/>
  <c r="AK364" i="1"/>
  <c r="AI364" i="1"/>
  <c r="AG364" i="1"/>
  <c r="AE364" i="1"/>
  <c r="AC364" i="1"/>
  <c r="S364" i="1" s="1"/>
  <c r="V364" i="1"/>
  <c r="R364" i="1"/>
  <c r="P364" i="1"/>
  <c r="O364" i="1"/>
  <c r="M364" i="1"/>
  <c r="K364" i="1"/>
  <c r="J364" i="1"/>
  <c r="H364" i="1"/>
  <c r="N364" i="1" s="1"/>
  <c r="AQ363" i="1"/>
  <c r="AO363" i="1"/>
  <c r="AM363" i="1"/>
  <c r="AK363" i="1"/>
  <c r="AI363" i="1"/>
  <c r="AG363" i="1"/>
  <c r="AE363" i="1"/>
  <c r="AC363" i="1"/>
  <c r="V363" i="1"/>
  <c r="R363" i="1"/>
  <c r="P363" i="1"/>
  <c r="O363" i="1"/>
  <c r="M363" i="1"/>
  <c r="K363" i="1"/>
  <c r="J363" i="1"/>
  <c r="H363" i="1"/>
  <c r="AQ362" i="1"/>
  <c r="AO362" i="1"/>
  <c r="N362" i="1" s="1"/>
  <c r="AM362" i="1"/>
  <c r="AK362" i="1"/>
  <c r="AI362" i="1"/>
  <c r="AG362" i="1"/>
  <c r="AE362" i="1"/>
  <c r="AC362" i="1"/>
  <c r="V362" i="1"/>
  <c r="R362" i="1"/>
  <c r="P362" i="1"/>
  <c r="O362" i="1"/>
  <c r="M362" i="1"/>
  <c r="K362" i="1"/>
  <c r="J362" i="1"/>
  <c r="H362" i="1"/>
  <c r="L362" i="1" s="1"/>
  <c r="AQ361" i="1"/>
  <c r="AO361" i="1"/>
  <c r="N361" i="1" s="1"/>
  <c r="AM361" i="1"/>
  <c r="AK361" i="1"/>
  <c r="AI361" i="1"/>
  <c r="AG361" i="1"/>
  <c r="AE361" i="1"/>
  <c r="AC361" i="1"/>
  <c r="V361" i="1"/>
  <c r="R361" i="1"/>
  <c r="P361" i="1"/>
  <c r="O361" i="1"/>
  <c r="M361" i="1"/>
  <c r="L361" i="1"/>
  <c r="K361" i="1"/>
  <c r="J361" i="1"/>
  <c r="H361" i="1"/>
  <c r="AQ360" i="1"/>
  <c r="AO360" i="1"/>
  <c r="AM360" i="1"/>
  <c r="AK360" i="1"/>
  <c r="AI360" i="1"/>
  <c r="AG360" i="1"/>
  <c r="AE360" i="1"/>
  <c r="AC360" i="1"/>
  <c r="V360" i="1"/>
  <c r="S360" i="1"/>
  <c r="R360" i="1"/>
  <c r="P360" i="1"/>
  <c r="M360" i="1"/>
  <c r="K360" i="1"/>
  <c r="J360" i="1"/>
  <c r="O360" i="1" s="1"/>
  <c r="H360" i="1"/>
  <c r="N360" i="1" s="1"/>
  <c r="AQ359" i="1"/>
  <c r="AO359" i="1"/>
  <c r="AM359" i="1"/>
  <c r="AK359" i="1"/>
  <c r="AI359" i="1"/>
  <c r="AG359" i="1"/>
  <c r="AE359" i="1"/>
  <c r="AC359" i="1"/>
  <c r="V359" i="1"/>
  <c r="R359" i="1"/>
  <c r="S359" i="1" s="1"/>
  <c r="P359" i="1"/>
  <c r="O359" i="1"/>
  <c r="M359" i="1"/>
  <c r="K359" i="1"/>
  <c r="J359" i="1"/>
  <c r="H359" i="1"/>
  <c r="AQ358" i="1"/>
  <c r="AO358" i="1"/>
  <c r="AM358" i="1"/>
  <c r="AK358" i="1"/>
  <c r="AI358" i="1"/>
  <c r="AG358" i="1"/>
  <c r="AE358" i="1"/>
  <c r="AC358" i="1"/>
  <c r="V358" i="1"/>
  <c r="R358" i="1"/>
  <c r="P358" i="1"/>
  <c r="O358" i="1"/>
  <c r="N358" i="1"/>
  <c r="M358" i="1"/>
  <c r="K358" i="1"/>
  <c r="J358" i="1"/>
  <c r="H358" i="1"/>
  <c r="L358" i="1" s="1"/>
  <c r="AQ357" i="1"/>
  <c r="AO357" i="1"/>
  <c r="AM357" i="1"/>
  <c r="AK357" i="1"/>
  <c r="AI357" i="1"/>
  <c r="AG357" i="1"/>
  <c r="AE357" i="1"/>
  <c r="AC357" i="1"/>
  <c r="V357" i="1"/>
  <c r="R357" i="1"/>
  <c r="P357" i="1"/>
  <c r="O357" i="1"/>
  <c r="N357" i="1"/>
  <c r="M357" i="1"/>
  <c r="L357" i="1"/>
  <c r="K357" i="1"/>
  <c r="J357" i="1"/>
  <c r="H357" i="1"/>
  <c r="AQ356" i="1"/>
  <c r="AO356" i="1"/>
  <c r="AM356" i="1"/>
  <c r="AK356" i="1"/>
  <c r="AI356" i="1"/>
  <c r="AG356" i="1"/>
  <c r="AE356" i="1"/>
  <c r="AC356" i="1"/>
  <c r="V356" i="1"/>
  <c r="S356" i="1"/>
  <c r="R356" i="1"/>
  <c r="P356" i="1"/>
  <c r="M356" i="1"/>
  <c r="K356" i="1"/>
  <c r="J356" i="1"/>
  <c r="O356" i="1" s="1"/>
  <c r="H356" i="1"/>
  <c r="N356" i="1" s="1"/>
  <c r="AQ355" i="1"/>
  <c r="AO355" i="1"/>
  <c r="AM355" i="1"/>
  <c r="AK355" i="1"/>
  <c r="AI355" i="1"/>
  <c r="AG355" i="1"/>
  <c r="AE355" i="1"/>
  <c r="AC355" i="1"/>
  <c r="V355" i="1"/>
  <c r="R355" i="1"/>
  <c r="S355" i="1" s="1"/>
  <c r="P355" i="1"/>
  <c r="O355" i="1"/>
  <c r="M355" i="1"/>
  <c r="K355" i="1"/>
  <c r="J355" i="1"/>
  <c r="H355" i="1"/>
  <c r="AQ354" i="1"/>
  <c r="AO354" i="1"/>
  <c r="AM354" i="1"/>
  <c r="AK354" i="1"/>
  <c r="AI354" i="1"/>
  <c r="AG354" i="1"/>
  <c r="AE354" i="1"/>
  <c r="AC354" i="1"/>
  <c r="V354" i="1"/>
  <c r="R354" i="1"/>
  <c r="P354" i="1"/>
  <c r="O354" i="1"/>
  <c r="M354" i="1"/>
  <c r="K354" i="1"/>
  <c r="J354" i="1"/>
  <c r="H354" i="1"/>
  <c r="L354" i="1" s="1"/>
  <c r="AQ353" i="1"/>
  <c r="AO353" i="1"/>
  <c r="N353" i="1" s="1"/>
  <c r="AM353" i="1"/>
  <c r="AK353" i="1"/>
  <c r="AI353" i="1"/>
  <c r="AG353" i="1"/>
  <c r="AE353" i="1"/>
  <c r="AC353" i="1"/>
  <c r="V353" i="1"/>
  <c r="R353" i="1"/>
  <c r="P353" i="1"/>
  <c r="O353" i="1"/>
  <c r="M353" i="1"/>
  <c r="L353" i="1"/>
  <c r="K353" i="1"/>
  <c r="J353" i="1"/>
  <c r="H353" i="1"/>
  <c r="AQ352" i="1"/>
  <c r="AO352" i="1"/>
  <c r="AM352" i="1"/>
  <c r="AK352" i="1"/>
  <c r="AI352" i="1"/>
  <c r="AG352" i="1"/>
  <c r="AE352" i="1"/>
  <c r="AC352" i="1"/>
  <c r="V352" i="1"/>
  <c r="S352" i="1"/>
  <c r="R352" i="1"/>
  <c r="P352" i="1"/>
  <c r="O352" i="1"/>
  <c r="M352" i="1"/>
  <c r="K352" i="1"/>
  <c r="J352" i="1"/>
  <c r="H352" i="1"/>
  <c r="AQ351" i="1"/>
  <c r="AO351" i="1"/>
  <c r="AM351" i="1"/>
  <c r="AK351" i="1"/>
  <c r="AI351" i="1"/>
  <c r="AG351" i="1"/>
  <c r="AE351" i="1"/>
  <c r="AC351" i="1"/>
  <c r="V351" i="1"/>
  <c r="R351" i="1"/>
  <c r="P351" i="1"/>
  <c r="O351" i="1"/>
  <c r="M351" i="1"/>
  <c r="K351" i="1"/>
  <c r="J351" i="1"/>
  <c r="H351" i="1"/>
  <c r="AQ350" i="1"/>
  <c r="AO350" i="1"/>
  <c r="AM350" i="1"/>
  <c r="AK350" i="1"/>
  <c r="AI350" i="1"/>
  <c r="AG350" i="1"/>
  <c r="AE350" i="1"/>
  <c r="AC350" i="1"/>
  <c r="V350" i="1"/>
  <c r="R350" i="1"/>
  <c r="P350" i="1"/>
  <c r="O350" i="1"/>
  <c r="M350" i="1"/>
  <c r="K350" i="1"/>
  <c r="J350" i="1"/>
  <c r="H350" i="1"/>
  <c r="AQ349" i="1"/>
  <c r="AO349" i="1"/>
  <c r="AM349" i="1"/>
  <c r="AK349" i="1"/>
  <c r="AI349" i="1"/>
  <c r="AG349" i="1"/>
  <c r="AE349" i="1"/>
  <c r="AC349" i="1"/>
  <c r="V349" i="1"/>
  <c r="R349" i="1"/>
  <c r="P349" i="1"/>
  <c r="O349" i="1"/>
  <c r="N349" i="1"/>
  <c r="M349" i="1"/>
  <c r="K349" i="1"/>
  <c r="J349" i="1"/>
  <c r="H349" i="1"/>
  <c r="L349" i="1" s="1"/>
  <c r="AQ348" i="1"/>
  <c r="AO348" i="1"/>
  <c r="AM348" i="1"/>
  <c r="AK348" i="1"/>
  <c r="AI348" i="1"/>
  <c r="AG348" i="1"/>
  <c r="AE348" i="1"/>
  <c r="AC348" i="1"/>
  <c r="S348" i="1" s="1"/>
  <c r="V348" i="1"/>
  <c r="R348" i="1"/>
  <c r="P348" i="1"/>
  <c r="O348" i="1"/>
  <c r="M348" i="1"/>
  <c r="K348" i="1"/>
  <c r="J348" i="1"/>
  <c r="H348" i="1"/>
  <c r="N348" i="1" s="1"/>
  <c r="AQ347" i="1"/>
  <c r="AO347" i="1"/>
  <c r="AM347" i="1"/>
  <c r="AK347" i="1"/>
  <c r="AI347" i="1"/>
  <c r="AG347" i="1"/>
  <c r="AE347" i="1"/>
  <c r="AC347" i="1"/>
  <c r="V347" i="1"/>
  <c r="R347" i="1"/>
  <c r="P347" i="1"/>
  <c r="M347" i="1"/>
  <c r="K347" i="1"/>
  <c r="J347" i="1"/>
  <c r="O347" i="1" s="1"/>
  <c r="H347" i="1"/>
  <c r="AQ346" i="1"/>
  <c r="AO346" i="1"/>
  <c r="N346" i="1" s="1"/>
  <c r="AM346" i="1"/>
  <c r="AK346" i="1"/>
  <c r="AI346" i="1"/>
  <c r="AG346" i="1"/>
  <c r="AE346" i="1"/>
  <c r="AC346" i="1"/>
  <c r="V346" i="1"/>
  <c r="R346" i="1"/>
  <c r="P346" i="1"/>
  <c r="O346" i="1"/>
  <c r="M346" i="1"/>
  <c r="K346" i="1"/>
  <c r="J346" i="1"/>
  <c r="H346" i="1"/>
  <c r="L346" i="1" s="1"/>
  <c r="AQ345" i="1"/>
  <c r="AO345" i="1"/>
  <c r="N345" i="1" s="1"/>
  <c r="AM345" i="1"/>
  <c r="AK345" i="1"/>
  <c r="AI345" i="1"/>
  <c r="AG345" i="1"/>
  <c r="AE345" i="1"/>
  <c r="AC345" i="1"/>
  <c r="V345" i="1"/>
  <c r="R345" i="1"/>
  <c r="P345" i="1"/>
  <c r="O345" i="1"/>
  <c r="M345" i="1"/>
  <c r="L345" i="1"/>
  <c r="K345" i="1"/>
  <c r="J345" i="1"/>
  <c r="H345" i="1"/>
  <c r="AQ344" i="1"/>
  <c r="AO344" i="1"/>
  <c r="AM344" i="1"/>
  <c r="AK344" i="1"/>
  <c r="AI344" i="1"/>
  <c r="AG344" i="1"/>
  <c r="AE344" i="1"/>
  <c r="AC344" i="1"/>
  <c r="V344" i="1"/>
  <c r="S344" i="1"/>
  <c r="R344" i="1"/>
  <c r="P344" i="1"/>
  <c r="M344" i="1"/>
  <c r="K344" i="1"/>
  <c r="J344" i="1"/>
  <c r="O344" i="1" s="1"/>
  <c r="H344" i="1"/>
  <c r="N344" i="1" s="1"/>
  <c r="AQ343" i="1"/>
  <c r="AO343" i="1"/>
  <c r="AM343" i="1"/>
  <c r="AK343" i="1"/>
  <c r="AI343" i="1"/>
  <c r="AG343" i="1"/>
  <c r="AE343" i="1"/>
  <c r="AC343" i="1"/>
  <c r="V343" i="1"/>
  <c r="R343" i="1"/>
  <c r="S343" i="1" s="1"/>
  <c r="P343" i="1"/>
  <c r="O343" i="1"/>
  <c r="M343" i="1"/>
  <c r="K343" i="1"/>
  <c r="J343" i="1"/>
  <c r="H343" i="1"/>
  <c r="AQ342" i="1"/>
  <c r="AO342" i="1"/>
  <c r="AM342" i="1"/>
  <c r="AK342" i="1"/>
  <c r="AI342" i="1"/>
  <c r="AG342" i="1"/>
  <c r="AE342" i="1"/>
  <c r="AC342" i="1"/>
  <c r="V342" i="1"/>
  <c r="R342" i="1"/>
  <c r="P342" i="1"/>
  <c r="O342" i="1"/>
  <c r="N342" i="1"/>
  <c r="M342" i="1"/>
  <c r="K342" i="1"/>
  <c r="J342" i="1"/>
  <c r="H342" i="1"/>
  <c r="L342" i="1" s="1"/>
  <c r="AQ341" i="1"/>
  <c r="AO341" i="1"/>
  <c r="AM341" i="1"/>
  <c r="AK341" i="1"/>
  <c r="AI341" i="1"/>
  <c r="AG341" i="1"/>
  <c r="AE341" i="1"/>
  <c r="AC341" i="1"/>
  <c r="V341" i="1"/>
  <c r="R341" i="1"/>
  <c r="P341" i="1"/>
  <c r="O341" i="1"/>
  <c r="N341" i="1"/>
  <c r="M341" i="1"/>
  <c r="L341" i="1"/>
  <c r="K341" i="1"/>
  <c r="J341" i="1"/>
  <c r="H341" i="1"/>
  <c r="AQ340" i="1"/>
  <c r="AO340" i="1"/>
  <c r="AM340" i="1"/>
  <c r="AK340" i="1"/>
  <c r="AI340" i="1"/>
  <c r="AG340" i="1"/>
  <c r="AE340" i="1"/>
  <c r="AC340" i="1"/>
  <c r="V340" i="1"/>
  <c r="S340" i="1"/>
  <c r="R340" i="1"/>
  <c r="P340" i="1"/>
  <c r="M340" i="1"/>
  <c r="K340" i="1"/>
  <c r="J340" i="1"/>
  <c r="O340" i="1" s="1"/>
  <c r="H340" i="1"/>
  <c r="N340" i="1" s="1"/>
  <c r="AQ339" i="1"/>
  <c r="AO339" i="1"/>
  <c r="AM339" i="1"/>
  <c r="AK339" i="1"/>
  <c r="AI339" i="1"/>
  <c r="AG339" i="1"/>
  <c r="AE339" i="1"/>
  <c r="AC339" i="1"/>
  <c r="V339" i="1"/>
  <c r="R339" i="1"/>
  <c r="S339" i="1" s="1"/>
  <c r="P339" i="1"/>
  <c r="O339" i="1"/>
  <c r="M339" i="1"/>
  <c r="K339" i="1"/>
  <c r="J339" i="1"/>
  <c r="H339" i="1"/>
  <c r="AQ338" i="1"/>
  <c r="AO338" i="1"/>
  <c r="AM338" i="1"/>
  <c r="AK338" i="1"/>
  <c r="AI338" i="1"/>
  <c r="AG338" i="1"/>
  <c r="AE338" i="1"/>
  <c r="AC338" i="1"/>
  <c r="V338" i="1"/>
  <c r="R338" i="1"/>
  <c r="P338" i="1"/>
  <c r="O338" i="1"/>
  <c r="M338" i="1"/>
  <c r="K338" i="1"/>
  <c r="J338" i="1"/>
  <c r="H338" i="1"/>
  <c r="L338" i="1" s="1"/>
  <c r="AQ337" i="1"/>
  <c r="AO337" i="1"/>
  <c r="N337" i="1" s="1"/>
  <c r="AM337" i="1"/>
  <c r="AK337" i="1"/>
  <c r="AI337" i="1"/>
  <c r="AG337" i="1"/>
  <c r="AE337" i="1"/>
  <c r="AC337" i="1"/>
  <c r="V337" i="1"/>
  <c r="R337" i="1"/>
  <c r="P337" i="1"/>
  <c r="O337" i="1"/>
  <c r="M337" i="1"/>
  <c r="L337" i="1"/>
  <c r="K337" i="1"/>
  <c r="J337" i="1"/>
  <c r="H337" i="1"/>
  <c r="AQ336" i="1"/>
  <c r="AO336" i="1"/>
  <c r="AM336" i="1"/>
  <c r="AK336" i="1"/>
  <c r="AI336" i="1"/>
  <c r="AG336" i="1"/>
  <c r="AE336" i="1"/>
  <c r="AC336" i="1"/>
  <c r="V336" i="1"/>
  <c r="S336" i="1"/>
  <c r="R336" i="1"/>
  <c r="P336" i="1"/>
  <c r="O336" i="1"/>
  <c r="M336" i="1"/>
  <c r="K336" i="1"/>
  <c r="J336" i="1"/>
  <c r="H336" i="1"/>
  <c r="AQ335" i="1"/>
  <c r="AO335" i="1"/>
  <c r="AM335" i="1"/>
  <c r="AK335" i="1"/>
  <c r="AI335" i="1"/>
  <c r="AG335" i="1"/>
  <c r="AE335" i="1"/>
  <c r="AC335" i="1"/>
  <c r="V335" i="1"/>
  <c r="R335" i="1"/>
  <c r="P335" i="1"/>
  <c r="O335" i="1"/>
  <c r="M335" i="1"/>
  <c r="K335" i="1"/>
  <c r="J335" i="1"/>
  <c r="H335" i="1"/>
  <c r="AQ334" i="1"/>
  <c r="AO334" i="1"/>
  <c r="N334" i="1" s="1"/>
  <c r="AM334" i="1"/>
  <c r="AK334" i="1"/>
  <c r="AI334" i="1"/>
  <c r="AG334" i="1"/>
  <c r="AE334" i="1"/>
  <c r="AC334" i="1"/>
  <c r="V334" i="1"/>
  <c r="R334" i="1"/>
  <c r="S334" i="1" s="1"/>
  <c r="P334" i="1"/>
  <c r="M334" i="1"/>
  <c r="K334" i="1"/>
  <c r="J334" i="1"/>
  <c r="O334" i="1" s="1"/>
  <c r="H334" i="1"/>
  <c r="AQ333" i="1"/>
  <c r="AO333" i="1"/>
  <c r="AM333" i="1"/>
  <c r="AK333" i="1"/>
  <c r="AI333" i="1"/>
  <c r="AG333" i="1"/>
  <c r="AE333" i="1"/>
  <c r="AC333" i="1"/>
  <c r="V333" i="1"/>
  <c r="R333" i="1"/>
  <c r="S333" i="1" s="1"/>
  <c r="P333" i="1"/>
  <c r="O333" i="1"/>
  <c r="M333" i="1"/>
  <c r="K333" i="1"/>
  <c r="J333" i="1"/>
  <c r="H333" i="1"/>
  <c r="N333" i="1" s="1"/>
  <c r="AQ332" i="1"/>
  <c r="AO332" i="1"/>
  <c r="AM332" i="1"/>
  <c r="AK332" i="1"/>
  <c r="AI332" i="1"/>
  <c r="AG332" i="1"/>
  <c r="AE332" i="1"/>
  <c r="AC332" i="1"/>
  <c r="V332" i="1"/>
  <c r="R332" i="1"/>
  <c r="S332" i="1" s="1"/>
  <c r="P332" i="1"/>
  <c r="O332" i="1"/>
  <c r="M332" i="1"/>
  <c r="K332" i="1"/>
  <c r="J332" i="1"/>
  <c r="H332" i="1"/>
  <c r="L332" i="1" s="1"/>
  <c r="AQ331" i="1"/>
  <c r="AO331" i="1"/>
  <c r="AM331" i="1"/>
  <c r="AK331" i="1"/>
  <c r="AI331" i="1"/>
  <c r="AG331" i="1"/>
  <c r="AE331" i="1"/>
  <c r="AC331" i="1"/>
  <c r="V331" i="1"/>
  <c r="R331" i="1"/>
  <c r="S331" i="1" s="1"/>
  <c r="P331" i="1"/>
  <c r="M331" i="1"/>
  <c r="L331" i="1"/>
  <c r="K331" i="1"/>
  <c r="J331" i="1"/>
  <c r="O331" i="1" s="1"/>
  <c r="H331" i="1"/>
  <c r="AQ330" i="1"/>
  <c r="AO330" i="1"/>
  <c r="AM330" i="1"/>
  <c r="AK330" i="1"/>
  <c r="AI330" i="1"/>
  <c r="AG330" i="1"/>
  <c r="AE330" i="1"/>
  <c r="AC330" i="1"/>
  <c r="V330" i="1"/>
  <c r="S330" i="1"/>
  <c r="R330" i="1"/>
  <c r="P330" i="1"/>
  <c r="M330" i="1"/>
  <c r="K330" i="1"/>
  <c r="J330" i="1"/>
  <c r="O330" i="1" s="1"/>
  <c r="H330" i="1"/>
  <c r="L330" i="1" s="1"/>
  <c r="AQ329" i="1"/>
  <c r="AO329" i="1"/>
  <c r="N329" i="1" s="1"/>
  <c r="AM329" i="1"/>
  <c r="AK329" i="1"/>
  <c r="AI329" i="1"/>
  <c r="AG329" i="1"/>
  <c r="AE329" i="1"/>
  <c r="AC329" i="1"/>
  <c r="V329" i="1"/>
  <c r="R329" i="1"/>
  <c r="P329" i="1"/>
  <c r="O329" i="1"/>
  <c r="M329" i="1"/>
  <c r="L329" i="1"/>
  <c r="K329" i="1"/>
  <c r="J329" i="1"/>
  <c r="H329" i="1"/>
  <c r="AQ328" i="1"/>
  <c r="AO328" i="1"/>
  <c r="AM328" i="1"/>
  <c r="AK328" i="1"/>
  <c r="AI328" i="1"/>
  <c r="AG328" i="1"/>
  <c r="AE328" i="1"/>
  <c r="AC328" i="1"/>
  <c r="V328" i="1"/>
  <c r="S328" i="1"/>
  <c r="R328" i="1"/>
  <c r="P328" i="1"/>
  <c r="N328" i="1"/>
  <c r="M328" i="1"/>
  <c r="L328" i="1"/>
  <c r="K328" i="1"/>
  <c r="J328" i="1"/>
  <c r="O328" i="1" s="1"/>
  <c r="H328" i="1"/>
  <c r="AQ327" i="1"/>
  <c r="AO327" i="1"/>
  <c r="AM327" i="1"/>
  <c r="AK327" i="1"/>
  <c r="AI327" i="1"/>
  <c r="AG327" i="1"/>
  <c r="AE327" i="1"/>
  <c r="AC327" i="1"/>
  <c r="V327" i="1"/>
  <c r="S327" i="1"/>
  <c r="R327" i="1"/>
  <c r="P327" i="1"/>
  <c r="M327" i="1"/>
  <c r="K327" i="1"/>
  <c r="J327" i="1"/>
  <c r="O327" i="1" s="1"/>
  <c r="H327" i="1"/>
  <c r="N327" i="1" s="1"/>
  <c r="AQ326" i="1"/>
  <c r="AO326" i="1"/>
  <c r="AM326" i="1"/>
  <c r="AK326" i="1"/>
  <c r="AI326" i="1"/>
  <c r="AG326" i="1"/>
  <c r="AE326" i="1"/>
  <c r="AC326" i="1"/>
  <c r="V326" i="1"/>
  <c r="R326" i="1"/>
  <c r="S326" i="1" s="1"/>
  <c r="P326" i="1"/>
  <c r="O326" i="1"/>
  <c r="M326" i="1"/>
  <c r="K326" i="1"/>
  <c r="J326" i="1"/>
  <c r="H326" i="1"/>
  <c r="AQ325" i="1"/>
  <c r="AO325" i="1"/>
  <c r="AM325" i="1"/>
  <c r="AK325" i="1"/>
  <c r="AI325" i="1"/>
  <c r="AG325" i="1"/>
  <c r="AE325" i="1"/>
  <c r="AC325" i="1"/>
  <c r="V325" i="1"/>
  <c r="R325" i="1"/>
  <c r="P325" i="1"/>
  <c r="O325" i="1"/>
  <c r="M325" i="1"/>
  <c r="K325" i="1"/>
  <c r="J325" i="1"/>
  <c r="H325" i="1"/>
  <c r="AQ324" i="1"/>
  <c r="AO324" i="1"/>
  <c r="AM324" i="1"/>
  <c r="AK324" i="1"/>
  <c r="AI324" i="1"/>
  <c r="AG324" i="1"/>
  <c r="AE324" i="1"/>
  <c r="AC324" i="1"/>
  <c r="V324" i="1"/>
  <c r="R324" i="1"/>
  <c r="P324" i="1"/>
  <c r="O324" i="1"/>
  <c r="M324" i="1"/>
  <c r="K324" i="1"/>
  <c r="J324" i="1"/>
  <c r="H324" i="1"/>
  <c r="N324" i="1" s="1"/>
  <c r="AQ323" i="1"/>
  <c r="AO323" i="1"/>
  <c r="AM323" i="1"/>
  <c r="AK323" i="1"/>
  <c r="AI323" i="1"/>
  <c r="AG323" i="1"/>
  <c r="AE323" i="1"/>
  <c r="AC323" i="1"/>
  <c r="V323" i="1"/>
  <c r="R323" i="1"/>
  <c r="S323" i="1" s="1"/>
  <c r="P323" i="1"/>
  <c r="O323" i="1"/>
  <c r="M323" i="1"/>
  <c r="L323" i="1"/>
  <c r="K323" i="1"/>
  <c r="J323" i="1"/>
  <c r="H323" i="1"/>
  <c r="AQ322" i="1"/>
  <c r="AO322" i="1"/>
  <c r="AM322" i="1"/>
  <c r="AK322" i="1"/>
  <c r="AI322" i="1"/>
  <c r="AG322" i="1"/>
  <c r="AE322" i="1"/>
  <c r="AC322" i="1"/>
  <c r="V322" i="1"/>
  <c r="S322" i="1"/>
  <c r="R322" i="1"/>
  <c r="P322" i="1"/>
  <c r="O322" i="1"/>
  <c r="M322" i="1"/>
  <c r="K322" i="1"/>
  <c r="J322" i="1"/>
  <c r="H322" i="1"/>
  <c r="AQ321" i="1"/>
  <c r="AO321" i="1"/>
  <c r="AM321" i="1"/>
  <c r="AK321" i="1"/>
  <c r="AI321" i="1"/>
  <c r="AG321" i="1"/>
  <c r="AE321" i="1"/>
  <c r="AC321" i="1"/>
  <c r="V321" i="1"/>
  <c r="R321" i="1"/>
  <c r="P321" i="1"/>
  <c r="O321" i="1"/>
  <c r="N321" i="1"/>
  <c r="M321" i="1"/>
  <c r="K321" i="1"/>
  <c r="J321" i="1"/>
  <c r="H321" i="1"/>
  <c r="L321" i="1" s="1"/>
  <c r="AQ320" i="1"/>
  <c r="AO320" i="1"/>
  <c r="AM320" i="1"/>
  <c r="AK320" i="1"/>
  <c r="AI320" i="1"/>
  <c r="AG320" i="1"/>
  <c r="AE320" i="1"/>
  <c r="AC320" i="1"/>
  <c r="S320" i="1" s="1"/>
  <c r="V320" i="1"/>
  <c r="R320" i="1"/>
  <c r="P320" i="1"/>
  <c r="O320" i="1"/>
  <c r="N320" i="1"/>
  <c r="M320" i="1"/>
  <c r="L320" i="1"/>
  <c r="K320" i="1"/>
  <c r="J320" i="1"/>
  <c r="H320" i="1"/>
  <c r="AQ319" i="1"/>
  <c r="AO319" i="1"/>
  <c r="AM319" i="1"/>
  <c r="AK319" i="1"/>
  <c r="AI319" i="1"/>
  <c r="AG319" i="1"/>
  <c r="AE319" i="1"/>
  <c r="AC319" i="1"/>
  <c r="V319" i="1"/>
  <c r="S319" i="1"/>
  <c r="R319" i="1"/>
  <c r="P319" i="1"/>
  <c r="O319" i="1"/>
  <c r="M319" i="1"/>
  <c r="K319" i="1"/>
  <c r="J319" i="1"/>
  <c r="H319" i="1"/>
  <c r="AQ318" i="1"/>
  <c r="AO318" i="1"/>
  <c r="AM318" i="1"/>
  <c r="AK318" i="1"/>
  <c r="AI318" i="1"/>
  <c r="AG318" i="1"/>
  <c r="AE318" i="1"/>
  <c r="AC318" i="1"/>
  <c r="V318" i="1"/>
  <c r="R318" i="1"/>
  <c r="P318" i="1"/>
  <c r="O318" i="1"/>
  <c r="M318" i="1"/>
  <c r="K318" i="1"/>
  <c r="J318" i="1"/>
  <c r="H318" i="1"/>
  <c r="AQ317" i="1"/>
  <c r="AO317" i="1"/>
  <c r="AM317" i="1"/>
  <c r="AK317" i="1"/>
  <c r="AI317" i="1"/>
  <c r="AG317" i="1"/>
  <c r="AE317" i="1"/>
  <c r="AC317" i="1"/>
  <c r="V317" i="1"/>
  <c r="R317" i="1"/>
  <c r="P317" i="1"/>
  <c r="O317" i="1"/>
  <c r="N317" i="1"/>
  <c r="M317" i="1"/>
  <c r="K317" i="1"/>
  <c r="J317" i="1"/>
  <c r="H317" i="1"/>
  <c r="L317" i="1" s="1"/>
  <c r="AQ316" i="1"/>
  <c r="AO316" i="1"/>
  <c r="AM316" i="1"/>
  <c r="AK316" i="1"/>
  <c r="AI316" i="1"/>
  <c r="AG316" i="1"/>
  <c r="AE316" i="1"/>
  <c r="AC316" i="1"/>
  <c r="V316" i="1"/>
  <c r="R316" i="1"/>
  <c r="P316" i="1"/>
  <c r="O316" i="1"/>
  <c r="M316" i="1"/>
  <c r="K316" i="1"/>
  <c r="J316" i="1"/>
  <c r="H316" i="1"/>
  <c r="AQ315" i="1"/>
  <c r="AO315" i="1"/>
  <c r="AM315" i="1"/>
  <c r="AK315" i="1"/>
  <c r="AI315" i="1"/>
  <c r="AG315" i="1"/>
  <c r="AE315" i="1"/>
  <c r="AC315" i="1"/>
  <c r="V315" i="1"/>
  <c r="R315" i="1"/>
  <c r="P315" i="1"/>
  <c r="O315" i="1"/>
  <c r="M315" i="1"/>
  <c r="K315" i="1"/>
  <c r="J315" i="1"/>
  <c r="H315" i="1"/>
  <c r="N315" i="1" s="1"/>
  <c r="AQ314" i="1"/>
  <c r="AO314" i="1"/>
  <c r="AM314" i="1"/>
  <c r="AK314" i="1"/>
  <c r="AI314" i="1"/>
  <c r="AG314" i="1"/>
  <c r="AE314" i="1"/>
  <c r="AC314" i="1"/>
  <c r="S314" i="1" s="1"/>
  <c r="V314" i="1"/>
  <c r="R314" i="1"/>
  <c r="P314" i="1"/>
  <c r="O314" i="1"/>
  <c r="N314" i="1"/>
  <c r="M314" i="1"/>
  <c r="K314" i="1"/>
  <c r="J314" i="1"/>
  <c r="H314" i="1"/>
  <c r="L314" i="1" s="1"/>
  <c r="AQ313" i="1"/>
  <c r="AO313" i="1"/>
  <c r="N313" i="1" s="1"/>
  <c r="AM313" i="1"/>
  <c r="AK313" i="1"/>
  <c r="AI313" i="1"/>
  <c r="AG313" i="1"/>
  <c r="AE313" i="1"/>
  <c r="AC313" i="1"/>
  <c r="V313" i="1"/>
  <c r="R313" i="1"/>
  <c r="P313" i="1"/>
  <c r="O313" i="1"/>
  <c r="M313" i="1"/>
  <c r="L313" i="1"/>
  <c r="K313" i="1"/>
  <c r="J313" i="1"/>
  <c r="H313" i="1"/>
  <c r="AQ312" i="1"/>
  <c r="AO312" i="1"/>
  <c r="AM312" i="1"/>
  <c r="AK312" i="1"/>
  <c r="AI312" i="1"/>
  <c r="AG312" i="1"/>
  <c r="AE312" i="1"/>
  <c r="AC312" i="1"/>
  <c r="V312" i="1"/>
  <c r="S312" i="1"/>
  <c r="R312" i="1"/>
  <c r="P312" i="1"/>
  <c r="N312" i="1"/>
  <c r="M312" i="1"/>
  <c r="K312" i="1"/>
  <c r="J312" i="1"/>
  <c r="O312" i="1" s="1"/>
  <c r="H312" i="1"/>
  <c r="L312" i="1" s="1"/>
  <c r="AQ311" i="1"/>
  <c r="AO311" i="1"/>
  <c r="AM311" i="1"/>
  <c r="AK311" i="1"/>
  <c r="AI311" i="1"/>
  <c r="AG311" i="1"/>
  <c r="AE311" i="1"/>
  <c r="AC311" i="1"/>
  <c r="S311" i="1" s="1"/>
  <c r="V311" i="1"/>
  <c r="R311" i="1"/>
  <c r="P311" i="1"/>
  <c r="O311" i="1"/>
  <c r="M311" i="1"/>
  <c r="K311" i="1"/>
  <c r="J311" i="1"/>
  <c r="H311" i="1"/>
  <c r="N311" i="1" s="1"/>
  <c r="AQ310" i="1"/>
  <c r="AO310" i="1"/>
  <c r="N310" i="1" s="1"/>
  <c r="AM310" i="1"/>
  <c r="AK310" i="1"/>
  <c r="AI310" i="1"/>
  <c r="AG310" i="1"/>
  <c r="AE310" i="1"/>
  <c r="AC310" i="1"/>
  <c r="V310" i="1"/>
  <c r="R310" i="1"/>
  <c r="P310" i="1"/>
  <c r="M310" i="1"/>
  <c r="K310" i="1"/>
  <c r="J310" i="1"/>
  <c r="O310" i="1" s="1"/>
  <c r="H310" i="1"/>
  <c r="AQ309" i="1"/>
  <c r="AO309" i="1"/>
  <c r="AM309" i="1"/>
  <c r="AK309" i="1"/>
  <c r="AI309" i="1"/>
  <c r="AG309" i="1"/>
  <c r="AE309" i="1"/>
  <c r="AC309" i="1"/>
  <c r="V309" i="1"/>
  <c r="R309" i="1"/>
  <c r="S309" i="1" s="1"/>
  <c r="P309" i="1"/>
  <c r="O309" i="1"/>
  <c r="M309" i="1"/>
  <c r="K309" i="1"/>
  <c r="J309" i="1"/>
  <c r="H309" i="1"/>
  <c r="L309" i="1" s="1"/>
  <c r="AQ308" i="1"/>
  <c r="AO308" i="1"/>
  <c r="AM308" i="1"/>
  <c r="AK308" i="1"/>
  <c r="AI308" i="1"/>
  <c r="AG308" i="1"/>
  <c r="AE308" i="1"/>
  <c r="AC308" i="1"/>
  <c r="V308" i="1"/>
  <c r="R308" i="1"/>
  <c r="S308" i="1" s="1"/>
  <c r="P308" i="1"/>
  <c r="O308" i="1"/>
  <c r="M308" i="1"/>
  <c r="K308" i="1"/>
  <c r="J308" i="1"/>
  <c r="H308" i="1"/>
  <c r="N308" i="1" s="1"/>
  <c r="AQ307" i="1"/>
  <c r="AO307" i="1"/>
  <c r="AM307" i="1"/>
  <c r="AK307" i="1"/>
  <c r="AI307" i="1"/>
  <c r="AG307" i="1"/>
  <c r="AE307" i="1"/>
  <c r="AC307" i="1"/>
  <c r="V307" i="1"/>
  <c r="R307" i="1"/>
  <c r="P307" i="1"/>
  <c r="M307" i="1"/>
  <c r="K307" i="1"/>
  <c r="J307" i="1"/>
  <c r="O307" i="1" s="1"/>
  <c r="H307" i="1"/>
  <c r="AQ306" i="1"/>
  <c r="AO306" i="1"/>
  <c r="AM306" i="1"/>
  <c r="AK306" i="1"/>
  <c r="AI306" i="1"/>
  <c r="AG306" i="1"/>
  <c r="AE306" i="1"/>
  <c r="AC306" i="1"/>
  <c r="V306" i="1"/>
  <c r="S306" i="1"/>
  <c r="R306" i="1"/>
  <c r="P306" i="1"/>
  <c r="N306" i="1"/>
  <c r="M306" i="1"/>
  <c r="L306" i="1"/>
  <c r="K306" i="1"/>
  <c r="J306" i="1"/>
  <c r="O306" i="1" s="1"/>
  <c r="H306" i="1"/>
  <c r="AQ305" i="1"/>
  <c r="AO305" i="1"/>
  <c r="AM305" i="1"/>
  <c r="AK305" i="1"/>
  <c r="AI305" i="1"/>
  <c r="AG305" i="1"/>
  <c r="AE305" i="1"/>
  <c r="AC305" i="1"/>
  <c r="V305" i="1"/>
  <c r="S305" i="1"/>
  <c r="R305" i="1"/>
  <c r="P305" i="1"/>
  <c r="N305" i="1"/>
  <c r="M305" i="1"/>
  <c r="L305" i="1"/>
  <c r="K305" i="1"/>
  <c r="J305" i="1"/>
  <c r="O305" i="1" s="1"/>
  <c r="H305" i="1"/>
  <c r="AQ304" i="1"/>
  <c r="AO304" i="1"/>
  <c r="AM304" i="1"/>
  <c r="AK304" i="1"/>
  <c r="AI304" i="1"/>
  <c r="AG304" i="1"/>
  <c r="AE304" i="1"/>
  <c r="AC304" i="1"/>
  <c r="V304" i="1"/>
  <c r="S304" i="1"/>
  <c r="R304" i="1"/>
  <c r="P304" i="1"/>
  <c r="N304" i="1"/>
  <c r="M304" i="1"/>
  <c r="L304" i="1"/>
  <c r="K304" i="1"/>
  <c r="J304" i="1"/>
  <c r="O304" i="1" s="1"/>
  <c r="H304" i="1"/>
  <c r="AQ303" i="1"/>
  <c r="AO303" i="1"/>
  <c r="AM303" i="1"/>
  <c r="AK303" i="1"/>
  <c r="AI303" i="1"/>
  <c r="AG303" i="1"/>
  <c r="AE303" i="1"/>
  <c r="AC303" i="1"/>
  <c r="V303" i="1"/>
  <c r="S303" i="1"/>
  <c r="R303" i="1"/>
  <c r="P303" i="1"/>
  <c r="N303" i="1"/>
  <c r="M303" i="1"/>
  <c r="L303" i="1"/>
  <c r="K303" i="1"/>
  <c r="J303" i="1"/>
  <c r="O303" i="1" s="1"/>
  <c r="H303" i="1"/>
  <c r="AQ302" i="1"/>
  <c r="AO302" i="1"/>
  <c r="AM302" i="1"/>
  <c r="AK302" i="1"/>
  <c r="AI302" i="1"/>
  <c r="AG302" i="1"/>
  <c r="AE302" i="1"/>
  <c r="AC302" i="1"/>
  <c r="V302" i="1"/>
  <c r="S302" i="1"/>
  <c r="R302" i="1"/>
  <c r="P302" i="1"/>
  <c r="N302" i="1"/>
  <c r="M302" i="1"/>
  <c r="K302" i="1"/>
  <c r="J302" i="1"/>
  <c r="O302" i="1" s="1"/>
  <c r="H302" i="1"/>
  <c r="L302" i="1" s="1"/>
  <c r="AQ301" i="1"/>
  <c r="AO301" i="1"/>
  <c r="AM301" i="1"/>
  <c r="AK301" i="1"/>
  <c r="AI301" i="1"/>
  <c r="AG301" i="1"/>
  <c r="AE301" i="1"/>
  <c r="AC301" i="1"/>
  <c r="S301" i="1" s="1"/>
  <c r="V301" i="1"/>
  <c r="R301" i="1"/>
  <c r="P301" i="1"/>
  <c r="O301" i="1"/>
  <c r="N301" i="1"/>
  <c r="M301" i="1"/>
  <c r="L301" i="1"/>
  <c r="K301" i="1"/>
  <c r="J301" i="1"/>
  <c r="H301" i="1"/>
  <c r="AQ300" i="1"/>
  <c r="AO300" i="1"/>
  <c r="AM300" i="1"/>
  <c r="AK300" i="1"/>
  <c r="AI300" i="1"/>
  <c r="AG300" i="1"/>
  <c r="AE300" i="1"/>
  <c r="AC300" i="1"/>
  <c r="V300" i="1"/>
  <c r="S300" i="1"/>
  <c r="R300" i="1"/>
  <c r="P300" i="1"/>
  <c r="N300" i="1"/>
  <c r="M300" i="1"/>
  <c r="L300" i="1"/>
  <c r="K300" i="1"/>
  <c r="J300" i="1"/>
  <c r="O300" i="1" s="1"/>
  <c r="H300" i="1"/>
  <c r="AQ299" i="1"/>
  <c r="AO299" i="1"/>
  <c r="AM299" i="1"/>
  <c r="AK299" i="1"/>
  <c r="AI299" i="1"/>
  <c r="AG299" i="1"/>
  <c r="AE299" i="1"/>
  <c r="AC299" i="1"/>
  <c r="V299" i="1"/>
  <c r="S299" i="1"/>
  <c r="R299" i="1"/>
  <c r="P299" i="1"/>
  <c r="N299" i="1"/>
  <c r="M299" i="1"/>
  <c r="L299" i="1"/>
  <c r="K299" i="1"/>
  <c r="J299" i="1"/>
  <c r="O299" i="1" s="1"/>
  <c r="H299" i="1"/>
  <c r="AQ298" i="1"/>
  <c r="AO298" i="1"/>
  <c r="AM298" i="1"/>
  <c r="AK298" i="1"/>
  <c r="AI298" i="1"/>
  <c r="AG298" i="1"/>
  <c r="AE298" i="1"/>
  <c r="AC298" i="1"/>
  <c r="V298" i="1"/>
  <c r="R298" i="1"/>
  <c r="P298" i="1"/>
  <c r="N298" i="1"/>
  <c r="M298" i="1"/>
  <c r="K298" i="1"/>
  <c r="J298" i="1"/>
  <c r="O298" i="1" s="1"/>
  <c r="H298" i="1"/>
  <c r="L298" i="1" s="1"/>
  <c r="AQ297" i="1"/>
  <c r="AO297" i="1"/>
  <c r="AM297" i="1"/>
  <c r="AK297" i="1"/>
  <c r="AI297" i="1"/>
  <c r="AG297" i="1"/>
  <c r="AE297" i="1"/>
  <c r="AC297" i="1"/>
  <c r="S297" i="1" s="1"/>
  <c r="V297" i="1"/>
  <c r="R297" i="1"/>
  <c r="P297" i="1"/>
  <c r="O297" i="1"/>
  <c r="N297" i="1"/>
  <c r="M297" i="1"/>
  <c r="L297" i="1"/>
  <c r="K297" i="1"/>
  <c r="J297" i="1"/>
  <c r="H297" i="1"/>
  <c r="AQ296" i="1"/>
  <c r="AO296" i="1"/>
  <c r="N296" i="1" s="1"/>
  <c r="AM296" i="1"/>
  <c r="AK296" i="1"/>
  <c r="AI296" i="1"/>
  <c r="AG296" i="1"/>
  <c r="AE296" i="1"/>
  <c r="AC296" i="1"/>
  <c r="V296" i="1"/>
  <c r="S296" i="1"/>
  <c r="R296" i="1"/>
  <c r="P296" i="1"/>
  <c r="M296" i="1"/>
  <c r="L296" i="1"/>
  <c r="K296" i="1"/>
  <c r="J296" i="1"/>
  <c r="O296" i="1" s="1"/>
  <c r="H296" i="1"/>
  <c r="AQ295" i="1"/>
  <c r="AO295" i="1"/>
  <c r="AM295" i="1"/>
  <c r="AK295" i="1"/>
  <c r="AI295" i="1"/>
  <c r="AG295" i="1"/>
  <c r="AE295" i="1"/>
  <c r="AC295" i="1"/>
  <c r="V295" i="1"/>
  <c r="S295" i="1"/>
  <c r="R295" i="1"/>
  <c r="P295" i="1"/>
  <c r="N295" i="1"/>
  <c r="M295" i="1"/>
  <c r="L295" i="1"/>
  <c r="K295" i="1"/>
  <c r="J295" i="1"/>
  <c r="O295" i="1" s="1"/>
  <c r="H295" i="1"/>
  <c r="AQ294" i="1"/>
  <c r="AO294" i="1"/>
  <c r="AM294" i="1"/>
  <c r="AK294" i="1"/>
  <c r="AI294" i="1"/>
  <c r="AG294" i="1"/>
  <c r="AE294" i="1"/>
  <c r="AC294" i="1"/>
  <c r="V294" i="1"/>
  <c r="R294" i="1"/>
  <c r="P294" i="1"/>
  <c r="M294" i="1"/>
  <c r="K294" i="1"/>
  <c r="J294" i="1"/>
  <c r="O294" i="1" s="1"/>
  <c r="H294" i="1"/>
  <c r="AQ293" i="1"/>
  <c r="AO293" i="1"/>
  <c r="AM293" i="1"/>
  <c r="AK293" i="1"/>
  <c r="AI293" i="1"/>
  <c r="AG293" i="1"/>
  <c r="AE293" i="1"/>
  <c r="AC293" i="1"/>
  <c r="S293" i="1" s="1"/>
  <c r="V293" i="1"/>
  <c r="R293" i="1"/>
  <c r="P293" i="1"/>
  <c r="O293" i="1"/>
  <c r="N293" i="1"/>
  <c r="M293" i="1"/>
  <c r="L293" i="1"/>
  <c r="K293" i="1"/>
  <c r="J293" i="1"/>
  <c r="H293" i="1"/>
  <c r="AQ292" i="1"/>
  <c r="AO292" i="1"/>
  <c r="N292" i="1" s="1"/>
  <c r="AM292" i="1"/>
  <c r="AK292" i="1"/>
  <c r="AI292" i="1"/>
  <c r="AG292" i="1"/>
  <c r="AE292" i="1"/>
  <c r="AC292" i="1"/>
  <c r="V292" i="1"/>
  <c r="S292" i="1"/>
  <c r="R292" i="1"/>
  <c r="P292" i="1"/>
  <c r="M292" i="1"/>
  <c r="L292" i="1"/>
  <c r="K292" i="1"/>
  <c r="J292" i="1"/>
  <c r="O292" i="1" s="1"/>
  <c r="H292" i="1"/>
  <c r="AQ291" i="1"/>
  <c r="AO291" i="1"/>
  <c r="AM291" i="1"/>
  <c r="AK291" i="1"/>
  <c r="AI291" i="1"/>
  <c r="AG291" i="1"/>
  <c r="AE291" i="1"/>
  <c r="AC291" i="1"/>
  <c r="V291" i="1"/>
  <c r="S291" i="1"/>
  <c r="R291" i="1"/>
  <c r="P291" i="1"/>
  <c r="N291" i="1"/>
  <c r="M291" i="1"/>
  <c r="L291" i="1"/>
  <c r="K291" i="1"/>
  <c r="J291" i="1"/>
  <c r="O291" i="1" s="1"/>
  <c r="H291" i="1"/>
  <c r="AQ290" i="1"/>
  <c r="AO290" i="1"/>
  <c r="AM290" i="1"/>
  <c r="AK290" i="1"/>
  <c r="AI290" i="1"/>
  <c r="AG290" i="1"/>
  <c r="AE290" i="1"/>
  <c r="AC290" i="1"/>
  <c r="V290" i="1"/>
  <c r="R290" i="1"/>
  <c r="P290" i="1"/>
  <c r="M290" i="1"/>
  <c r="K290" i="1"/>
  <c r="J290" i="1"/>
  <c r="O290" i="1" s="1"/>
  <c r="H290" i="1"/>
  <c r="L290" i="1" s="1"/>
  <c r="AQ289" i="1"/>
  <c r="AO289" i="1"/>
  <c r="AM289" i="1"/>
  <c r="AK289" i="1"/>
  <c r="AI289" i="1"/>
  <c r="AG289" i="1"/>
  <c r="AE289" i="1"/>
  <c r="AC289" i="1"/>
  <c r="V289" i="1"/>
  <c r="R289" i="1"/>
  <c r="P289" i="1"/>
  <c r="O289" i="1"/>
  <c r="N289" i="1"/>
  <c r="M289" i="1"/>
  <c r="L289" i="1"/>
  <c r="K289" i="1"/>
  <c r="J289" i="1"/>
  <c r="H289" i="1"/>
  <c r="AQ288" i="1"/>
  <c r="AO288" i="1"/>
  <c r="N288" i="1" s="1"/>
  <c r="AM288" i="1"/>
  <c r="AK288" i="1"/>
  <c r="AI288" i="1"/>
  <c r="AG288" i="1"/>
  <c r="AE288" i="1"/>
  <c r="AC288" i="1"/>
  <c r="V288" i="1"/>
  <c r="S288" i="1"/>
  <c r="R288" i="1"/>
  <c r="P288" i="1"/>
  <c r="M288" i="1"/>
  <c r="L288" i="1"/>
  <c r="K288" i="1"/>
  <c r="J288" i="1"/>
  <c r="O288" i="1" s="1"/>
  <c r="H288" i="1"/>
  <c r="AQ287" i="1"/>
  <c r="AO287" i="1"/>
  <c r="N287" i="1" s="1"/>
  <c r="AM287" i="1"/>
  <c r="AK287" i="1"/>
  <c r="AI287" i="1"/>
  <c r="AG287" i="1"/>
  <c r="AE287" i="1"/>
  <c r="AC287" i="1"/>
  <c r="V287" i="1"/>
  <c r="S287" i="1"/>
  <c r="R287" i="1"/>
  <c r="P287" i="1"/>
  <c r="M287" i="1"/>
  <c r="L287" i="1"/>
  <c r="K287" i="1"/>
  <c r="J287" i="1"/>
  <c r="O287" i="1" s="1"/>
  <c r="H287" i="1"/>
  <c r="AQ286" i="1"/>
  <c r="AO286" i="1"/>
  <c r="AM286" i="1"/>
  <c r="AK286" i="1"/>
  <c r="AI286" i="1"/>
  <c r="AG286" i="1"/>
  <c r="AE286" i="1"/>
  <c r="AC286" i="1"/>
  <c r="V286" i="1"/>
  <c r="R286" i="1"/>
  <c r="P286" i="1"/>
  <c r="M286" i="1"/>
  <c r="K286" i="1"/>
  <c r="J286" i="1"/>
  <c r="O286" i="1" s="1"/>
  <c r="H286" i="1"/>
  <c r="N286" i="1" s="1"/>
  <c r="AQ285" i="1"/>
  <c r="AO285" i="1"/>
  <c r="AM285" i="1"/>
  <c r="AK285" i="1"/>
  <c r="AI285" i="1"/>
  <c r="AG285" i="1"/>
  <c r="AE285" i="1"/>
  <c r="AC285" i="1"/>
  <c r="V285" i="1"/>
  <c r="R285" i="1"/>
  <c r="P285" i="1"/>
  <c r="O285" i="1"/>
  <c r="M285" i="1"/>
  <c r="K285" i="1"/>
  <c r="J285" i="1"/>
  <c r="H285" i="1"/>
  <c r="N285" i="1" s="1"/>
  <c r="AQ284" i="1"/>
  <c r="AO284" i="1"/>
  <c r="N284" i="1" s="1"/>
  <c r="AM284" i="1"/>
  <c r="AK284" i="1"/>
  <c r="AI284" i="1"/>
  <c r="AG284" i="1"/>
  <c r="AE284" i="1"/>
  <c r="AC284" i="1"/>
  <c r="S284" i="1" s="1"/>
  <c r="V284" i="1"/>
  <c r="R284" i="1"/>
  <c r="P284" i="1"/>
  <c r="O284" i="1"/>
  <c r="M284" i="1"/>
  <c r="L284" i="1"/>
  <c r="K284" i="1"/>
  <c r="J284" i="1"/>
  <c r="H284" i="1"/>
  <c r="AQ283" i="1"/>
  <c r="AO283" i="1"/>
  <c r="N283" i="1" s="1"/>
  <c r="AM283" i="1"/>
  <c r="AK283" i="1"/>
  <c r="AI283" i="1"/>
  <c r="AG283" i="1"/>
  <c r="AE283" i="1"/>
  <c r="AC283" i="1"/>
  <c r="V283" i="1"/>
  <c r="S283" i="1"/>
  <c r="R283" i="1"/>
  <c r="P283" i="1"/>
  <c r="M283" i="1"/>
  <c r="L283" i="1"/>
  <c r="K283" i="1"/>
  <c r="J283" i="1"/>
  <c r="O283" i="1" s="1"/>
  <c r="H283" i="1"/>
  <c r="AQ282" i="1"/>
  <c r="AO282" i="1"/>
  <c r="AM282" i="1"/>
  <c r="AK282" i="1"/>
  <c r="AI282" i="1"/>
  <c r="AG282" i="1"/>
  <c r="AE282" i="1"/>
  <c r="AC282" i="1"/>
  <c r="V282" i="1"/>
  <c r="R282" i="1"/>
  <c r="P282" i="1"/>
  <c r="N282" i="1"/>
  <c r="M282" i="1"/>
  <c r="K282" i="1"/>
  <c r="J282" i="1"/>
  <c r="O282" i="1" s="1"/>
  <c r="H282" i="1"/>
  <c r="AQ281" i="1"/>
  <c r="AO281" i="1"/>
  <c r="AM281" i="1"/>
  <c r="AK281" i="1"/>
  <c r="AI281" i="1"/>
  <c r="AG281" i="1"/>
  <c r="AE281" i="1"/>
  <c r="AC281" i="1"/>
  <c r="V281" i="1"/>
  <c r="R281" i="1"/>
  <c r="P281" i="1"/>
  <c r="O281" i="1"/>
  <c r="N281" i="1"/>
  <c r="M281" i="1"/>
  <c r="K281" i="1"/>
  <c r="J281" i="1"/>
  <c r="H281" i="1"/>
  <c r="L281" i="1" s="1"/>
  <c r="AQ280" i="1"/>
  <c r="AO280" i="1"/>
  <c r="N280" i="1" s="1"/>
  <c r="AM280" i="1"/>
  <c r="AK280" i="1"/>
  <c r="AI280" i="1"/>
  <c r="AG280" i="1"/>
  <c r="AE280" i="1"/>
  <c r="AC280" i="1"/>
  <c r="S280" i="1" s="1"/>
  <c r="V280" i="1"/>
  <c r="R280" i="1"/>
  <c r="P280" i="1"/>
  <c r="O280" i="1"/>
  <c r="M280" i="1"/>
  <c r="L280" i="1"/>
  <c r="K280" i="1"/>
  <c r="J280" i="1"/>
  <c r="H280" i="1"/>
  <c r="AQ279" i="1"/>
  <c r="AO279" i="1"/>
  <c r="N279" i="1" s="1"/>
  <c r="AM279" i="1"/>
  <c r="AK279" i="1"/>
  <c r="AI279" i="1"/>
  <c r="AG279" i="1"/>
  <c r="AE279" i="1"/>
  <c r="AC279" i="1"/>
  <c r="V279" i="1"/>
  <c r="S279" i="1"/>
  <c r="R279" i="1"/>
  <c r="P279" i="1"/>
  <c r="M279" i="1"/>
  <c r="L279" i="1"/>
  <c r="K279" i="1"/>
  <c r="J279" i="1"/>
  <c r="O279" i="1" s="1"/>
  <c r="H279" i="1"/>
  <c r="AQ278" i="1"/>
  <c r="AO278" i="1"/>
  <c r="AM278" i="1"/>
  <c r="AK278" i="1"/>
  <c r="AI278" i="1"/>
  <c r="AG278" i="1"/>
  <c r="AE278" i="1"/>
  <c r="AC278" i="1"/>
  <c r="V278" i="1"/>
  <c r="R278" i="1"/>
  <c r="P278" i="1"/>
  <c r="M278" i="1"/>
  <c r="K278" i="1"/>
  <c r="J278" i="1"/>
  <c r="O278" i="1" s="1"/>
  <c r="H278" i="1"/>
  <c r="AQ277" i="1"/>
  <c r="AO277" i="1"/>
  <c r="AM277" i="1"/>
  <c r="AK277" i="1"/>
  <c r="AI277" i="1"/>
  <c r="AG277" i="1"/>
  <c r="AE277" i="1"/>
  <c r="AC277" i="1"/>
  <c r="V277" i="1"/>
  <c r="R277" i="1"/>
  <c r="P277" i="1"/>
  <c r="O277" i="1"/>
  <c r="N277" i="1"/>
  <c r="M277" i="1"/>
  <c r="L277" i="1"/>
  <c r="K277" i="1"/>
  <c r="J277" i="1"/>
  <c r="H277" i="1"/>
  <c r="AQ276" i="1"/>
  <c r="AO276" i="1"/>
  <c r="N276" i="1" s="1"/>
  <c r="AM276" i="1"/>
  <c r="AK276" i="1"/>
  <c r="AI276" i="1"/>
  <c r="AG276" i="1"/>
  <c r="AE276" i="1"/>
  <c r="AC276" i="1"/>
  <c r="V276" i="1"/>
  <c r="S276" i="1"/>
  <c r="R276" i="1"/>
  <c r="P276" i="1"/>
  <c r="M276" i="1"/>
  <c r="L276" i="1"/>
  <c r="K276" i="1"/>
  <c r="J276" i="1"/>
  <c r="O276" i="1" s="1"/>
  <c r="H276" i="1"/>
  <c r="AQ275" i="1"/>
  <c r="AO275" i="1"/>
  <c r="AM275" i="1"/>
  <c r="AK275" i="1"/>
  <c r="AI275" i="1"/>
  <c r="AG275" i="1"/>
  <c r="AE275" i="1"/>
  <c r="AC275" i="1"/>
  <c r="V275" i="1"/>
  <c r="S275" i="1"/>
  <c r="R275" i="1"/>
  <c r="P275" i="1"/>
  <c r="M275" i="1"/>
  <c r="L275" i="1"/>
  <c r="K275" i="1"/>
  <c r="J275" i="1"/>
  <c r="O275" i="1" s="1"/>
  <c r="H275" i="1"/>
  <c r="N275" i="1" s="1"/>
  <c r="AQ274" i="1"/>
  <c r="AO274" i="1"/>
  <c r="AM274" i="1"/>
  <c r="AK274" i="1"/>
  <c r="AI274" i="1"/>
  <c r="AG274" i="1"/>
  <c r="AE274" i="1"/>
  <c r="AC274" i="1"/>
  <c r="V274" i="1"/>
  <c r="R274" i="1"/>
  <c r="P274" i="1"/>
  <c r="N274" i="1"/>
  <c r="M274" i="1"/>
  <c r="K274" i="1"/>
  <c r="J274" i="1"/>
  <c r="O274" i="1" s="1"/>
  <c r="H274" i="1"/>
  <c r="AQ273" i="1"/>
  <c r="AO273" i="1"/>
  <c r="AM273" i="1"/>
  <c r="AK273" i="1"/>
  <c r="AI273" i="1"/>
  <c r="AG273" i="1"/>
  <c r="AE273" i="1"/>
  <c r="AC273" i="1"/>
  <c r="V273" i="1"/>
  <c r="R273" i="1"/>
  <c r="P273" i="1"/>
  <c r="O273" i="1"/>
  <c r="M273" i="1"/>
  <c r="L273" i="1"/>
  <c r="K273" i="1"/>
  <c r="J273" i="1"/>
  <c r="H273" i="1"/>
  <c r="N273" i="1" s="1"/>
  <c r="AQ272" i="1"/>
  <c r="AO272" i="1"/>
  <c r="N272" i="1" s="1"/>
  <c r="AM272" i="1"/>
  <c r="AK272" i="1"/>
  <c r="AI272" i="1"/>
  <c r="AG272" i="1"/>
  <c r="AE272" i="1"/>
  <c r="AC272" i="1"/>
  <c r="V272" i="1"/>
  <c r="S272" i="1"/>
  <c r="R272" i="1"/>
  <c r="P272" i="1"/>
  <c r="O272" i="1"/>
  <c r="M272" i="1"/>
  <c r="L272" i="1"/>
  <c r="K272" i="1"/>
  <c r="J272" i="1"/>
  <c r="H272" i="1"/>
  <c r="AQ271" i="1"/>
  <c r="AO271" i="1"/>
  <c r="AM271" i="1"/>
  <c r="AK271" i="1"/>
  <c r="AI271" i="1"/>
  <c r="AG271" i="1"/>
  <c r="AE271" i="1"/>
  <c r="AC271" i="1"/>
  <c r="V271" i="1"/>
  <c r="S271" i="1"/>
  <c r="R271" i="1"/>
  <c r="P271" i="1"/>
  <c r="M271" i="1"/>
  <c r="K271" i="1"/>
  <c r="J271" i="1"/>
  <c r="O271" i="1" s="1"/>
  <c r="H271" i="1"/>
  <c r="N271" i="1" s="1"/>
  <c r="AQ270" i="1"/>
  <c r="AO270" i="1"/>
  <c r="AM270" i="1"/>
  <c r="AK270" i="1"/>
  <c r="AI270" i="1"/>
  <c r="AG270" i="1"/>
  <c r="AE270" i="1"/>
  <c r="AC270" i="1"/>
  <c r="V270" i="1"/>
  <c r="R270" i="1"/>
  <c r="P270" i="1"/>
  <c r="O270" i="1"/>
  <c r="M270" i="1"/>
  <c r="K270" i="1"/>
  <c r="J270" i="1"/>
  <c r="H270" i="1"/>
  <c r="L270" i="1" s="1"/>
  <c r="AQ269" i="1"/>
  <c r="AO269" i="1"/>
  <c r="AM269" i="1"/>
  <c r="AK269" i="1"/>
  <c r="AI269" i="1"/>
  <c r="AG269" i="1"/>
  <c r="AE269" i="1"/>
  <c r="AC269" i="1"/>
  <c r="V269" i="1"/>
  <c r="R269" i="1"/>
  <c r="S269" i="1" s="1"/>
  <c r="P269" i="1"/>
  <c r="O269" i="1"/>
  <c r="M269" i="1"/>
  <c r="L269" i="1"/>
  <c r="K269" i="1"/>
  <c r="J269" i="1"/>
  <c r="H269" i="1"/>
  <c r="AQ268" i="1"/>
  <c r="AO268" i="1"/>
  <c r="AM268" i="1"/>
  <c r="AK268" i="1"/>
  <c r="AI268" i="1"/>
  <c r="AG268" i="1"/>
  <c r="AE268" i="1"/>
  <c r="AC268" i="1"/>
  <c r="V268" i="1"/>
  <c r="S268" i="1"/>
  <c r="R268" i="1"/>
  <c r="P268" i="1"/>
  <c r="O268" i="1"/>
  <c r="M268" i="1"/>
  <c r="L268" i="1"/>
  <c r="K268" i="1"/>
  <c r="J268" i="1"/>
  <c r="H268" i="1"/>
  <c r="N268" i="1" s="1"/>
  <c r="AQ267" i="1"/>
  <c r="AO267" i="1"/>
  <c r="AM267" i="1"/>
  <c r="AK267" i="1"/>
  <c r="AI267" i="1"/>
  <c r="AG267" i="1"/>
  <c r="AE267" i="1"/>
  <c r="AC267" i="1"/>
  <c r="V267" i="1"/>
  <c r="S267" i="1"/>
  <c r="R267" i="1"/>
  <c r="P267" i="1"/>
  <c r="O267" i="1"/>
  <c r="M267" i="1"/>
  <c r="K267" i="1"/>
  <c r="J267" i="1"/>
  <c r="H267" i="1"/>
  <c r="AQ266" i="1"/>
  <c r="O266" i="1" s="1"/>
  <c r="AO266" i="1"/>
  <c r="AM266" i="1"/>
  <c r="AK266" i="1"/>
  <c r="AI266" i="1"/>
  <c r="AG266" i="1"/>
  <c r="AE266" i="1"/>
  <c r="AC266" i="1"/>
  <c r="V266" i="1"/>
  <c r="R266" i="1"/>
  <c r="P266" i="1"/>
  <c r="M266" i="1"/>
  <c r="K266" i="1"/>
  <c r="J266" i="1"/>
  <c r="H266" i="1"/>
  <c r="AQ265" i="1"/>
  <c r="O265" i="1" s="1"/>
  <c r="AO265" i="1"/>
  <c r="AM265" i="1"/>
  <c r="AK265" i="1"/>
  <c r="AI265" i="1"/>
  <c r="AG265" i="1"/>
  <c r="AE265" i="1"/>
  <c r="AC265" i="1"/>
  <c r="V265" i="1"/>
  <c r="R265" i="1"/>
  <c r="P265" i="1"/>
  <c r="N265" i="1"/>
  <c r="M265" i="1"/>
  <c r="K265" i="1"/>
  <c r="J265" i="1"/>
  <c r="H265" i="1"/>
  <c r="L265" i="1" s="1"/>
  <c r="AQ264" i="1"/>
  <c r="AO264" i="1"/>
  <c r="AM264" i="1"/>
  <c r="AK264" i="1"/>
  <c r="AI264" i="1"/>
  <c r="AG264" i="1"/>
  <c r="AE264" i="1"/>
  <c r="AC264" i="1"/>
  <c r="V264" i="1"/>
  <c r="R264" i="1"/>
  <c r="S264" i="1" s="1"/>
  <c r="P264" i="1"/>
  <c r="O264" i="1"/>
  <c r="M264" i="1"/>
  <c r="K264" i="1"/>
  <c r="J264" i="1"/>
  <c r="H264" i="1"/>
  <c r="AQ263" i="1"/>
  <c r="AO263" i="1"/>
  <c r="AM263" i="1"/>
  <c r="AK263" i="1"/>
  <c r="AI263" i="1"/>
  <c r="AG263" i="1"/>
  <c r="AE263" i="1"/>
  <c r="AC263" i="1"/>
  <c r="V263" i="1"/>
  <c r="R263" i="1"/>
  <c r="P263" i="1"/>
  <c r="M263" i="1"/>
  <c r="K263" i="1"/>
  <c r="J263" i="1"/>
  <c r="O263" i="1" s="1"/>
  <c r="H263" i="1"/>
  <c r="AQ262" i="1"/>
  <c r="AO262" i="1"/>
  <c r="N262" i="1" s="1"/>
  <c r="AM262" i="1"/>
  <c r="AK262" i="1"/>
  <c r="AI262" i="1"/>
  <c r="AG262" i="1"/>
  <c r="AE262" i="1"/>
  <c r="AC262" i="1"/>
  <c r="V262" i="1"/>
  <c r="R262" i="1"/>
  <c r="P262" i="1"/>
  <c r="O262" i="1"/>
  <c r="M262" i="1"/>
  <c r="K262" i="1"/>
  <c r="J262" i="1"/>
  <c r="H262" i="1"/>
  <c r="AQ261" i="1"/>
  <c r="O261" i="1" s="1"/>
  <c r="AO261" i="1"/>
  <c r="AM261" i="1"/>
  <c r="AK261" i="1"/>
  <c r="AI261" i="1"/>
  <c r="AG261" i="1"/>
  <c r="AE261" i="1"/>
  <c r="AC261" i="1"/>
  <c r="V261" i="1"/>
  <c r="R261" i="1"/>
  <c r="S261" i="1" s="1"/>
  <c r="P261" i="1"/>
  <c r="M261" i="1"/>
  <c r="L261" i="1"/>
  <c r="K261" i="1"/>
  <c r="J261" i="1"/>
  <c r="H261" i="1"/>
  <c r="N261" i="1" s="1"/>
  <c r="AQ260" i="1"/>
  <c r="AO260" i="1"/>
  <c r="AM260" i="1"/>
  <c r="AK260" i="1"/>
  <c r="AI260" i="1"/>
  <c r="AG260" i="1"/>
  <c r="AE260" i="1"/>
  <c r="AC260" i="1"/>
  <c r="V260" i="1"/>
  <c r="R260" i="1"/>
  <c r="P260" i="1"/>
  <c r="N260" i="1"/>
  <c r="M260" i="1"/>
  <c r="K260" i="1"/>
  <c r="J260" i="1"/>
  <c r="O260" i="1" s="1"/>
  <c r="H260" i="1"/>
  <c r="L260" i="1" s="1"/>
  <c r="AQ259" i="1"/>
  <c r="AO259" i="1"/>
  <c r="AM259" i="1"/>
  <c r="AK259" i="1"/>
  <c r="AI259" i="1"/>
  <c r="AG259" i="1"/>
  <c r="AE259" i="1"/>
  <c r="AC259" i="1"/>
  <c r="V259" i="1"/>
  <c r="R259" i="1"/>
  <c r="S259" i="1" s="1"/>
  <c r="P259" i="1"/>
  <c r="O259" i="1"/>
  <c r="M259" i="1"/>
  <c r="K259" i="1"/>
  <c r="J259" i="1"/>
  <c r="H259" i="1"/>
  <c r="AQ258" i="1"/>
  <c r="AO258" i="1"/>
  <c r="AM258" i="1"/>
  <c r="AK258" i="1"/>
  <c r="AI258" i="1"/>
  <c r="AG258" i="1"/>
  <c r="AE258" i="1"/>
  <c r="AC258" i="1"/>
  <c r="V258" i="1"/>
  <c r="R258" i="1"/>
  <c r="P258" i="1"/>
  <c r="N258" i="1"/>
  <c r="M258" i="1"/>
  <c r="K258" i="1"/>
  <c r="J258" i="1"/>
  <c r="O258" i="1" s="1"/>
  <c r="H258" i="1"/>
  <c r="AQ257" i="1"/>
  <c r="O257" i="1" s="1"/>
  <c r="AO257" i="1"/>
  <c r="AM257" i="1"/>
  <c r="AK257" i="1"/>
  <c r="AI257" i="1"/>
  <c r="AG257" i="1"/>
  <c r="AE257" i="1"/>
  <c r="AC257" i="1"/>
  <c r="V257" i="1"/>
  <c r="R257" i="1"/>
  <c r="S257" i="1" s="1"/>
  <c r="P257" i="1"/>
  <c r="M257" i="1"/>
  <c r="K257" i="1"/>
  <c r="J257" i="1"/>
  <c r="H257" i="1"/>
  <c r="L257" i="1" s="1"/>
  <c r="AQ256" i="1"/>
  <c r="O256" i="1" s="1"/>
  <c r="AO256" i="1"/>
  <c r="AM256" i="1"/>
  <c r="AK256" i="1"/>
  <c r="AI256" i="1"/>
  <c r="AG256" i="1"/>
  <c r="AE256" i="1"/>
  <c r="AC256" i="1"/>
  <c r="S256" i="1" s="1"/>
  <c r="V256" i="1"/>
  <c r="R256" i="1"/>
  <c r="P256" i="1"/>
  <c r="N256" i="1"/>
  <c r="M256" i="1"/>
  <c r="L256" i="1"/>
  <c r="K256" i="1"/>
  <c r="J256" i="1"/>
  <c r="H256" i="1"/>
  <c r="AQ255" i="1"/>
  <c r="AO255" i="1"/>
  <c r="AM255" i="1"/>
  <c r="AK255" i="1"/>
  <c r="AI255" i="1"/>
  <c r="AG255" i="1"/>
  <c r="AE255" i="1"/>
  <c r="AC255" i="1"/>
  <c r="V255" i="1"/>
  <c r="R255" i="1"/>
  <c r="P255" i="1"/>
  <c r="M255" i="1"/>
  <c r="K255" i="1"/>
  <c r="J255" i="1"/>
  <c r="O255" i="1" s="1"/>
  <c r="H255" i="1"/>
  <c r="AQ254" i="1"/>
  <c r="AO254" i="1"/>
  <c r="AM254" i="1"/>
  <c r="AK254" i="1"/>
  <c r="AI254" i="1"/>
  <c r="AG254" i="1"/>
  <c r="AE254" i="1"/>
  <c r="AC254" i="1"/>
  <c r="V254" i="1"/>
  <c r="R254" i="1"/>
  <c r="P254" i="1"/>
  <c r="N254" i="1"/>
  <c r="M254" i="1"/>
  <c r="K254" i="1"/>
  <c r="J254" i="1"/>
  <c r="O254" i="1" s="1"/>
  <c r="H254" i="1"/>
  <c r="AQ253" i="1"/>
  <c r="O253" i="1" s="1"/>
  <c r="AO253" i="1"/>
  <c r="N253" i="1" s="1"/>
  <c r="AM253" i="1"/>
  <c r="AK253" i="1"/>
  <c r="AI253" i="1"/>
  <c r="AG253" i="1"/>
  <c r="AE253" i="1"/>
  <c r="AC253" i="1"/>
  <c r="V253" i="1"/>
  <c r="R253" i="1"/>
  <c r="P253" i="1"/>
  <c r="M253" i="1"/>
  <c r="L253" i="1"/>
  <c r="K253" i="1"/>
  <c r="J253" i="1"/>
  <c r="H253" i="1"/>
  <c r="AQ252" i="1"/>
  <c r="AO252" i="1"/>
  <c r="AM252" i="1"/>
  <c r="AK252" i="1"/>
  <c r="AI252" i="1"/>
  <c r="AG252" i="1"/>
  <c r="AE252" i="1"/>
  <c r="AC252" i="1"/>
  <c r="V252" i="1"/>
  <c r="S252" i="1"/>
  <c r="R252" i="1"/>
  <c r="P252" i="1"/>
  <c r="M252" i="1"/>
  <c r="L252" i="1"/>
  <c r="K252" i="1"/>
  <c r="J252" i="1"/>
  <c r="O252" i="1" s="1"/>
  <c r="H252" i="1"/>
  <c r="N252" i="1" s="1"/>
  <c r="AQ251" i="1"/>
  <c r="AO251" i="1"/>
  <c r="AM251" i="1"/>
  <c r="AK251" i="1"/>
  <c r="AI251" i="1"/>
  <c r="AG251" i="1"/>
  <c r="AE251" i="1"/>
  <c r="AC251" i="1"/>
  <c r="V251" i="1"/>
  <c r="R251" i="1"/>
  <c r="P251" i="1"/>
  <c r="M251" i="1"/>
  <c r="K251" i="1"/>
  <c r="J251" i="1"/>
  <c r="O251" i="1" s="1"/>
  <c r="H251" i="1"/>
  <c r="N251" i="1" s="1"/>
  <c r="AQ250" i="1"/>
  <c r="AO250" i="1"/>
  <c r="AM250" i="1"/>
  <c r="AK250" i="1"/>
  <c r="AI250" i="1"/>
  <c r="AG250" i="1"/>
  <c r="AE250" i="1"/>
  <c r="AC250" i="1"/>
  <c r="S250" i="1" s="1"/>
  <c r="V250" i="1"/>
  <c r="R250" i="1"/>
  <c r="P250" i="1"/>
  <c r="N250" i="1"/>
  <c r="M250" i="1"/>
  <c r="K250" i="1"/>
  <c r="J250" i="1"/>
  <c r="O250" i="1" s="1"/>
  <c r="H250" i="1"/>
  <c r="L250" i="1" s="1"/>
  <c r="AQ249" i="1"/>
  <c r="AO249" i="1"/>
  <c r="AM249" i="1"/>
  <c r="AK249" i="1"/>
  <c r="AI249" i="1"/>
  <c r="AG249" i="1"/>
  <c r="AE249" i="1"/>
  <c r="AC249" i="1"/>
  <c r="V249" i="1"/>
  <c r="R249" i="1"/>
  <c r="S249" i="1" s="1"/>
  <c r="P249" i="1"/>
  <c r="O249" i="1"/>
  <c r="M249" i="1"/>
  <c r="K249" i="1"/>
  <c r="J249" i="1"/>
  <c r="H249" i="1"/>
  <c r="N249" i="1" s="1"/>
  <c r="AQ248" i="1"/>
  <c r="AO248" i="1"/>
  <c r="AM248" i="1"/>
  <c r="AK248" i="1"/>
  <c r="AI248" i="1"/>
  <c r="AG248" i="1"/>
  <c r="AE248" i="1"/>
  <c r="AC248" i="1"/>
  <c r="S248" i="1" s="1"/>
  <c r="V248" i="1"/>
  <c r="R248" i="1"/>
  <c r="P248" i="1"/>
  <c r="O248" i="1"/>
  <c r="M248" i="1"/>
  <c r="K248" i="1"/>
  <c r="J248" i="1"/>
  <c r="H248" i="1"/>
  <c r="L248" i="1" s="1"/>
  <c r="AQ247" i="1"/>
  <c r="AO247" i="1"/>
  <c r="AM247" i="1"/>
  <c r="AK247" i="1"/>
  <c r="AI247" i="1"/>
  <c r="AG247" i="1"/>
  <c r="AE247" i="1"/>
  <c r="AC247" i="1"/>
  <c r="S247" i="1" s="1"/>
  <c r="V247" i="1"/>
  <c r="R247" i="1"/>
  <c r="P247" i="1"/>
  <c r="M247" i="1"/>
  <c r="L247" i="1"/>
  <c r="K247" i="1"/>
  <c r="J247" i="1"/>
  <c r="O247" i="1" s="1"/>
  <c r="H247" i="1"/>
  <c r="AQ246" i="1"/>
  <c r="AO246" i="1"/>
  <c r="AM246" i="1"/>
  <c r="AK246" i="1"/>
  <c r="AI246" i="1"/>
  <c r="AG246" i="1"/>
  <c r="AE246" i="1"/>
  <c r="AC246" i="1"/>
  <c r="V246" i="1"/>
  <c r="S246" i="1"/>
  <c r="R246" i="1"/>
  <c r="P246" i="1"/>
  <c r="M246" i="1"/>
  <c r="K246" i="1"/>
  <c r="J246" i="1"/>
  <c r="O246" i="1" s="1"/>
  <c r="H246" i="1"/>
  <c r="L246" i="1" s="1"/>
  <c r="AQ245" i="1"/>
  <c r="AO245" i="1"/>
  <c r="N245" i="1" s="1"/>
  <c r="AM245" i="1"/>
  <c r="AK245" i="1"/>
  <c r="AI245" i="1"/>
  <c r="AG245" i="1"/>
  <c r="AE245" i="1"/>
  <c r="AC245" i="1"/>
  <c r="V245" i="1"/>
  <c r="R245" i="1"/>
  <c r="P245" i="1"/>
  <c r="O245" i="1"/>
  <c r="M245" i="1"/>
  <c r="L245" i="1"/>
  <c r="K245" i="1"/>
  <c r="J245" i="1"/>
  <c r="H245" i="1"/>
  <c r="AQ244" i="1"/>
  <c r="AO244" i="1"/>
  <c r="N244" i="1" s="1"/>
  <c r="AM244" i="1"/>
  <c r="AK244" i="1"/>
  <c r="AI244" i="1"/>
  <c r="AG244" i="1"/>
  <c r="AE244" i="1"/>
  <c r="AC244" i="1"/>
  <c r="V244" i="1"/>
  <c r="S244" i="1"/>
  <c r="R244" i="1"/>
  <c r="P244" i="1"/>
  <c r="M244" i="1"/>
  <c r="L244" i="1"/>
  <c r="K244" i="1"/>
  <c r="J244" i="1"/>
  <c r="O244" i="1" s="1"/>
  <c r="H244" i="1"/>
  <c r="AQ243" i="1"/>
  <c r="AO243" i="1"/>
  <c r="AM243" i="1"/>
  <c r="AK243" i="1"/>
  <c r="AI243" i="1"/>
  <c r="AG243" i="1"/>
  <c r="AE243" i="1"/>
  <c r="AC243" i="1"/>
  <c r="V243" i="1"/>
  <c r="S243" i="1"/>
  <c r="R243" i="1"/>
  <c r="P243" i="1"/>
  <c r="M243" i="1"/>
  <c r="K243" i="1"/>
  <c r="J243" i="1"/>
  <c r="O243" i="1" s="1"/>
  <c r="H243" i="1"/>
  <c r="N243" i="1" s="1"/>
  <c r="AQ242" i="1"/>
  <c r="AO242" i="1"/>
  <c r="AM242" i="1"/>
  <c r="AK242" i="1"/>
  <c r="AI242" i="1"/>
  <c r="AG242" i="1"/>
  <c r="AE242" i="1"/>
  <c r="AC242" i="1"/>
  <c r="S242" i="1" s="1"/>
  <c r="V242" i="1"/>
  <c r="R242" i="1"/>
  <c r="P242" i="1"/>
  <c r="O242" i="1"/>
  <c r="M242" i="1"/>
  <c r="K242" i="1"/>
  <c r="J242" i="1"/>
  <c r="H242" i="1"/>
  <c r="L242" i="1" s="1"/>
  <c r="AQ241" i="1"/>
  <c r="O241" i="1" s="1"/>
  <c r="AO241" i="1"/>
  <c r="AM241" i="1"/>
  <c r="AK241" i="1"/>
  <c r="AI241" i="1"/>
  <c r="AG241" i="1"/>
  <c r="AE241" i="1"/>
  <c r="AC241" i="1"/>
  <c r="V241" i="1"/>
  <c r="R241" i="1"/>
  <c r="P241" i="1"/>
  <c r="M241" i="1"/>
  <c r="K241" i="1"/>
  <c r="J241" i="1"/>
  <c r="H241" i="1"/>
  <c r="AQ240" i="1"/>
  <c r="AO240" i="1"/>
  <c r="AM240" i="1"/>
  <c r="AK240" i="1"/>
  <c r="AI240" i="1"/>
  <c r="AG240" i="1"/>
  <c r="AE240" i="1"/>
  <c r="AC240" i="1"/>
  <c r="S240" i="1" s="1"/>
  <c r="V240" i="1"/>
  <c r="R240" i="1"/>
  <c r="P240" i="1"/>
  <c r="O240" i="1"/>
  <c r="M240" i="1"/>
  <c r="K240" i="1"/>
  <c r="J240" i="1"/>
  <c r="H240" i="1"/>
  <c r="N240" i="1" s="1"/>
  <c r="AQ239" i="1"/>
  <c r="AO239" i="1"/>
  <c r="AM239" i="1"/>
  <c r="AK239" i="1"/>
  <c r="AI239" i="1"/>
  <c r="AG239" i="1"/>
  <c r="AE239" i="1"/>
  <c r="AC239" i="1"/>
  <c r="S239" i="1" s="1"/>
  <c r="V239" i="1"/>
  <c r="R239" i="1"/>
  <c r="P239" i="1"/>
  <c r="O239" i="1"/>
  <c r="M239" i="1"/>
  <c r="L239" i="1"/>
  <c r="K239" i="1"/>
  <c r="J239" i="1"/>
  <c r="H239" i="1"/>
  <c r="AQ238" i="1"/>
  <c r="AO238" i="1"/>
  <c r="AM238" i="1"/>
  <c r="AK238" i="1"/>
  <c r="AI238" i="1"/>
  <c r="AG238" i="1"/>
  <c r="AE238" i="1"/>
  <c r="AC238" i="1"/>
  <c r="V238" i="1"/>
  <c r="S238" i="1"/>
  <c r="R238" i="1"/>
  <c r="P238" i="1"/>
  <c r="O238" i="1"/>
  <c r="M238" i="1"/>
  <c r="K238" i="1"/>
  <c r="J238" i="1"/>
  <c r="H238" i="1"/>
  <c r="AQ237" i="1"/>
  <c r="O237" i="1" s="1"/>
  <c r="AO237" i="1"/>
  <c r="AM237" i="1"/>
  <c r="AK237" i="1"/>
  <c r="AI237" i="1"/>
  <c r="AG237" i="1"/>
  <c r="AE237" i="1"/>
  <c r="AC237" i="1"/>
  <c r="V237" i="1"/>
  <c r="R237" i="1"/>
  <c r="P237" i="1"/>
  <c r="N237" i="1"/>
  <c r="M237" i="1"/>
  <c r="K237" i="1"/>
  <c r="J237" i="1"/>
  <c r="H237" i="1"/>
  <c r="L237" i="1" s="1"/>
  <c r="AQ236" i="1"/>
  <c r="AO236" i="1"/>
  <c r="AM236" i="1"/>
  <c r="AK236" i="1"/>
  <c r="AI236" i="1"/>
  <c r="AG236" i="1"/>
  <c r="AE236" i="1"/>
  <c r="AC236" i="1"/>
  <c r="V236" i="1"/>
  <c r="R236" i="1"/>
  <c r="S236" i="1" s="1"/>
  <c r="P236" i="1"/>
  <c r="O236" i="1"/>
  <c r="N236" i="1"/>
  <c r="M236" i="1"/>
  <c r="L236" i="1"/>
  <c r="K236" i="1"/>
  <c r="J236" i="1"/>
  <c r="H236" i="1"/>
  <c r="AQ235" i="1"/>
  <c r="AO235" i="1"/>
  <c r="AM235" i="1"/>
  <c r="AK235" i="1"/>
  <c r="AI235" i="1"/>
  <c r="AG235" i="1"/>
  <c r="AE235" i="1"/>
  <c r="AC235" i="1"/>
  <c r="V235" i="1"/>
  <c r="S235" i="1"/>
  <c r="R235" i="1"/>
  <c r="P235" i="1"/>
  <c r="O235" i="1"/>
  <c r="M235" i="1"/>
  <c r="K235" i="1"/>
  <c r="J235" i="1"/>
  <c r="H235" i="1"/>
  <c r="AQ234" i="1"/>
  <c r="AO234" i="1"/>
  <c r="AM234" i="1"/>
  <c r="AK234" i="1"/>
  <c r="AI234" i="1"/>
  <c r="AG234" i="1"/>
  <c r="AE234" i="1"/>
  <c r="AC234" i="1"/>
  <c r="S234" i="1" s="1"/>
  <c r="V234" i="1"/>
  <c r="R234" i="1"/>
  <c r="P234" i="1"/>
  <c r="O234" i="1"/>
  <c r="M234" i="1"/>
  <c r="K234" i="1"/>
  <c r="J234" i="1"/>
  <c r="H234" i="1"/>
  <c r="L234" i="1" s="1"/>
  <c r="AQ233" i="1"/>
  <c r="O233" i="1" s="1"/>
  <c r="AO233" i="1"/>
  <c r="AM233" i="1"/>
  <c r="AK233" i="1"/>
  <c r="AI233" i="1"/>
  <c r="AG233" i="1"/>
  <c r="AE233" i="1"/>
  <c r="AC233" i="1"/>
  <c r="V233" i="1"/>
  <c r="R233" i="1"/>
  <c r="P233" i="1"/>
  <c r="N233" i="1"/>
  <c r="M233" i="1"/>
  <c r="L233" i="1"/>
  <c r="K233" i="1"/>
  <c r="J233" i="1"/>
  <c r="H233" i="1"/>
  <c r="AQ232" i="1"/>
  <c r="AO232" i="1"/>
  <c r="AM232" i="1"/>
  <c r="AK232" i="1"/>
  <c r="AI232" i="1"/>
  <c r="AG232" i="1"/>
  <c r="AE232" i="1"/>
  <c r="AC232" i="1"/>
  <c r="V232" i="1"/>
  <c r="R232" i="1"/>
  <c r="P232" i="1"/>
  <c r="M232" i="1"/>
  <c r="K232" i="1"/>
  <c r="J232" i="1"/>
  <c r="O232" i="1" s="1"/>
  <c r="H232" i="1"/>
  <c r="AQ231" i="1"/>
  <c r="AO231" i="1"/>
  <c r="AM231" i="1"/>
  <c r="AK231" i="1"/>
  <c r="AI231" i="1"/>
  <c r="AG231" i="1"/>
  <c r="AE231" i="1"/>
  <c r="AC231" i="1"/>
  <c r="V231" i="1"/>
  <c r="R231" i="1"/>
  <c r="P231" i="1"/>
  <c r="O231" i="1"/>
  <c r="M231" i="1"/>
  <c r="K231" i="1"/>
  <c r="J231" i="1"/>
  <c r="H231" i="1"/>
  <c r="N231" i="1" s="1"/>
  <c r="AQ230" i="1"/>
  <c r="AO230" i="1"/>
  <c r="AM230" i="1"/>
  <c r="AK230" i="1"/>
  <c r="AI230" i="1"/>
  <c r="AG230" i="1"/>
  <c r="AE230" i="1"/>
  <c r="AC230" i="1"/>
  <c r="V230" i="1"/>
  <c r="R230" i="1"/>
  <c r="S230" i="1" s="1"/>
  <c r="P230" i="1"/>
  <c r="O230" i="1"/>
  <c r="N230" i="1"/>
  <c r="M230" i="1"/>
  <c r="K230" i="1"/>
  <c r="J230" i="1"/>
  <c r="H230" i="1"/>
  <c r="AQ229" i="1"/>
  <c r="O229" i="1" s="1"/>
  <c r="AO229" i="1"/>
  <c r="AM229" i="1"/>
  <c r="AK229" i="1"/>
  <c r="AI229" i="1"/>
  <c r="AG229" i="1"/>
  <c r="AE229" i="1"/>
  <c r="AC229" i="1"/>
  <c r="V229" i="1"/>
  <c r="R229" i="1"/>
  <c r="S229" i="1" s="1"/>
  <c r="P229" i="1"/>
  <c r="M229" i="1"/>
  <c r="L229" i="1"/>
  <c r="K229" i="1"/>
  <c r="J229" i="1"/>
  <c r="H229" i="1"/>
  <c r="N229" i="1" s="1"/>
  <c r="AQ228" i="1"/>
  <c r="AO228" i="1"/>
  <c r="AM228" i="1"/>
  <c r="AK228" i="1"/>
  <c r="AI228" i="1"/>
  <c r="AG228" i="1"/>
  <c r="AE228" i="1"/>
  <c r="AC228" i="1"/>
  <c r="V228" i="1"/>
  <c r="R228" i="1"/>
  <c r="P228" i="1"/>
  <c r="N228" i="1"/>
  <c r="M228" i="1"/>
  <c r="K228" i="1"/>
  <c r="J228" i="1"/>
  <c r="O228" i="1" s="1"/>
  <c r="H228" i="1"/>
  <c r="L228" i="1" s="1"/>
  <c r="AQ227" i="1"/>
  <c r="AO227" i="1"/>
  <c r="AM227" i="1"/>
  <c r="AK227" i="1"/>
  <c r="AI227" i="1"/>
  <c r="AG227" i="1"/>
  <c r="AE227" i="1"/>
  <c r="AC227" i="1"/>
  <c r="V227" i="1"/>
  <c r="R227" i="1"/>
  <c r="S227" i="1" s="1"/>
  <c r="P227" i="1"/>
  <c r="O227" i="1"/>
  <c r="M227" i="1"/>
  <c r="K227" i="1"/>
  <c r="J227" i="1"/>
  <c r="H227" i="1"/>
  <c r="AQ226" i="1"/>
  <c r="AO226" i="1"/>
  <c r="AM226" i="1"/>
  <c r="AK226" i="1"/>
  <c r="AI226" i="1"/>
  <c r="AG226" i="1"/>
  <c r="AE226" i="1"/>
  <c r="AC226" i="1"/>
  <c r="V226" i="1"/>
  <c r="R226" i="1"/>
  <c r="P226" i="1"/>
  <c r="N226" i="1"/>
  <c r="M226" i="1"/>
  <c r="K226" i="1"/>
  <c r="J226" i="1"/>
  <c r="O226" i="1" s="1"/>
  <c r="H226" i="1"/>
  <c r="AQ225" i="1"/>
  <c r="O225" i="1" s="1"/>
  <c r="AO225" i="1"/>
  <c r="AM225" i="1"/>
  <c r="AK225" i="1"/>
  <c r="AI225" i="1"/>
  <c r="AG225" i="1"/>
  <c r="AE225" i="1"/>
  <c r="AC225" i="1"/>
  <c r="V225" i="1"/>
  <c r="R225" i="1"/>
  <c r="S225" i="1" s="1"/>
  <c r="P225" i="1"/>
  <c r="M225" i="1"/>
  <c r="K225" i="1"/>
  <c r="J225" i="1"/>
  <c r="H225" i="1"/>
  <c r="L225" i="1" s="1"/>
  <c r="AQ224" i="1"/>
  <c r="O224" i="1" s="1"/>
  <c r="AO224" i="1"/>
  <c r="AM224" i="1"/>
  <c r="AK224" i="1"/>
  <c r="AI224" i="1"/>
  <c r="AG224" i="1"/>
  <c r="AE224" i="1"/>
  <c r="AC224" i="1"/>
  <c r="S224" i="1" s="1"/>
  <c r="V224" i="1"/>
  <c r="R224" i="1"/>
  <c r="P224" i="1"/>
  <c r="N224" i="1"/>
  <c r="M224" i="1"/>
  <c r="L224" i="1"/>
  <c r="K224" i="1"/>
  <c r="J224" i="1"/>
  <c r="H224" i="1"/>
  <c r="AQ223" i="1"/>
  <c r="AO223" i="1"/>
  <c r="AM223" i="1"/>
  <c r="AK223" i="1"/>
  <c r="AI223" i="1"/>
  <c r="AG223" i="1"/>
  <c r="AE223" i="1"/>
  <c r="AC223" i="1"/>
  <c r="V223" i="1"/>
  <c r="R223" i="1"/>
  <c r="P223" i="1"/>
  <c r="M223" i="1"/>
  <c r="K223" i="1"/>
  <c r="J223" i="1"/>
  <c r="O223" i="1" s="1"/>
  <c r="H223" i="1"/>
  <c r="AQ222" i="1"/>
  <c r="AO222" i="1"/>
  <c r="AM222" i="1"/>
  <c r="AK222" i="1"/>
  <c r="AI222" i="1"/>
  <c r="AG222" i="1"/>
  <c r="AE222" i="1"/>
  <c r="AC222" i="1"/>
  <c r="V222" i="1"/>
  <c r="R222" i="1"/>
  <c r="P222" i="1"/>
  <c r="N222" i="1"/>
  <c r="M222" i="1"/>
  <c r="K222" i="1"/>
  <c r="J222" i="1"/>
  <c r="O222" i="1" s="1"/>
  <c r="H222" i="1"/>
  <c r="AQ221" i="1"/>
  <c r="O221" i="1" s="1"/>
  <c r="AO221" i="1"/>
  <c r="N221" i="1" s="1"/>
  <c r="AM221" i="1"/>
  <c r="AK221" i="1"/>
  <c r="AI221" i="1"/>
  <c r="AG221" i="1"/>
  <c r="AE221" i="1"/>
  <c r="AC221" i="1"/>
  <c r="V221" i="1"/>
  <c r="R221" i="1"/>
  <c r="P221" i="1"/>
  <c r="M221" i="1"/>
  <c r="L221" i="1"/>
  <c r="K221" i="1"/>
  <c r="J221" i="1"/>
  <c r="H221" i="1"/>
  <c r="AQ220" i="1"/>
  <c r="AO220" i="1"/>
  <c r="AM220" i="1"/>
  <c r="AK220" i="1"/>
  <c r="AI220" i="1"/>
  <c r="AG220" i="1"/>
  <c r="AE220" i="1"/>
  <c r="AC220" i="1"/>
  <c r="V220" i="1"/>
  <c r="S220" i="1"/>
  <c r="R220" i="1"/>
  <c r="P220" i="1"/>
  <c r="M220" i="1"/>
  <c r="L220" i="1"/>
  <c r="K220" i="1"/>
  <c r="J220" i="1"/>
  <c r="O220" i="1" s="1"/>
  <c r="H220" i="1"/>
  <c r="N220" i="1" s="1"/>
  <c r="AQ219" i="1"/>
  <c r="AO219" i="1"/>
  <c r="AM219" i="1"/>
  <c r="AK219" i="1"/>
  <c r="AI219" i="1"/>
  <c r="AG219" i="1"/>
  <c r="AE219" i="1"/>
  <c r="AC219" i="1"/>
  <c r="V219" i="1"/>
  <c r="R219" i="1"/>
  <c r="P219" i="1"/>
  <c r="M219" i="1"/>
  <c r="K219" i="1"/>
  <c r="J219" i="1"/>
  <c r="O219" i="1" s="1"/>
  <c r="H219" i="1"/>
  <c r="N219" i="1" s="1"/>
  <c r="AQ218" i="1"/>
  <c r="AO218" i="1"/>
  <c r="AM218" i="1"/>
  <c r="AK218" i="1"/>
  <c r="AI218" i="1"/>
  <c r="AG218" i="1"/>
  <c r="AE218" i="1"/>
  <c r="AC218" i="1"/>
  <c r="S218" i="1" s="1"/>
  <c r="V218" i="1"/>
  <c r="R218" i="1"/>
  <c r="P218" i="1"/>
  <c r="N218" i="1"/>
  <c r="M218" i="1"/>
  <c r="K218" i="1"/>
  <c r="J218" i="1"/>
  <c r="O218" i="1" s="1"/>
  <c r="H218" i="1"/>
  <c r="L218" i="1" s="1"/>
  <c r="AQ217" i="1"/>
  <c r="AO217" i="1"/>
  <c r="AM217" i="1"/>
  <c r="AK217" i="1"/>
  <c r="AI217" i="1"/>
  <c r="AG217" i="1"/>
  <c r="AE217" i="1"/>
  <c r="AC217" i="1"/>
  <c r="V217" i="1"/>
  <c r="R217" i="1"/>
  <c r="S217" i="1" s="1"/>
  <c r="P217" i="1"/>
  <c r="O217" i="1"/>
  <c r="M217" i="1"/>
  <c r="K217" i="1"/>
  <c r="J217" i="1"/>
  <c r="H217" i="1"/>
  <c r="N217" i="1" s="1"/>
  <c r="AQ216" i="1"/>
  <c r="AO216" i="1"/>
  <c r="AM216" i="1"/>
  <c r="AK216" i="1"/>
  <c r="AI216" i="1"/>
  <c r="AG216" i="1"/>
  <c r="AE216" i="1"/>
  <c r="AC216" i="1"/>
  <c r="S216" i="1" s="1"/>
  <c r="V216" i="1"/>
  <c r="R216" i="1"/>
  <c r="P216" i="1"/>
  <c r="O216" i="1"/>
  <c r="M216" i="1"/>
  <c r="K216" i="1"/>
  <c r="J216" i="1"/>
  <c r="H216" i="1"/>
  <c r="L216" i="1" s="1"/>
  <c r="AQ215" i="1"/>
  <c r="AO215" i="1"/>
  <c r="AM215" i="1"/>
  <c r="AK215" i="1"/>
  <c r="AI215" i="1"/>
  <c r="AG215" i="1"/>
  <c r="AE215" i="1"/>
  <c r="AC215" i="1"/>
  <c r="S215" i="1" s="1"/>
  <c r="V215" i="1"/>
  <c r="R215" i="1"/>
  <c r="P215" i="1"/>
  <c r="M215" i="1"/>
  <c r="L215" i="1"/>
  <c r="K215" i="1"/>
  <c r="J215" i="1"/>
  <c r="O215" i="1" s="1"/>
  <c r="H215" i="1"/>
  <c r="AQ214" i="1"/>
  <c r="AO214" i="1"/>
  <c r="AM214" i="1"/>
  <c r="AK214" i="1"/>
  <c r="AI214" i="1"/>
  <c r="AG214" i="1"/>
  <c r="AE214" i="1"/>
  <c r="AC214" i="1"/>
  <c r="V214" i="1"/>
  <c r="S214" i="1"/>
  <c r="R214" i="1"/>
  <c r="P214" i="1"/>
  <c r="M214" i="1"/>
  <c r="K214" i="1"/>
  <c r="J214" i="1"/>
  <c r="O214" i="1" s="1"/>
  <c r="H214" i="1"/>
  <c r="L214" i="1" s="1"/>
  <c r="AQ213" i="1"/>
  <c r="AO213" i="1"/>
  <c r="N213" i="1" s="1"/>
  <c r="AM213" i="1"/>
  <c r="AK213" i="1"/>
  <c r="AI213" i="1"/>
  <c r="AG213" i="1"/>
  <c r="AE213" i="1"/>
  <c r="AC213" i="1"/>
  <c r="V213" i="1"/>
  <c r="R213" i="1"/>
  <c r="P213" i="1"/>
  <c r="O213" i="1"/>
  <c r="M213" i="1"/>
  <c r="L213" i="1"/>
  <c r="K213" i="1"/>
  <c r="J213" i="1"/>
  <c r="H213" i="1"/>
  <c r="AQ212" i="1"/>
  <c r="AO212" i="1"/>
  <c r="N212" i="1" s="1"/>
  <c r="AM212" i="1"/>
  <c r="AK212" i="1"/>
  <c r="AI212" i="1"/>
  <c r="AG212" i="1"/>
  <c r="AE212" i="1"/>
  <c r="AC212" i="1"/>
  <c r="V212" i="1"/>
  <c r="S212" i="1"/>
  <c r="R212" i="1"/>
  <c r="P212" i="1"/>
  <c r="M212" i="1"/>
  <c r="L212" i="1"/>
  <c r="K212" i="1"/>
  <c r="J212" i="1"/>
  <c r="O212" i="1" s="1"/>
  <c r="H212" i="1"/>
  <c r="AQ211" i="1"/>
  <c r="AO211" i="1"/>
  <c r="AM211" i="1"/>
  <c r="AK211" i="1"/>
  <c r="AI211" i="1"/>
  <c r="AG211" i="1"/>
  <c r="AE211" i="1"/>
  <c r="AC211" i="1"/>
  <c r="V211" i="1"/>
  <c r="S211" i="1"/>
  <c r="R211" i="1"/>
  <c r="P211" i="1"/>
  <c r="M211" i="1"/>
  <c r="K211" i="1"/>
  <c r="J211" i="1"/>
  <c r="O211" i="1" s="1"/>
  <c r="H211" i="1"/>
  <c r="N211" i="1" s="1"/>
  <c r="AQ210" i="1"/>
  <c r="AO210" i="1"/>
  <c r="AM210" i="1"/>
  <c r="AK210" i="1"/>
  <c r="AI210" i="1"/>
  <c r="AG210" i="1"/>
  <c r="AE210" i="1"/>
  <c r="AC210" i="1"/>
  <c r="S210" i="1" s="1"/>
  <c r="V210" i="1"/>
  <c r="R210" i="1"/>
  <c r="P210" i="1"/>
  <c r="O210" i="1"/>
  <c r="M210" i="1"/>
  <c r="K210" i="1"/>
  <c r="J210" i="1"/>
  <c r="H210" i="1"/>
  <c r="L210" i="1" s="1"/>
  <c r="AQ209" i="1"/>
  <c r="O209" i="1" s="1"/>
  <c r="AO209" i="1"/>
  <c r="AM209" i="1"/>
  <c r="AK209" i="1"/>
  <c r="AI209" i="1"/>
  <c r="AG209" i="1"/>
  <c r="AE209" i="1"/>
  <c r="AC209" i="1"/>
  <c r="V209" i="1"/>
  <c r="R209" i="1"/>
  <c r="P209" i="1"/>
  <c r="M209" i="1"/>
  <c r="K209" i="1"/>
  <c r="J209" i="1"/>
  <c r="H209" i="1"/>
  <c r="AQ208" i="1"/>
  <c r="AO208" i="1"/>
  <c r="AM208" i="1"/>
  <c r="AK208" i="1"/>
  <c r="AI208" i="1"/>
  <c r="AG208" i="1"/>
  <c r="AE208" i="1"/>
  <c r="AC208" i="1"/>
  <c r="V208" i="1"/>
  <c r="R208" i="1"/>
  <c r="P208" i="1"/>
  <c r="O208" i="1"/>
  <c r="M208" i="1"/>
  <c r="K208" i="1"/>
  <c r="J208" i="1"/>
  <c r="H208" i="1"/>
  <c r="N208" i="1" s="1"/>
  <c r="AQ207" i="1"/>
  <c r="AO207" i="1"/>
  <c r="AM207" i="1"/>
  <c r="AK207" i="1"/>
  <c r="AI207" i="1"/>
  <c r="AG207" i="1"/>
  <c r="AE207" i="1"/>
  <c r="AC207" i="1"/>
  <c r="S207" i="1" s="1"/>
  <c r="V207" i="1"/>
  <c r="R207" i="1"/>
  <c r="P207" i="1"/>
  <c r="O207" i="1"/>
  <c r="M207" i="1"/>
  <c r="L207" i="1"/>
  <c r="K207" i="1"/>
  <c r="J207" i="1"/>
  <c r="H207" i="1"/>
  <c r="AQ206" i="1"/>
  <c r="AO206" i="1"/>
  <c r="AM206" i="1"/>
  <c r="AK206" i="1"/>
  <c r="AI206" i="1"/>
  <c r="AG206" i="1"/>
  <c r="AE206" i="1"/>
  <c r="AC206" i="1"/>
  <c r="V206" i="1"/>
  <c r="S206" i="1"/>
  <c r="R206" i="1"/>
  <c r="P206" i="1"/>
  <c r="O206" i="1"/>
  <c r="M206" i="1"/>
  <c r="K206" i="1"/>
  <c r="J206" i="1"/>
  <c r="H206" i="1"/>
  <c r="AQ205" i="1"/>
  <c r="O205" i="1" s="1"/>
  <c r="AO205" i="1"/>
  <c r="AM205" i="1"/>
  <c r="AK205" i="1"/>
  <c r="AI205" i="1"/>
  <c r="AG205" i="1"/>
  <c r="AE205" i="1"/>
  <c r="AC205" i="1"/>
  <c r="V205" i="1"/>
  <c r="R205" i="1"/>
  <c r="P205" i="1"/>
  <c r="N205" i="1"/>
  <c r="M205" i="1"/>
  <c r="K205" i="1"/>
  <c r="J205" i="1"/>
  <c r="H205" i="1"/>
  <c r="L205" i="1" s="1"/>
  <c r="AQ204" i="1"/>
  <c r="AO204" i="1"/>
  <c r="AM204" i="1"/>
  <c r="AK204" i="1"/>
  <c r="AI204" i="1"/>
  <c r="AG204" i="1"/>
  <c r="AE204" i="1"/>
  <c r="AC204" i="1"/>
  <c r="V204" i="1"/>
  <c r="R204" i="1"/>
  <c r="S204" i="1" s="1"/>
  <c r="P204" i="1"/>
  <c r="O204" i="1"/>
  <c r="M204" i="1"/>
  <c r="L204" i="1"/>
  <c r="K204" i="1"/>
  <c r="J204" i="1"/>
  <c r="H204" i="1"/>
  <c r="N204" i="1" s="1"/>
  <c r="AQ203" i="1"/>
  <c r="AO203" i="1"/>
  <c r="AM203" i="1"/>
  <c r="AK203" i="1"/>
  <c r="AI203" i="1"/>
  <c r="AG203" i="1"/>
  <c r="AE203" i="1"/>
  <c r="AC203" i="1"/>
  <c r="V203" i="1"/>
  <c r="S203" i="1"/>
  <c r="R203" i="1"/>
  <c r="P203" i="1"/>
  <c r="O203" i="1"/>
  <c r="M203" i="1"/>
  <c r="K203" i="1"/>
  <c r="J203" i="1"/>
  <c r="H203" i="1"/>
  <c r="AQ202" i="1"/>
  <c r="AO202" i="1"/>
  <c r="AM202" i="1"/>
  <c r="AK202" i="1"/>
  <c r="AI202" i="1"/>
  <c r="AG202" i="1"/>
  <c r="AE202" i="1"/>
  <c r="AC202" i="1"/>
  <c r="V202" i="1"/>
  <c r="R202" i="1"/>
  <c r="P202" i="1"/>
  <c r="O202" i="1"/>
  <c r="M202" i="1"/>
  <c r="K202" i="1"/>
  <c r="J202" i="1"/>
  <c r="H202" i="1"/>
  <c r="L202" i="1" s="1"/>
  <c r="AQ201" i="1"/>
  <c r="O201" i="1" s="1"/>
  <c r="AO201" i="1"/>
  <c r="AM201" i="1"/>
  <c r="AK201" i="1"/>
  <c r="AI201" i="1"/>
  <c r="AG201" i="1"/>
  <c r="AE201" i="1"/>
  <c r="AC201" i="1"/>
  <c r="V201" i="1"/>
  <c r="R201" i="1"/>
  <c r="P201" i="1"/>
  <c r="N201" i="1"/>
  <c r="M201" i="1"/>
  <c r="L201" i="1"/>
  <c r="K201" i="1"/>
  <c r="J201" i="1"/>
  <c r="H201" i="1"/>
  <c r="AQ200" i="1"/>
  <c r="AO200" i="1"/>
  <c r="AM200" i="1"/>
  <c r="AK200" i="1"/>
  <c r="AI200" i="1"/>
  <c r="AG200" i="1"/>
  <c r="AE200" i="1"/>
  <c r="AC200" i="1"/>
  <c r="V200" i="1"/>
  <c r="R200" i="1"/>
  <c r="P200" i="1"/>
  <c r="M200" i="1"/>
  <c r="K200" i="1"/>
  <c r="J200" i="1"/>
  <c r="O200" i="1" s="1"/>
  <c r="H200" i="1"/>
  <c r="AQ199" i="1"/>
  <c r="AO199" i="1"/>
  <c r="AM199" i="1"/>
  <c r="AK199" i="1"/>
  <c r="AI199" i="1"/>
  <c r="AG199" i="1"/>
  <c r="AE199" i="1"/>
  <c r="AC199" i="1"/>
  <c r="V199" i="1"/>
  <c r="R199" i="1"/>
  <c r="P199" i="1"/>
  <c r="O199" i="1"/>
  <c r="M199" i="1"/>
  <c r="K199" i="1"/>
  <c r="J199" i="1"/>
  <c r="H199" i="1"/>
  <c r="N199" i="1" s="1"/>
  <c r="AQ198" i="1"/>
  <c r="AO198" i="1"/>
  <c r="AM198" i="1"/>
  <c r="AK198" i="1"/>
  <c r="AI198" i="1"/>
  <c r="AG198" i="1"/>
  <c r="AE198" i="1"/>
  <c r="AC198" i="1"/>
  <c r="V198" i="1"/>
  <c r="R198" i="1"/>
  <c r="S198" i="1" s="1"/>
  <c r="P198" i="1"/>
  <c r="O198" i="1"/>
  <c r="N198" i="1"/>
  <c r="M198" i="1"/>
  <c r="K198" i="1"/>
  <c r="J198" i="1"/>
  <c r="H198" i="1"/>
  <c r="AQ197" i="1"/>
  <c r="O197" i="1" s="1"/>
  <c r="AO197" i="1"/>
  <c r="AM197" i="1"/>
  <c r="AK197" i="1"/>
  <c r="AI197" i="1"/>
  <c r="AG197" i="1"/>
  <c r="AE197" i="1"/>
  <c r="AC197" i="1"/>
  <c r="V197" i="1"/>
  <c r="R197" i="1"/>
  <c r="S197" i="1" s="1"/>
  <c r="P197" i="1"/>
  <c r="M197" i="1"/>
  <c r="L197" i="1"/>
  <c r="K197" i="1"/>
  <c r="J197" i="1"/>
  <c r="H197" i="1"/>
  <c r="N197" i="1" s="1"/>
  <c r="AQ196" i="1"/>
  <c r="AO196" i="1"/>
  <c r="AM196" i="1"/>
  <c r="AK196" i="1"/>
  <c r="AI196" i="1"/>
  <c r="AG196" i="1"/>
  <c r="AE196" i="1"/>
  <c r="AC196" i="1"/>
  <c r="V196" i="1"/>
  <c r="R196" i="1"/>
  <c r="P196" i="1"/>
  <c r="N196" i="1"/>
  <c r="M196" i="1"/>
  <c r="K196" i="1"/>
  <c r="J196" i="1"/>
  <c r="O196" i="1" s="1"/>
  <c r="H196" i="1"/>
  <c r="L196" i="1" s="1"/>
  <c r="AQ195" i="1"/>
  <c r="AO195" i="1"/>
  <c r="AM195" i="1"/>
  <c r="AK195" i="1"/>
  <c r="AI195" i="1"/>
  <c r="AG195" i="1"/>
  <c r="AE195" i="1"/>
  <c r="AC195" i="1"/>
  <c r="V195" i="1"/>
  <c r="R195" i="1"/>
  <c r="S195" i="1" s="1"/>
  <c r="P195" i="1"/>
  <c r="O195" i="1"/>
  <c r="M195" i="1"/>
  <c r="K195" i="1"/>
  <c r="J195" i="1"/>
  <c r="H195" i="1"/>
  <c r="AQ194" i="1"/>
  <c r="AO194" i="1"/>
  <c r="AM194" i="1"/>
  <c r="AK194" i="1"/>
  <c r="AI194" i="1"/>
  <c r="AG194" i="1"/>
  <c r="AE194" i="1"/>
  <c r="AC194" i="1"/>
  <c r="V194" i="1"/>
  <c r="R194" i="1"/>
  <c r="P194" i="1"/>
  <c r="N194" i="1"/>
  <c r="M194" i="1"/>
  <c r="K194" i="1"/>
  <c r="J194" i="1"/>
  <c r="O194" i="1" s="1"/>
  <c r="H194" i="1"/>
  <c r="AQ193" i="1"/>
  <c r="O193" i="1" s="1"/>
  <c r="AO193" i="1"/>
  <c r="AM193" i="1"/>
  <c r="AK193" i="1"/>
  <c r="AI193" i="1"/>
  <c r="AG193" i="1"/>
  <c r="AE193" i="1"/>
  <c r="AC193" i="1"/>
  <c r="V193" i="1"/>
  <c r="R193" i="1"/>
  <c r="S193" i="1" s="1"/>
  <c r="P193" i="1"/>
  <c r="M193" i="1"/>
  <c r="K193" i="1"/>
  <c r="J193" i="1"/>
  <c r="H193" i="1"/>
  <c r="L193" i="1" s="1"/>
  <c r="AQ192" i="1"/>
  <c r="O192" i="1" s="1"/>
  <c r="AO192" i="1"/>
  <c r="AM192" i="1"/>
  <c r="AK192" i="1"/>
  <c r="AI192" i="1"/>
  <c r="AG192" i="1"/>
  <c r="AE192" i="1"/>
  <c r="AC192" i="1"/>
  <c r="S192" i="1" s="1"/>
  <c r="V192" i="1"/>
  <c r="R192" i="1"/>
  <c r="P192" i="1"/>
  <c r="N192" i="1"/>
  <c r="M192" i="1"/>
  <c r="L192" i="1"/>
  <c r="K192" i="1"/>
  <c r="J192" i="1"/>
  <c r="H192" i="1"/>
  <c r="AQ191" i="1"/>
  <c r="AO191" i="1"/>
  <c r="AM191" i="1"/>
  <c r="AK191" i="1"/>
  <c r="AI191" i="1"/>
  <c r="AG191" i="1"/>
  <c r="AE191" i="1"/>
  <c r="AC191" i="1"/>
  <c r="V191" i="1"/>
  <c r="R191" i="1"/>
  <c r="P191" i="1"/>
  <c r="M191" i="1"/>
  <c r="K191" i="1"/>
  <c r="J191" i="1"/>
  <c r="O191" i="1" s="1"/>
  <c r="H191" i="1"/>
  <c r="AQ190" i="1"/>
  <c r="AO190" i="1"/>
  <c r="AM190" i="1"/>
  <c r="AK190" i="1"/>
  <c r="AI190" i="1"/>
  <c r="AG190" i="1"/>
  <c r="AE190" i="1"/>
  <c r="AC190" i="1"/>
  <c r="V190" i="1"/>
  <c r="R190" i="1"/>
  <c r="P190" i="1"/>
  <c r="N190" i="1"/>
  <c r="M190" i="1"/>
  <c r="K190" i="1"/>
  <c r="J190" i="1"/>
  <c r="O190" i="1" s="1"/>
  <c r="H190" i="1"/>
  <c r="AQ189" i="1"/>
  <c r="O189" i="1" s="1"/>
  <c r="AO189" i="1"/>
  <c r="N189" i="1" s="1"/>
  <c r="AM189" i="1"/>
  <c r="AK189" i="1"/>
  <c r="AI189" i="1"/>
  <c r="AG189" i="1"/>
  <c r="AE189" i="1"/>
  <c r="AC189" i="1"/>
  <c r="V189" i="1"/>
  <c r="R189" i="1"/>
  <c r="P189" i="1"/>
  <c r="M189" i="1"/>
  <c r="L189" i="1"/>
  <c r="K189" i="1"/>
  <c r="J189" i="1"/>
  <c r="H189" i="1"/>
  <c r="AQ188" i="1"/>
  <c r="AO188" i="1"/>
  <c r="AM188" i="1"/>
  <c r="AK188" i="1"/>
  <c r="AI188" i="1"/>
  <c r="AG188" i="1"/>
  <c r="AE188" i="1"/>
  <c r="AC188" i="1"/>
  <c r="V188" i="1"/>
  <c r="S188" i="1"/>
  <c r="R188" i="1"/>
  <c r="P188" i="1"/>
  <c r="M188" i="1"/>
  <c r="L188" i="1"/>
  <c r="K188" i="1"/>
  <c r="J188" i="1"/>
  <c r="O188" i="1" s="1"/>
  <c r="H188" i="1"/>
  <c r="N188" i="1" s="1"/>
  <c r="AQ187" i="1"/>
  <c r="AO187" i="1"/>
  <c r="AM187" i="1"/>
  <c r="AK187" i="1"/>
  <c r="AI187" i="1"/>
  <c r="AG187" i="1"/>
  <c r="AE187" i="1"/>
  <c r="AC187" i="1"/>
  <c r="V187" i="1"/>
  <c r="R187" i="1"/>
  <c r="P187" i="1"/>
  <c r="M187" i="1"/>
  <c r="K187" i="1"/>
  <c r="J187" i="1"/>
  <c r="O187" i="1" s="1"/>
  <c r="H187" i="1"/>
  <c r="N187" i="1" s="1"/>
  <c r="AQ186" i="1"/>
  <c r="AO186" i="1"/>
  <c r="AM186" i="1"/>
  <c r="AK186" i="1"/>
  <c r="AI186" i="1"/>
  <c r="AG186" i="1"/>
  <c r="AE186" i="1"/>
  <c r="AC186" i="1"/>
  <c r="S186" i="1" s="1"/>
  <c r="V186" i="1"/>
  <c r="R186" i="1"/>
  <c r="P186" i="1"/>
  <c r="N186" i="1"/>
  <c r="M186" i="1"/>
  <c r="K186" i="1"/>
  <c r="J186" i="1"/>
  <c r="O186" i="1" s="1"/>
  <c r="H186" i="1"/>
  <c r="L186" i="1" s="1"/>
  <c r="AQ185" i="1"/>
  <c r="AO185" i="1"/>
  <c r="AM185" i="1"/>
  <c r="AK185" i="1"/>
  <c r="AI185" i="1"/>
  <c r="AG185" i="1"/>
  <c r="AE185" i="1"/>
  <c r="AC185" i="1"/>
  <c r="V185" i="1"/>
  <c r="R185" i="1"/>
  <c r="S185" i="1" s="1"/>
  <c r="P185" i="1"/>
  <c r="O185" i="1"/>
  <c r="M185" i="1"/>
  <c r="K185" i="1"/>
  <c r="J185" i="1"/>
  <c r="H185" i="1"/>
  <c r="N185" i="1" s="1"/>
  <c r="AQ184" i="1"/>
  <c r="AO184" i="1"/>
  <c r="AM184" i="1"/>
  <c r="AK184" i="1"/>
  <c r="AI184" i="1"/>
  <c r="AG184" i="1"/>
  <c r="AE184" i="1"/>
  <c r="AC184" i="1"/>
  <c r="S184" i="1" s="1"/>
  <c r="V184" i="1"/>
  <c r="R184" i="1"/>
  <c r="P184" i="1"/>
  <c r="O184" i="1"/>
  <c r="M184" i="1"/>
  <c r="K184" i="1"/>
  <c r="J184" i="1"/>
  <c r="H184" i="1"/>
  <c r="L184" i="1" s="1"/>
  <c r="AQ183" i="1"/>
  <c r="AO183" i="1"/>
  <c r="AM183" i="1"/>
  <c r="AK183" i="1"/>
  <c r="AI183" i="1"/>
  <c r="AG183" i="1"/>
  <c r="AE183" i="1"/>
  <c r="AC183" i="1"/>
  <c r="S183" i="1" s="1"/>
  <c r="V183" i="1"/>
  <c r="R183" i="1"/>
  <c r="P183" i="1"/>
  <c r="M183" i="1"/>
  <c r="L183" i="1"/>
  <c r="K183" i="1"/>
  <c r="J183" i="1"/>
  <c r="O183" i="1" s="1"/>
  <c r="H183" i="1"/>
  <c r="AQ182" i="1"/>
  <c r="AO182" i="1"/>
  <c r="AM182" i="1"/>
  <c r="AK182" i="1"/>
  <c r="AI182" i="1"/>
  <c r="AG182" i="1"/>
  <c r="AE182" i="1"/>
  <c r="AC182" i="1"/>
  <c r="V182" i="1"/>
  <c r="S182" i="1"/>
  <c r="R182" i="1"/>
  <c r="P182" i="1"/>
  <c r="M182" i="1"/>
  <c r="K182" i="1"/>
  <c r="J182" i="1"/>
  <c r="O182" i="1" s="1"/>
  <c r="H182" i="1"/>
  <c r="L182" i="1" s="1"/>
  <c r="AQ181" i="1"/>
  <c r="AO181" i="1"/>
  <c r="N181" i="1" s="1"/>
  <c r="AM181" i="1"/>
  <c r="AK181" i="1"/>
  <c r="AI181" i="1"/>
  <c r="AG181" i="1"/>
  <c r="AE181" i="1"/>
  <c r="AC181" i="1"/>
  <c r="V181" i="1"/>
  <c r="R181" i="1"/>
  <c r="P181" i="1"/>
  <c r="O181" i="1"/>
  <c r="M181" i="1"/>
  <c r="L181" i="1"/>
  <c r="K181" i="1"/>
  <c r="J181" i="1"/>
  <c r="H181" i="1"/>
  <c r="AQ180" i="1"/>
  <c r="AO180" i="1"/>
  <c r="N180" i="1" s="1"/>
  <c r="AM180" i="1"/>
  <c r="AK180" i="1"/>
  <c r="AI180" i="1"/>
  <c r="AG180" i="1"/>
  <c r="AE180" i="1"/>
  <c r="AC180" i="1"/>
  <c r="V180" i="1"/>
  <c r="S180" i="1"/>
  <c r="R180" i="1"/>
  <c r="P180" i="1"/>
  <c r="M180" i="1"/>
  <c r="L180" i="1"/>
  <c r="K180" i="1"/>
  <c r="J180" i="1"/>
  <c r="O180" i="1" s="1"/>
  <c r="H180" i="1"/>
  <c r="AQ179" i="1"/>
  <c r="AO179" i="1"/>
  <c r="AM179" i="1"/>
  <c r="AK179" i="1"/>
  <c r="AI179" i="1"/>
  <c r="AG179" i="1"/>
  <c r="AE179" i="1"/>
  <c r="AC179" i="1"/>
  <c r="V179" i="1"/>
  <c r="S179" i="1"/>
  <c r="R179" i="1"/>
  <c r="P179" i="1"/>
  <c r="M179" i="1"/>
  <c r="K179" i="1"/>
  <c r="J179" i="1"/>
  <c r="O179" i="1" s="1"/>
  <c r="H179" i="1"/>
  <c r="N179" i="1" s="1"/>
  <c r="AQ178" i="1"/>
  <c r="AO178" i="1"/>
  <c r="AM178" i="1"/>
  <c r="AK178" i="1"/>
  <c r="AI178" i="1"/>
  <c r="AG178" i="1"/>
  <c r="AE178" i="1"/>
  <c r="AC178" i="1"/>
  <c r="S178" i="1" s="1"/>
  <c r="V178" i="1"/>
  <c r="R178" i="1"/>
  <c r="P178" i="1"/>
  <c r="O178" i="1"/>
  <c r="M178" i="1"/>
  <c r="K178" i="1"/>
  <c r="J178" i="1"/>
  <c r="H178" i="1"/>
  <c r="L178" i="1" s="1"/>
  <c r="AQ177" i="1"/>
  <c r="O177" i="1" s="1"/>
  <c r="AO177" i="1"/>
  <c r="AM177" i="1"/>
  <c r="AK177" i="1"/>
  <c r="AI177" i="1"/>
  <c r="AG177" i="1"/>
  <c r="AE177" i="1"/>
  <c r="AC177" i="1"/>
  <c r="V177" i="1"/>
  <c r="R177" i="1"/>
  <c r="P177" i="1"/>
  <c r="M177" i="1"/>
  <c r="K177" i="1"/>
  <c r="J177" i="1"/>
  <c r="H177" i="1"/>
  <c r="AQ176" i="1"/>
  <c r="AO176" i="1"/>
  <c r="AM176" i="1"/>
  <c r="AK176" i="1"/>
  <c r="AI176" i="1"/>
  <c r="AG176" i="1"/>
  <c r="AE176" i="1"/>
  <c r="AC176" i="1"/>
  <c r="V176" i="1"/>
  <c r="R176" i="1"/>
  <c r="P176" i="1"/>
  <c r="O176" i="1"/>
  <c r="M176" i="1"/>
  <c r="K176" i="1"/>
  <c r="J176" i="1"/>
  <c r="H176" i="1"/>
  <c r="N176" i="1" s="1"/>
  <c r="AQ175" i="1"/>
  <c r="AO175" i="1"/>
  <c r="AM175" i="1"/>
  <c r="AK175" i="1"/>
  <c r="AI175" i="1"/>
  <c r="AG175" i="1"/>
  <c r="AE175" i="1"/>
  <c r="AC175" i="1"/>
  <c r="S175" i="1" s="1"/>
  <c r="V175" i="1"/>
  <c r="R175" i="1"/>
  <c r="P175" i="1"/>
  <c r="O175" i="1"/>
  <c r="M175" i="1"/>
  <c r="L175" i="1"/>
  <c r="K175" i="1"/>
  <c r="J175" i="1"/>
  <c r="H175" i="1"/>
  <c r="AQ174" i="1"/>
  <c r="AO174" i="1"/>
  <c r="AM174" i="1"/>
  <c r="AK174" i="1"/>
  <c r="AI174" i="1"/>
  <c r="AG174" i="1"/>
  <c r="AE174" i="1"/>
  <c r="AC174" i="1"/>
  <c r="V174" i="1"/>
  <c r="S174" i="1"/>
  <c r="R174" i="1"/>
  <c r="P174" i="1"/>
  <c r="O174" i="1"/>
  <c r="M174" i="1"/>
  <c r="K174" i="1"/>
  <c r="J174" i="1"/>
  <c r="H174" i="1"/>
  <c r="AQ173" i="1"/>
  <c r="O173" i="1" s="1"/>
  <c r="AO173" i="1"/>
  <c r="AM173" i="1"/>
  <c r="AK173" i="1"/>
  <c r="AI173" i="1"/>
  <c r="AG173" i="1"/>
  <c r="AE173" i="1"/>
  <c r="AC173" i="1"/>
  <c r="V173" i="1"/>
  <c r="R173" i="1"/>
  <c r="P173" i="1"/>
  <c r="N173" i="1"/>
  <c r="M173" i="1"/>
  <c r="K173" i="1"/>
  <c r="J173" i="1"/>
  <c r="H173" i="1"/>
  <c r="L173" i="1" s="1"/>
  <c r="AQ172" i="1"/>
  <c r="AO172" i="1"/>
  <c r="AM172" i="1"/>
  <c r="AK172" i="1"/>
  <c r="AI172" i="1"/>
  <c r="AG172" i="1"/>
  <c r="AE172" i="1"/>
  <c r="AC172" i="1"/>
  <c r="V172" i="1"/>
  <c r="R172" i="1"/>
  <c r="S172" i="1" s="1"/>
  <c r="P172" i="1"/>
  <c r="O172" i="1"/>
  <c r="M172" i="1"/>
  <c r="L172" i="1"/>
  <c r="K172" i="1"/>
  <c r="J172" i="1"/>
  <c r="H172" i="1"/>
  <c r="N172" i="1" s="1"/>
  <c r="AQ171" i="1"/>
  <c r="AO171" i="1"/>
  <c r="AM171" i="1"/>
  <c r="AK171" i="1"/>
  <c r="AI171" i="1"/>
  <c r="AG171" i="1"/>
  <c r="AE171" i="1"/>
  <c r="AC171" i="1"/>
  <c r="V171" i="1"/>
  <c r="S171" i="1"/>
  <c r="R171" i="1"/>
  <c r="P171" i="1"/>
  <c r="O171" i="1"/>
  <c r="M171" i="1"/>
  <c r="K171" i="1"/>
  <c r="J171" i="1"/>
  <c r="H171" i="1"/>
  <c r="AQ170" i="1"/>
  <c r="AO170" i="1"/>
  <c r="AM170" i="1"/>
  <c r="AK170" i="1"/>
  <c r="AI170" i="1"/>
  <c r="AG170" i="1"/>
  <c r="AE170" i="1"/>
  <c r="AC170" i="1"/>
  <c r="S170" i="1" s="1"/>
  <c r="V170" i="1"/>
  <c r="R170" i="1"/>
  <c r="P170" i="1"/>
  <c r="O170" i="1"/>
  <c r="M170" i="1"/>
  <c r="K170" i="1"/>
  <c r="J170" i="1"/>
  <c r="H170" i="1"/>
  <c r="AQ169" i="1"/>
  <c r="O169" i="1" s="1"/>
  <c r="AO169" i="1"/>
  <c r="AM169" i="1"/>
  <c r="AK169" i="1"/>
  <c r="AI169" i="1"/>
  <c r="AG169" i="1"/>
  <c r="AE169" i="1"/>
  <c r="AC169" i="1"/>
  <c r="V169" i="1"/>
  <c r="R169" i="1"/>
  <c r="P169" i="1"/>
  <c r="N169" i="1"/>
  <c r="M169" i="1"/>
  <c r="L169" i="1"/>
  <c r="K169" i="1"/>
  <c r="J169" i="1"/>
  <c r="H169" i="1"/>
  <c r="AQ168" i="1"/>
  <c r="AO168" i="1"/>
  <c r="AM168" i="1"/>
  <c r="AK168" i="1"/>
  <c r="AI168" i="1"/>
  <c r="AG168" i="1"/>
  <c r="AE168" i="1"/>
  <c r="AC168" i="1"/>
  <c r="V168" i="1"/>
  <c r="R168" i="1"/>
  <c r="P168" i="1"/>
  <c r="N168" i="1"/>
  <c r="M168" i="1"/>
  <c r="K168" i="1"/>
  <c r="J168" i="1"/>
  <c r="H168" i="1"/>
  <c r="L168" i="1" s="1"/>
  <c r="AQ167" i="1"/>
  <c r="AO167" i="1"/>
  <c r="AM167" i="1"/>
  <c r="AK167" i="1"/>
  <c r="AI167" i="1"/>
  <c r="AG167" i="1"/>
  <c r="AE167" i="1"/>
  <c r="AC167" i="1"/>
  <c r="V167" i="1"/>
  <c r="S167" i="1"/>
  <c r="R167" i="1"/>
  <c r="P167" i="1"/>
  <c r="O167" i="1"/>
  <c r="M167" i="1"/>
  <c r="K167" i="1"/>
  <c r="J167" i="1"/>
  <c r="H167" i="1"/>
  <c r="AQ166" i="1"/>
  <c r="AO166" i="1"/>
  <c r="AM166" i="1"/>
  <c r="AK166" i="1"/>
  <c r="AI166" i="1"/>
  <c r="AG166" i="1"/>
  <c r="AE166" i="1"/>
  <c r="AC166" i="1"/>
  <c r="V166" i="1"/>
  <c r="R166" i="1"/>
  <c r="P166" i="1"/>
  <c r="O166" i="1"/>
  <c r="N166" i="1"/>
  <c r="M166" i="1"/>
  <c r="K166" i="1"/>
  <c r="J166" i="1"/>
  <c r="H166" i="1"/>
  <c r="AQ165" i="1"/>
  <c r="O165" i="1" s="1"/>
  <c r="AO165" i="1"/>
  <c r="AM165" i="1"/>
  <c r="AK165" i="1"/>
  <c r="AI165" i="1"/>
  <c r="AG165" i="1"/>
  <c r="AE165" i="1"/>
  <c r="AC165" i="1"/>
  <c r="V165" i="1"/>
  <c r="R165" i="1"/>
  <c r="S165" i="1" s="1"/>
  <c r="P165" i="1"/>
  <c r="M165" i="1"/>
  <c r="L165" i="1"/>
  <c r="K165" i="1"/>
  <c r="J165" i="1"/>
  <c r="H165" i="1"/>
  <c r="N165" i="1" s="1"/>
  <c r="AQ164" i="1"/>
  <c r="AO164" i="1"/>
  <c r="AM164" i="1"/>
  <c r="AK164" i="1"/>
  <c r="AI164" i="1"/>
  <c r="AG164" i="1"/>
  <c r="AE164" i="1"/>
  <c r="AC164" i="1"/>
  <c r="V164" i="1"/>
  <c r="R164" i="1"/>
  <c r="P164" i="1"/>
  <c r="N164" i="1"/>
  <c r="M164" i="1"/>
  <c r="K164" i="1"/>
  <c r="J164" i="1"/>
  <c r="O164" i="1" s="1"/>
  <c r="H164" i="1"/>
  <c r="L164" i="1" s="1"/>
  <c r="AQ163" i="1"/>
  <c r="AO163" i="1"/>
  <c r="AM163" i="1"/>
  <c r="AK163" i="1"/>
  <c r="AI163" i="1"/>
  <c r="AG163" i="1"/>
  <c r="AE163" i="1"/>
  <c r="AC163" i="1"/>
  <c r="V163" i="1"/>
  <c r="R163" i="1"/>
  <c r="P163" i="1"/>
  <c r="O163" i="1"/>
  <c r="M163" i="1"/>
  <c r="K163" i="1"/>
  <c r="J163" i="1"/>
  <c r="H163" i="1"/>
  <c r="AQ162" i="1"/>
  <c r="AO162" i="1"/>
  <c r="AM162" i="1"/>
  <c r="AK162" i="1"/>
  <c r="AI162" i="1"/>
  <c r="AG162" i="1"/>
  <c r="AE162" i="1"/>
  <c r="AC162" i="1"/>
  <c r="V162" i="1"/>
  <c r="R162" i="1"/>
  <c r="P162" i="1"/>
  <c r="N162" i="1"/>
  <c r="M162" i="1"/>
  <c r="K162" i="1"/>
  <c r="J162" i="1"/>
  <c r="O162" i="1" s="1"/>
  <c r="H162" i="1"/>
  <c r="AQ161" i="1"/>
  <c r="AO161" i="1"/>
  <c r="AM161" i="1"/>
  <c r="AK161" i="1"/>
  <c r="AI161" i="1"/>
  <c r="AG161" i="1"/>
  <c r="AE161" i="1"/>
  <c r="AC161" i="1"/>
  <c r="V161" i="1"/>
  <c r="R161" i="1"/>
  <c r="S161" i="1" s="1"/>
  <c r="P161" i="1"/>
  <c r="O161" i="1"/>
  <c r="M161" i="1"/>
  <c r="K161" i="1"/>
  <c r="J161" i="1"/>
  <c r="H161" i="1"/>
  <c r="AQ160" i="1"/>
  <c r="O160" i="1" s="1"/>
  <c r="AO160" i="1"/>
  <c r="AM160" i="1"/>
  <c r="AK160" i="1"/>
  <c r="AI160" i="1"/>
  <c r="AG160" i="1"/>
  <c r="AE160" i="1"/>
  <c r="AC160" i="1"/>
  <c r="S160" i="1" s="1"/>
  <c r="V160" i="1"/>
  <c r="R160" i="1"/>
  <c r="P160" i="1"/>
  <c r="N160" i="1"/>
  <c r="M160" i="1"/>
  <c r="L160" i="1"/>
  <c r="K160" i="1"/>
  <c r="J160" i="1"/>
  <c r="H160" i="1"/>
  <c r="AQ159" i="1"/>
  <c r="AO159" i="1"/>
  <c r="AM159" i="1"/>
  <c r="AK159" i="1"/>
  <c r="AI159" i="1"/>
  <c r="AG159" i="1"/>
  <c r="AE159" i="1"/>
  <c r="AC159" i="1"/>
  <c r="V159" i="1"/>
  <c r="R159" i="1"/>
  <c r="S159" i="1" s="1"/>
  <c r="P159" i="1"/>
  <c r="M159" i="1"/>
  <c r="L159" i="1"/>
  <c r="K159" i="1"/>
  <c r="J159" i="1"/>
  <c r="O159" i="1" s="1"/>
  <c r="H159" i="1"/>
  <c r="AQ158" i="1"/>
  <c r="AO158" i="1"/>
  <c r="AM158" i="1"/>
  <c r="AK158" i="1"/>
  <c r="AI158" i="1"/>
  <c r="AG158" i="1"/>
  <c r="AE158" i="1"/>
  <c r="AC158" i="1"/>
  <c r="V158" i="1"/>
  <c r="R158" i="1"/>
  <c r="P158" i="1"/>
  <c r="M158" i="1"/>
  <c r="K158" i="1"/>
  <c r="J158" i="1"/>
  <c r="O158" i="1" s="1"/>
  <c r="H158" i="1"/>
  <c r="AQ157" i="1"/>
  <c r="AO157" i="1"/>
  <c r="N157" i="1" s="1"/>
  <c r="AM157" i="1"/>
  <c r="AK157" i="1"/>
  <c r="AI157" i="1"/>
  <c r="AG157" i="1"/>
  <c r="AE157" i="1"/>
  <c r="AC157" i="1"/>
  <c r="V157" i="1"/>
  <c r="R157" i="1"/>
  <c r="P157" i="1"/>
  <c r="O157" i="1"/>
  <c r="M157" i="1"/>
  <c r="L157" i="1"/>
  <c r="K157" i="1"/>
  <c r="J157" i="1"/>
  <c r="H157" i="1"/>
  <c r="AQ156" i="1"/>
  <c r="AO156" i="1"/>
  <c r="AM156" i="1"/>
  <c r="AK156" i="1"/>
  <c r="AI156" i="1"/>
  <c r="AG156" i="1"/>
  <c r="AE156" i="1"/>
  <c r="AC156" i="1"/>
  <c r="V156" i="1"/>
  <c r="S156" i="1"/>
  <c r="R156" i="1"/>
  <c r="P156" i="1"/>
  <c r="M156" i="1"/>
  <c r="L156" i="1"/>
  <c r="K156" i="1"/>
  <c r="J156" i="1"/>
  <c r="O156" i="1" s="1"/>
  <c r="H156" i="1"/>
  <c r="AQ155" i="1"/>
  <c r="AO155" i="1"/>
  <c r="AM155" i="1"/>
  <c r="AK155" i="1"/>
  <c r="AI155" i="1"/>
  <c r="AG155" i="1"/>
  <c r="AE155" i="1"/>
  <c r="AC155" i="1"/>
  <c r="V155" i="1"/>
  <c r="S155" i="1"/>
  <c r="R155" i="1"/>
  <c r="P155" i="1"/>
  <c r="M155" i="1"/>
  <c r="K155" i="1"/>
  <c r="J155" i="1"/>
  <c r="O155" i="1" s="1"/>
  <c r="H155" i="1"/>
  <c r="AQ154" i="1"/>
  <c r="AO154" i="1"/>
  <c r="N154" i="1" s="1"/>
  <c r="AM154" i="1"/>
  <c r="AK154" i="1"/>
  <c r="AI154" i="1"/>
  <c r="AG154" i="1"/>
  <c r="AE154" i="1"/>
  <c r="AC154" i="1"/>
  <c r="S154" i="1" s="1"/>
  <c r="V154" i="1"/>
  <c r="R154" i="1"/>
  <c r="P154" i="1"/>
  <c r="O154" i="1"/>
  <c r="M154" i="1"/>
  <c r="K154" i="1"/>
  <c r="J154" i="1"/>
  <c r="H154" i="1"/>
  <c r="L154" i="1" s="1"/>
  <c r="AQ153" i="1"/>
  <c r="AO153" i="1"/>
  <c r="AM153" i="1"/>
  <c r="AK153" i="1"/>
  <c r="AI153" i="1"/>
  <c r="AG153" i="1"/>
  <c r="AE153" i="1"/>
  <c r="AC153" i="1"/>
  <c r="V153" i="1"/>
  <c r="R153" i="1"/>
  <c r="S153" i="1" s="1"/>
  <c r="P153" i="1"/>
  <c r="O153" i="1"/>
  <c r="M153" i="1"/>
  <c r="K153" i="1"/>
  <c r="J153" i="1"/>
  <c r="H153" i="1"/>
  <c r="N153" i="1" s="1"/>
  <c r="AQ152" i="1"/>
  <c r="AO152" i="1"/>
  <c r="AM152" i="1"/>
  <c r="AK152" i="1"/>
  <c r="AI152" i="1"/>
  <c r="AG152" i="1"/>
  <c r="AE152" i="1"/>
  <c r="AC152" i="1"/>
  <c r="V152" i="1"/>
  <c r="R152" i="1"/>
  <c r="S152" i="1" s="1"/>
  <c r="P152" i="1"/>
  <c r="O152" i="1"/>
  <c r="M152" i="1"/>
  <c r="K152" i="1"/>
  <c r="J152" i="1"/>
  <c r="H152" i="1"/>
  <c r="AQ151" i="1"/>
  <c r="AO151" i="1"/>
  <c r="AM151" i="1"/>
  <c r="AK151" i="1"/>
  <c r="AI151" i="1"/>
  <c r="AG151" i="1"/>
  <c r="AE151" i="1"/>
  <c r="AC151" i="1"/>
  <c r="S151" i="1" s="1"/>
  <c r="V151" i="1"/>
  <c r="R151" i="1"/>
  <c r="P151" i="1"/>
  <c r="M151" i="1"/>
  <c r="L151" i="1"/>
  <c r="K151" i="1"/>
  <c r="J151" i="1"/>
  <c r="O151" i="1" s="1"/>
  <c r="H151" i="1"/>
  <c r="AQ150" i="1"/>
  <c r="AO150" i="1"/>
  <c r="AM150" i="1"/>
  <c r="AK150" i="1"/>
  <c r="AI150" i="1"/>
  <c r="AG150" i="1"/>
  <c r="AE150" i="1"/>
  <c r="AC150" i="1"/>
  <c r="V150" i="1"/>
  <c r="S150" i="1"/>
  <c r="R150" i="1"/>
  <c r="P150" i="1"/>
  <c r="M150" i="1"/>
  <c r="K150" i="1"/>
  <c r="J150" i="1"/>
  <c r="O150" i="1" s="1"/>
  <c r="H150" i="1"/>
  <c r="AQ149" i="1"/>
  <c r="AO149" i="1"/>
  <c r="AM149" i="1"/>
  <c r="AK149" i="1"/>
  <c r="AI149" i="1"/>
  <c r="AG149" i="1"/>
  <c r="AE149" i="1"/>
  <c r="AC149" i="1"/>
  <c r="V149" i="1"/>
  <c r="R149" i="1"/>
  <c r="S149" i="1" s="1"/>
  <c r="P149" i="1"/>
  <c r="O149" i="1"/>
  <c r="M149" i="1"/>
  <c r="K149" i="1"/>
  <c r="J149" i="1"/>
  <c r="H149" i="1"/>
  <c r="N149" i="1" s="1"/>
  <c r="AQ148" i="1"/>
  <c r="AO148" i="1"/>
  <c r="N148" i="1" s="1"/>
  <c r="AM148" i="1"/>
  <c r="AK148" i="1"/>
  <c r="AI148" i="1"/>
  <c r="AG148" i="1"/>
  <c r="AE148" i="1"/>
  <c r="AC148" i="1"/>
  <c r="S148" i="1" s="1"/>
  <c r="V148" i="1"/>
  <c r="R148" i="1"/>
  <c r="P148" i="1"/>
  <c r="O148" i="1"/>
  <c r="M148" i="1"/>
  <c r="L148" i="1"/>
  <c r="K148" i="1"/>
  <c r="J148" i="1"/>
  <c r="H148" i="1"/>
  <c r="AQ147" i="1"/>
  <c r="AO147" i="1"/>
  <c r="AM147" i="1"/>
  <c r="AK147" i="1"/>
  <c r="AI147" i="1"/>
  <c r="AG147" i="1"/>
  <c r="AE147" i="1"/>
  <c r="AC147" i="1"/>
  <c r="V147" i="1"/>
  <c r="S147" i="1"/>
  <c r="R147" i="1"/>
  <c r="P147" i="1"/>
  <c r="M147" i="1"/>
  <c r="L147" i="1"/>
  <c r="K147" i="1"/>
  <c r="J147" i="1"/>
  <c r="O147" i="1" s="1"/>
  <c r="H147" i="1"/>
  <c r="AQ146" i="1"/>
  <c r="AO146" i="1"/>
  <c r="AM146" i="1"/>
  <c r="AK146" i="1"/>
  <c r="AI146" i="1"/>
  <c r="AG146" i="1"/>
  <c r="AE146" i="1"/>
  <c r="AC146" i="1"/>
  <c r="V146" i="1"/>
  <c r="S146" i="1"/>
  <c r="R146" i="1"/>
  <c r="P146" i="1"/>
  <c r="O146" i="1"/>
  <c r="M146" i="1"/>
  <c r="K146" i="1"/>
  <c r="J146" i="1"/>
  <c r="H146" i="1"/>
  <c r="AQ145" i="1"/>
  <c r="O145" i="1" s="1"/>
  <c r="AO145" i="1"/>
  <c r="AM145" i="1"/>
  <c r="AK145" i="1"/>
  <c r="AI145" i="1"/>
  <c r="AG145" i="1"/>
  <c r="AE145" i="1"/>
  <c r="AC145" i="1"/>
  <c r="V145" i="1"/>
  <c r="R145" i="1"/>
  <c r="P145" i="1"/>
  <c r="M145" i="1"/>
  <c r="K145" i="1"/>
  <c r="J145" i="1"/>
  <c r="H145" i="1"/>
  <c r="N145" i="1" s="1"/>
  <c r="AQ144" i="1"/>
  <c r="AO144" i="1"/>
  <c r="AM144" i="1"/>
  <c r="AK144" i="1"/>
  <c r="AI144" i="1"/>
  <c r="AG144" i="1"/>
  <c r="AE144" i="1"/>
  <c r="AC144" i="1"/>
  <c r="V144" i="1"/>
  <c r="S144" i="1"/>
  <c r="R144" i="1"/>
  <c r="P144" i="1"/>
  <c r="M144" i="1"/>
  <c r="K144" i="1"/>
  <c r="J144" i="1"/>
  <c r="O144" i="1" s="1"/>
  <c r="H144" i="1"/>
  <c r="N144" i="1" s="1"/>
  <c r="AQ143" i="1"/>
  <c r="AO143" i="1"/>
  <c r="AM143" i="1"/>
  <c r="AK143" i="1"/>
  <c r="AI143" i="1"/>
  <c r="AG143" i="1"/>
  <c r="AE143" i="1"/>
  <c r="AC143" i="1"/>
  <c r="S143" i="1" s="1"/>
  <c r="V143" i="1"/>
  <c r="R143" i="1"/>
  <c r="P143" i="1"/>
  <c r="O143" i="1"/>
  <c r="M143" i="1"/>
  <c r="L143" i="1"/>
  <c r="K143" i="1"/>
  <c r="J143" i="1"/>
  <c r="H143" i="1"/>
  <c r="AQ142" i="1"/>
  <c r="AO142" i="1"/>
  <c r="AM142" i="1"/>
  <c r="AK142" i="1"/>
  <c r="AI142" i="1"/>
  <c r="AG142" i="1"/>
  <c r="AE142" i="1"/>
  <c r="AC142" i="1"/>
  <c r="V142" i="1"/>
  <c r="S142" i="1"/>
  <c r="R142" i="1"/>
  <c r="P142" i="1"/>
  <c r="O142" i="1"/>
  <c r="M142" i="1"/>
  <c r="K142" i="1"/>
  <c r="J142" i="1"/>
  <c r="H142" i="1"/>
  <c r="L142" i="1" s="1"/>
  <c r="AQ141" i="1"/>
  <c r="O141" i="1" s="1"/>
  <c r="AO141" i="1"/>
  <c r="AM141" i="1"/>
  <c r="AK141" i="1"/>
  <c r="AI141" i="1"/>
  <c r="AG141" i="1"/>
  <c r="AE141" i="1"/>
  <c r="AC141" i="1"/>
  <c r="V141" i="1"/>
  <c r="R141" i="1"/>
  <c r="P141" i="1"/>
  <c r="M141" i="1"/>
  <c r="K141" i="1"/>
  <c r="J141" i="1"/>
  <c r="H141" i="1"/>
  <c r="L141" i="1" s="1"/>
  <c r="AQ140" i="1"/>
  <c r="AO140" i="1"/>
  <c r="AM140" i="1"/>
  <c r="AK140" i="1"/>
  <c r="AI140" i="1"/>
  <c r="AG140" i="1"/>
  <c r="AE140" i="1"/>
  <c r="AC140" i="1"/>
  <c r="V140" i="1"/>
  <c r="R140" i="1"/>
  <c r="P140" i="1"/>
  <c r="O140" i="1"/>
  <c r="M140" i="1"/>
  <c r="K140" i="1"/>
  <c r="J140" i="1"/>
  <c r="H140" i="1"/>
  <c r="N140" i="1" s="1"/>
  <c r="AQ139" i="1"/>
  <c r="AO139" i="1"/>
  <c r="AM139" i="1"/>
  <c r="AK139" i="1"/>
  <c r="AI139" i="1"/>
  <c r="AG139" i="1"/>
  <c r="AE139" i="1"/>
  <c r="AC139" i="1"/>
  <c r="V139" i="1"/>
  <c r="R139" i="1"/>
  <c r="S139" i="1" s="1"/>
  <c r="P139" i="1"/>
  <c r="O139" i="1"/>
  <c r="M139" i="1"/>
  <c r="L139" i="1"/>
  <c r="K139" i="1"/>
  <c r="J139" i="1"/>
  <c r="H139" i="1"/>
  <c r="AQ138" i="1"/>
  <c r="AO138" i="1"/>
  <c r="AM138" i="1"/>
  <c r="AK138" i="1"/>
  <c r="AI138" i="1"/>
  <c r="AG138" i="1"/>
  <c r="AE138" i="1"/>
  <c r="AC138" i="1"/>
  <c r="V138" i="1"/>
  <c r="R138" i="1"/>
  <c r="P138" i="1"/>
  <c r="N138" i="1"/>
  <c r="M138" i="1"/>
  <c r="K138" i="1"/>
  <c r="J138" i="1"/>
  <c r="O138" i="1" s="1"/>
  <c r="H138" i="1"/>
  <c r="AQ137" i="1"/>
  <c r="O137" i="1" s="1"/>
  <c r="AO137" i="1"/>
  <c r="AM137" i="1"/>
  <c r="AK137" i="1"/>
  <c r="AI137" i="1"/>
  <c r="AG137" i="1"/>
  <c r="AE137" i="1"/>
  <c r="AC137" i="1"/>
  <c r="V137" i="1"/>
  <c r="R137" i="1"/>
  <c r="P137" i="1"/>
  <c r="N137" i="1"/>
  <c r="M137" i="1"/>
  <c r="L137" i="1"/>
  <c r="K137" i="1"/>
  <c r="J137" i="1"/>
  <c r="H137" i="1"/>
  <c r="AQ136" i="1"/>
  <c r="AO136" i="1"/>
  <c r="AM136" i="1"/>
  <c r="AK136" i="1"/>
  <c r="AI136" i="1"/>
  <c r="AG136" i="1"/>
  <c r="AE136" i="1"/>
  <c r="AC136" i="1"/>
  <c r="V136" i="1"/>
  <c r="R136" i="1"/>
  <c r="S136" i="1" s="1"/>
  <c r="P136" i="1"/>
  <c r="M136" i="1"/>
  <c r="L136" i="1"/>
  <c r="K136" i="1"/>
  <c r="J136" i="1"/>
  <c r="H136" i="1"/>
  <c r="N136" i="1" s="1"/>
  <c r="AQ135" i="1"/>
  <c r="AO135" i="1"/>
  <c r="AM135" i="1"/>
  <c r="AK135" i="1"/>
  <c r="AI135" i="1"/>
  <c r="AG135" i="1"/>
  <c r="AE135" i="1"/>
  <c r="AC135" i="1"/>
  <c r="V135" i="1"/>
  <c r="R135" i="1"/>
  <c r="P135" i="1"/>
  <c r="M135" i="1"/>
  <c r="K135" i="1"/>
  <c r="J135" i="1"/>
  <c r="O135" i="1" s="1"/>
  <c r="H135" i="1"/>
  <c r="AQ134" i="1"/>
  <c r="AO134" i="1"/>
  <c r="AM134" i="1"/>
  <c r="AK134" i="1"/>
  <c r="AI134" i="1"/>
  <c r="AG134" i="1"/>
  <c r="AE134" i="1"/>
  <c r="AC134" i="1"/>
  <c r="V134" i="1"/>
  <c r="R134" i="1"/>
  <c r="P134" i="1"/>
  <c r="N134" i="1"/>
  <c r="M134" i="1"/>
  <c r="K134" i="1"/>
  <c r="J134" i="1"/>
  <c r="O134" i="1" s="1"/>
  <c r="H134" i="1"/>
  <c r="AQ133" i="1"/>
  <c r="AO133" i="1"/>
  <c r="AM133" i="1"/>
  <c r="AK133" i="1"/>
  <c r="AI133" i="1"/>
  <c r="AG133" i="1"/>
  <c r="AE133" i="1"/>
  <c r="AC133" i="1"/>
  <c r="V133" i="1"/>
  <c r="R133" i="1"/>
  <c r="S133" i="1" s="1"/>
  <c r="P133" i="1"/>
  <c r="O133" i="1"/>
  <c r="M133" i="1"/>
  <c r="L133" i="1"/>
  <c r="K133" i="1"/>
  <c r="J133" i="1"/>
  <c r="H133" i="1"/>
  <c r="AQ132" i="1"/>
  <c r="AO132" i="1"/>
  <c r="AM132" i="1"/>
  <c r="AK132" i="1"/>
  <c r="AI132" i="1"/>
  <c r="AG132" i="1"/>
  <c r="AE132" i="1"/>
  <c r="AC132" i="1"/>
  <c r="V132" i="1"/>
  <c r="R132" i="1"/>
  <c r="S132" i="1" s="1"/>
  <c r="P132" i="1"/>
  <c r="M132" i="1"/>
  <c r="K132" i="1"/>
  <c r="J132" i="1"/>
  <c r="O132" i="1" s="1"/>
  <c r="H132" i="1"/>
  <c r="N132" i="1" s="1"/>
  <c r="AQ131" i="1"/>
  <c r="AO131" i="1"/>
  <c r="AM131" i="1"/>
  <c r="AK131" i="1"/>
  <c r="AI131" i="1"/>
  <c r="AG131" i="1"/>
  <c r="AE131" i="1"/>
  <c r="AC131" i="1"/>
  <c r="V131" i="1"/>
  <c r="R131" i="1"/>
  <c r="P131" i="1"/>
  <c r="O131" i="1"/>
  <c r="M131" i="1"/>
  <c r="K131" i="1"/>
  <c r="J131" i="1"/>
  <c r="H131" i="1"/>
  <c r="AQ130" i="1"/>
  <c r="AO130" i="1"/>
  <c r="N130" i="1" s="1"/>
  <c r="AM130" i="1"/>
  <c r="AK130" i="1"/>
  <c r="AI130" i="1"/>
  <c r="AG130" i="1"/>
  <c r="AE130" i="1"/>
  <c r="AC130" i="1"/>
  <c r="V130" i="1"/>
  <c r="R130" i="1"/>
  <c r="P130" i="1"/>
  <c r="M130" i="1"/>
  <c r="K130" i="1"/>
  <c r="J130" i="1"/>
  <c r="O130" i="1" s="1"/>
  <c r="H130" i="1"/>
  <c r="AQ129" i="1"/>
  <c r="AO129" i="1"/>
  <c r="AM129" i="1"/>
  <c r="AK129" i="1"/>
  <c r="AI129" i="1"/>
  <c r="AG129" i="1"/>
  <c r="AE129" i="1"/>
  <c r="AC129" i="1"/>
  <c r="V129" i="1"/>
  <c r="R129" i="1"/>
  <c r="S129" i="1" s="1"/>
  <c r="P129" i="1"/>
  <c r="M129" i="1"/>
  <c r="K129" i="1"/>
  <c r="J129" i="1"/>
  <c r="O129" i="1" s="1"/>
  <c r="H129" i="1"/>
  <c r="AQ128" i="1"/>
  <c r="AO128" i="1"/>
  <c r="AM128" i="1"/>
  <c r="AK128" i="1"/>
  <c r="AI128" i="1"/>
  <c r="AG128" i="1"/>
  <c r="AE128" i="1"/>
  <c r="AC128" i="1"/>
  <c r="V128" i="1"/>
  <c r="S128" i="1"/>
  <c r="R128" i="1"/>
  <c r="P128" i="1"/>
  <c r="N128" i="1"/>
  <c r="M128" i="1"/>
  <c r="L128" i="1"/>
  <c r="K128" i="1"/>
  <c r="J128" i="1"/>
  <c r="O128" i="1" s="1"/>
  <c r="H128" i="1"/>
  <c r="AQ127" i="1"/>
  <c r="AO127" i="1"/>
  <c r="AM127" i="1"/>
  <c r="AK127" i="1"/>
  <c r="AI127" i="1"/>
  <c r="AG127" i="1"/>
  <c r="AE127" i="1"/>
  <c r="AC127" i="1"/>
  <c r="V127" i="1"/>
  <c r="R127" i="1"/>
  <c r="S127" i="1" s="1"/>
  <c r="P127" i="1"/>
  <c r="M127" i="1"/>
  <c r="L127" i="1"/>
  <c r="K127" i="1"/>
  <c r="J127" i="1"/>
  <c r="O127" i="1" s="1"/>
  <c r="H127" i="1"/>
  <c r="N127" i="1" s="1"/>
  <c r="AQ126" i="1"/>
  <c r="AO126" i="1"/>
  <c r="AM126" i="1"/>
  <c r="AK126" i="1"/>
  <c r="AI126" i="1"/>
  <c r="AG126" i="1"/>
  <c r="AE126" i="1"/>
  <c r="AC126" i="1"/>
  <c r="V126" i="1"/>
  <c r="S126" i="1"/>
  <c r="R126" i="1"/>
  <c r="P126" i="1"/>
  <c r="M126" i="1"/>
  <c r="K126" i="1"/>
  <c r="J126" i="1"/>
  <c r="O126" i="1" s="1"/>
  <c r="H126" i="1"/>
  <c r="N126" i="1" s="1"/>
  <c r="AQ125" i="1"/>
  <c r="AO125" i="1"/>
  <c r="AM125" i="1"/>
  <c r="AK125" i="1"/>
  <c r="AI125" i="1"/>
  <c r="AG125" i="1"/>
  <c r="AE125" i="1"/>
  <c r="AC125" i="1"/>
  <c r="S125" i="1" s="1"/>
  <c r="V125" i="1"/>
  <c r="R125" i="1"/>
  <c r="P125" i="1"/>
  <c r="O125" i="1"/>
  <c r="M125" i="1"/>
  <c r="L125" i="1"/>
  <c r="K125" i="1"/>
  <c r="J125" i="1"/>
  <c r="H125" i="1"/>
  <c r="AQ124" i="1"/>
  <c r="AO124" i="1"/>
  <c r="AM124" i="1"/>
  <c r="AK124" i="1"/>
  <c r="AI124" i="1"/>
  <c r="AG124" i="1"/>
  <c r="AE124" i="1"/>
  <c r="AC124" i="1"/>
  <c r="V124" i="1"/>
  <c r="S124" i="1"/>
  <c r="R124" i="1"/>
  <c r="P124" i="1"/>
  <c r="O124" i="1"/>
  <c r="M124" i="1"/>
  <c r="K124" i="1"/>
  <c r="J124" i="1"/>
  <c r="H124" i="1"/>
  <c r="L124" i="1" s="1"/>
  <c r="AQ123" i="1"/>
  <c r="O123" i="1" s="1"/>
  <c r="AO123" i="1"/>
  <c r="AM123" i="1"/>
  <c r="AK123" i="1"/>
  <c r="AI123" i="1"/>
  <c r="AG123" i="1"/>
  <c r="AE123" i="1"/>
  <c r="AC123" i="1"/>
  <c r="V123" i="1"/>
  <c r="R123" i="1"/>
  <c r="P123" i="1"/>
  <c r="M123" i="1"/>
  <c r="K123" i="1"/>
  <c r="J123" i="1"/>
  <c r="H123" i="1"/>
  <c r="AQ122" i="1"/>
  <c r="AO122" i="1"/>
  <c r="AM122" i="1"/>
  <c r="AK122" i="1"/>
  <c r="AI122" i="1"/>
  <c r="AG122" i="1"/>
  <c r="AE122" i="1"/>
  <c r="AC122" i="1"/>
  <c r="S122" i="1" s="1"/>
  <c r="V122" i="1"/>
  <c r="R122" i="1"/>
  <c r="P122" i="1"/>
  <c r="O122" i="1"/>
  <c r="N122" i="1"/>
  <c r="M122" i="1"/>
  <c r="L122" i="1"/>
  <c r="K122" i="1"/>
  <c r="J122" i="1"/>
  <c r="H122" i="1"/>
  <c r="AQ121" i="1"/>
  <c r="AO121" i="1"/>
  <c r="AM121" i="1"/>
  <c r="AK121" i="1"/>
  <c r="AI121" i="1"/>
  <c r="AG121" i="1"/>
  <c r="AE121" i="1"/>
  <c r="AC121" i="1"/>
  <c r="V121" i="1"/>
  <c r="S121" i="1"/>
  <c r="R121" i="1"/>
  <c r="P121" i="1"/>
  <c r="O121" i="1"/>
  <c r="M121" i="1"/>
  <c r="L121" i="1"/>
  <c r="K121" i="1"/>
  <c r="J121" i="1"/>
  <c r="H121" i="1"/>
  <c r="AQ120" i="1"/>
  <c r="AO120" i="1"/>
  <c r="AM120" i="1"/>
  <c r="AK120" i="1"/>
  <c r="AI120" i="1"/>
  <c r="AG120" i="1"/>
  <c r="AE120" i="1"/>
  <c r="AC120" i="1"/>
  <c r="V120" i="1"/>
  <c r="S120" i="1"/>
  <c r="R120" i="1"/>
  <c r="P120" i="1"/>
  <c r="O120" i="1"/>
  <c r="M120" i="1"/>
  <c r="K120" i="1"/>
  <c r="J120" i="1"/>
  <c r="H120" i="1"/>
  <c r="AQ119" i="1"/>
  <c r="AO119" i="1"/>
  <c r="AM119" i="1"/>
  <c r="AK119" i="1"/>
  <c r="AI119" i="1"/>
  <c r="AG119" i="1"/>
  <c r="AE119" i="1"/>
  <c r="AC119" i="1"/>
  <c r="V119" i="1"/>
  <c r="R119" i="1"/>
  <c r="P119" i="1"/>
  <c r="O119" i="1"/>
  <c r="N119" i="1"/>
  <c r="M119" i="1"/>
  <c r="L119" i="1"/>
  <c r="K119" i="1"/>
  <c r="J119" i="1"/>
  <c r="H119" i="1"/>
  <c r="AQ118" i="1"/>
  <c r="AO118" i="1"/>
  <c r="AM118" i="1"/>
  <c r="AK118" i="1"/>
  <c r="AI118" i="1"/>
  <c r="AG118" i="1"/>
  <c r="AE118" i="1"/>
  <c r="AC118" i="1"/>
  <c r="V118" i="1"/>
  <c r="S118" i="1"/>
  <c r="R118" i="1"/>
  <c r="P118" i="1"/>
  <c r="M118" i="1"/>
  <c r="L118" i="1"/>
  <c r="K118" i="1"/>
  <c r="J118" i="1"/>
  <c r="O118" i="1" s="1"/>
  <c r="H118" i="1"/>
  <c r="N118" i="1" s="1"/>
  <c r="AQ117" i="1"/>
  <c r="AO117" i="1"/>
  <c r="N117" i="1" s="1"/>
  <c r="AM117" i="1"/>
  <c r="AK117" i="1"/>
  <c r="AI117" i="1"/>
  <c r="AG117" i="1"/>
  <c r="AE117" i="1"/>
  <c r="AC117" i="1"/>
  <c r="V117" i="1"/>
  <c r="S117" i="1"/>
  <c r="R117" i="1"/>
  <c r="P117" i="1"/>
  <c r="M117" i="1"/>
  <c r="K117" i="1"/>
  <c r="J117" i="1"/>
  <c r="O117" i="1" s="1"/>
  <c r="H117" i="1"/>
  <c r="L117" i="1" s="1"/>
  <c r="AQ116" i="1"/>
  <c r="O116" i="1" s="1"/>
  <c r="AO116" i="1"/>
  <c r="AM116" i="1"/>
  <c r="AK116" i="1"/>
  <c r="AI116" i="1"/>
  <c r="AG116" i="1"/>
  <c r="AE116" i="1"/>
  <c r="AC116" i="1"/>
  <c r="V116" i="1"/>
  <c r="R116" i="1"/>
  <c r="P116" i="1"/>
  <c r="M116" i="1"/>
  <c r="K116" i="1"/>
  <c r="J116" i="1"/>
  <c r="H116" i="1"/>
  <c r="AQ115" i="1"/>
  <c r="AO115" i="1"/>
  <c r="AM115" i="1"/>
  <c r="AK115" i="1"/>
  <c r="AI115" i="1"/>
  <c r="AG115" i="1"/>
  <c r="AE115" i="1"/>
  <c r="AC115" i="1"/>
  <c r="V115" i="1"/>
  <c r="R115" i="1"/>
  <c r="P115" i="1"/>
  <c r="O115" i="1"/>
  <c r="M115" i="1"/>
  <c r="L115" i="1"/>
  <c r="K115" i="1"/>
  <c r="J115" i="1"/>
  <c r="H115" i="1"/>
  <c r="N115" i="1" s="1"/>
  <c r="AQ114" i="1"/>
  <c r="AO114" i="1"/>
  <c r="AM114" i="1"/>
  <c r="AK114" i="1"/>
  <c r="AI114" i="1"/>
  <c r="AG114" i="1"/>
  <c r="AE114" i="1"/>
  <c r="AC114" i="1"/>
  <c r="V114" i="1"/>
  <c r="S114" i="1"/>
  <c r="R114" i="1"/>
  <c r="P114" i="1"/>
  <c r="M114" i="1"/>
  <c r="K114" i="1"/>
  <c r="J114" i="1"/>
  <c r="O114" i="1" s="1"/>
  <c r="H114" i="1"/>
  <c r="L114" i="1" s="1"/>
  <c r="AQ113" i="1"/>
  <c r="AO113" i="1"/>
  <c r="N113" i="1" s="1"/>
  <c r="AM113" i="1"/>
  <c r="AK113" i="1"/>
  <c r="AI113" i="1"/>
  <c r="AG113" i="1"/>
  <c r="AE113" i="1"/>
  <c r="AC113" i="1"/>
  <c r="S113" i="1" s="1"/>
  <c r="V113" i="1"/>
  <c r="R113" i="1"/>
  <c r="P113" i="1"/>
  <c r="O113" i="1"/>
  <c r="M113" i="1"/>
  <c r="K113" i="1"/>
  <c r="J113" i="1"/>
  <c r="H113" i="1"/>
  <c r="L113" i="1" s="1"/>
  <c r="AQ112" i="1"/>
  <c r="O112" i="1" s="1"/>
  <c r="AO112" i="1"/>
  <c r="AM112" i="1"/>
  <c r="AK112" i="1"/>
  <c r="AI112" i="1"/>
  <c r="AG112" i="1"/>
  <c r="AE112" i="1"/>
  <c r="AC112" i="1"/>
  <c r="V112" i="1"/>
  <c r="R112" i="1"/>
  <c r="P112" i="1"/>
  <c r="M112" i="1"/>
  <c r="K112" i="1"/>
  <c r="J112" i="1"/>
  <c r="H112" i="1"/>
  <c r="AQ111" i="1"/>
  <c r="AO111" i="1"/>
  <c r="AM111" i="1"/>
  <c r="AK111" i="1"/>
  <c r="AI111" i="1"/>
  <c r="AG111" i="1"/>
  <c r="AE111" i="1"/>
  <c r="AC111" i="1"/>
  <c r="V111" i="1"/>
  <c r="R111" i="1"/>
  <c r="P111" i="1"/>
  <c r="O111" i="1"/>
  <c r="M111" i="1"/>
  <c r="K111" i="1"/>
  <c r="J111" i="1"/>
  <c r="H111" i="1"/>
  <c r="N111" i="1" s="1"/>
  <c r="AQ110" i="1"/>
  <c r="AO110" i="1"/>
  <c r="AM110" i="1"/>
  <c r="AK110" i="1"/>
  <c r="AI110" i="1"/>
  <c r="AG110" i="1"/>
  <c r="AE110" i="1"/>
  <c r="AC110" i="1"/>
  <c r="V110" i="1"/>
  <c r="R110" i="1"/>
  <c r="S110" i="1" s="1"/>
  <c r="P110" i="1"/>
  <c r="O110" i="1"/>
  <c r="M110" i="1"/>
  <c r="K110" i="1"/>
  <c r="J110" i="1"/>
  <c r="H110" i="1"/>
  <c r="L110" i="1" s="1"/>
  <c r="AQ109" i="1"/>
  <c r="AO109" i="1"/>
  <c r="AM109" i="1"/>
  <c r="AK109" i="1"/>
  <c r="AI109" i="1"/>
  <c r="AG109" i="1"/>
  <c r="AE109" i="1"/>
  <c r="AC109" i="1"/>
  <c r="S109" i="1" s="1"/>
  <c r="V109" i="1"/>
  <c r="R109" i="1"/>
  <c r="P109" i="1"/>
  <c r="O109" i="1"/>
  <c r="M109" i="1"/>
  <c r="K109" i="1"/>
  <c r="J109" i="1"/>
  <c r="H109" i="1"/>
  <c r="N109" i="1" s="1"/>
  <c r="AQ108" i="1"/>
  <c r="O108" i="1" s="1"/>
  <c r="AO108" i="1"/>
  <c r="AM108" i="1"/>
  <c r="AK108" i="1"/>
  <c r="AI108" i="1"/>
  <c r="AG108" i="1"/>
  <c r="AE108" i="1"/>
  <c r="AC108" i="1"/>
  <c r="V108" i="1"/>
  <c r="R108" i="1"/>
  <c r="P108" i="1"/>
  <c r="M108" i="1"/>
  <c r="K108" i="1"/>
  <c r="J108" i="1"/>
  <c r="H108" i="1"/>
  <c r="AQ107" i="1"/>
  <c r="AO107" i="1"/>
  <c r="AM107" i="1"/>
  <c r="AK107" i="1"/>
  <c r="AI107" i="1"/>
  <c r="AG107" i="1"/>
  <c r="AE107" i="1"/>
  <c r="AC107" i="1"/>
  <c r="V107" i="1"/>
  <c r="R107" i="1"/>
  <c r="P107" i="1"/>
  <c r="O107" i="1"/>
  <c r="M107" i="1"/>
  <c r="K107" i="1"/>
  <c r="J107" i="1"/>
  <c r="H107" i="1"/>
  <c r="N107" i="1" s="1"/>
  <c r="AQ106" i="1"/>
  <c r="AO106" i="1"/>
  <c r="AM106" i="1"/>
  <c r="AK106" i="1"/>
  <c r="AI106" i="1"/>
  <c r="AG106" i="1"/>
  <c r="AE106" i="1"/>
  <c r="AC106" i="1"/>
  <c r="V106" i="1"/>
  <c r="R106" i="1"/>
  <c r="S106" i="1" s="1"/>
  <c r="P106" i="1"/>
  <c r="O106" i="1"/>
  <c r="M106" i="1"/>
  <c r="K106" i="1"/>
  <c r="J106" i="1"/>
  <c r="H106" i="1"/>
  <c r="L106" i="1" s="1"/>
  <c r="AQ105" i="1"/>
  <c r="AO105" i="1"/>
  <c r="AM105" i="1"/>
  <c r="AK105" i="1"/>
  <c r="AI105" i="1"/>
  <c r="AG105" i="1"/>
  <c r="AE105" i="1"/>
  <c r="AC105" i="1"/>
  <c r="V105" i="1"/>
  <c r="R105" i="1"/>
  <c r="S105" i="1" s="1"/>
  <c r="P105" i="1"/>
  <c r="O105" i="1"/>
  <c r="M105" i="1"/>
  <c r="K105" i="1"/>
  <c r="J105" i="1"/>
  <c r="H105" i="1"/>
  <c r="N105" i="1" s="1"/>
  <c r="AQ104" i="1"/>
  <c r="O104" i="1" s="1"/>
  <c r="AO104" i="1"/>
  <c r="AM104" i="1"/>
  <c r="AK104" i="1"/>
  <c r="AI104" i="1"/>
  <c r="AG104" i="1"/>
  <c r="AE104" i="1"/>
  <c r="AC104" i="1"/>
  <c r="V104" i="1"/>
  <c r="R104" i="1"/>
  <c r="P104" i="1"/>
  <c r="M104" i="1"/>
  <c r="K104" i="1"/>
  <c r="J104" i="1"/>
  <c r="H104" i="1"/>
  <c r="AQ103" i="1"/>
  <c r="AO103" i="1"/>
  <c r="AM103" i="1"/>
  <c r="AK103" i="1"/>
  <c r="AI103" i="1"/>
  <c r="AG103" i="1"/>
  <c r="AE103" i="1"/>
  <c r="AC103" i="1"/>
  <c r="V103" i="1"/>
  <c r="R103" i="1"/>
  <c r="P103" i="1"/>
  <c r="O103" i="1"/>
  <c r="M103" i="1"/>
  <c r="K103" i="1"/>
  <c r="J103" i="1"/>
  <c r="H103" i="1"/>
  <c r="N103" i="1" s="1"/>
  <c r="AQ102" i="1"/>
  <c r="AO102" i="1"/>
  <c r="AM102" i="1"/>
  <c r="AK102" i="1"/>
  <c r="AI102" i="1"/>
  <c r="AG102" i="1"/>
  <c r="AE102" i="1"/>
  <c r="AC102" i="1"/>
  <c r="V102" i="1"/>
  <c r="R102" i="1"/>
  <c r="S102" i="1" s="1"/>
  <c r="P102" i="1"/>
  <c r="O102" i="1"/>
  <c r="M102" i="1"/>
  <c r="K102" i="1"/>
  <c r="J102" i="1"/>
  <c r="H102" i="1"/>
  <c r="L102" i="1" s="1"/>
  <c r="AQ101" i="1"/>
  <c r="AO101" i="1"/>
  <c r="AM101" i="1"/>
  <c r="AK101" i="1"/>
  <c r="AI101" i="1"/>
  <c r="AG101" i="1"/>
  <c r="AE101" i="1"/>
  <c r="AC101" i="1"/>
  <c r="V101" i="1"/>
  <c r="R101" i="1"/>
  <c r="S101" i="1" s="1"/>
  <c r="P101" i="1"/>
  <c r="O101" i="1"/>
  <c r="M101" i="1"/>
  <c r="K101" i="1"/>
  <c r="J101" i="1"/>
  <c r="H101" i="1"/>
  <c r="N101" i="1" s="1"/>
  <c r="AQ100" i="1"/>
  <c r="O100" i="1" s="1"/>
  <c r="AO100" i="1"/>
  <c r="AM100" i="1"/>
  <c r="AK100" i="1"/>
  <c r="AI100" i="1"/>
  <c r="AG100" i="1"/>
  <c r="AE100" i="1"/>
  <c r="AC100" i="1"/>
  <c r="V100" i="1"/>
  <c r="R100" i="1"/>
  <c r="P100" i="1"/>
  <c r="M100" i="1"/>
  <c r="K100" i="1"/>
  <c r="J100" i="1"/>
  <c r="H100" i="1"/>
  <c r="AQ99" i="1"/>
  <c r="AO99" i="1"/>
  <c r="AM99" i="1"/>
  <c r="AK99" i="1"/>
  <c r="AI99" i="1"/>
  <c r="AG99" i="1"/>
  <c r="AE99" i="1"/>
  <c r="AC99" i="1"/>
  <c r="V99" i="1"/>
  <c r="R99" i="1"/>
  <c r="P99" i="1"/>
  <c r="O99" i="1"/>
  <c r="M99" i="1"/>
  <c r="K99" i="1"/>
  <c r="J99" i="1"/>
  <c r="H99" i="1"/>
  <c r="N99" i="1" s="1"/>
  <c r="AQ98" i="1"/>
  <c r="AO98" i="1"/>
  <c r="AM98" i="1"/>
  <c r="AK98" i="1"/>
  <c r="AI98" i="1"/>
  <c r="AG98" i="1"/>
  <c r="AE98" i="1"/>
  <c r="AC98" i="1"/>
  <c r="V98" i="1"/>
  <c r="R98" i="1"/>
  <c r="S98" i="1" s="1"/>
  <c r="P98" i="1"/>
  <c r="O98" i="1"/>
  <c r="M98" i="1"/>
  <c r="K98" i="1"/>
  <c r="J98" i="1"/>
  <c r="H98" i="1"/>
  <c r="L98" i="1" s="1"/>
  <c r="AQ97" i="1"/>
  <c r="AO97" i="1"/>
  <c r="AM97" i="1"/>
  <c r="AK97" i="1"/>
  <c r="AI97" i="1"/>
  <c r="AG97" i="1"/>
  <c r="AE97" i="1"/>
  <c r="AC97" i="1"/>
  <c r="V97" i="1"/>
  <c r="R97" i="1"/>
  <c r="S97" i="1" s="1"/>
  <c r="P97" i="1"/>
  <c r="O97" i="1"/>
  <c r="M97" i="1"/>
  <c r="K97" i="1"/>
  <c r="J97" i="1"/>
  <c r="H97" i="1"/>
  <c r="N97" i="1" s="1"/>
  <c r="AQ96" i="1"/>
  <c r="AO96" i="1"/>
  <c r="AM96" i="1"/>
  <c r="AK96" i="1"/>
  <c r="AI96" i="1"/>
  <c r="AG96" i="1"/>
  <c r="AE96" i="1"/>
  <c r="AC96" i="1"/>
  <c r="V96" i="1"/>
  <c r="R96" i="1"/>
  <c r="P96" i="1"/>
  <c r="O96" i="1"/>
  <c r="M96" i="1"/>
  <c r="K96" i="1"/>
  <c r="J96" i="1"/>
  <c r="H96" i="1"/>
  <c r="AQ95" i="1"/>
  <c r="AO95" i="1"/>
  <c r="AM95" i="1"/>
  <c r="AK95" i="1"/>
  <c r="AI95" i="1"/>
  <c r="AG95" i="1"/>
  <c r="AE95" i="1"/>
  <c r="AC95" i="1"/>
  <c r="V95" i="1"/>
  <c r="R95" i="1"/>
  <c r="P95" i="1"/>
  <c r="O95" i="1"/>
  <c r="M95" i="1"/>
  <c r="K95" i="1"/>
  <c r="J95" i="1"/>
  <c r="H95" i="1"/>
  <c r="N95" i="1" s="1"/>
  <c r="AQ94" i="1"/>
  <c r="AO94" i="1"/>
  <c r="AM94" i="1"/>
  <c r="AK94" i="1"/>
  <c r="AI94" i="1"/>
  <c r="AG94" i="1"/>
  <c r="AE94" i="1"/>
  <c r="AC94" i="1"/>
  <c r="V94" i="1"/>
  <c r="R94" i="1"/>
  <c r="S94" i="1" s="1"/>
  <c r="P94" i="1"/>
  <c r="O94" i="1"/>
  <c r="M94" i="1"/>
  <c r="K94" i="1"/>
  <c r="J94" i="1"/>
  <c r="H94" i="1"/>
  <c r="L94" i="1" s="1"/>
  <c r="AQ93" i="1"/>
  <c r="AO93" i="1"/>
  <c r="AM93" i="1"/>
  <c r="AK93" i="1"/>
  <c r="AI93" i="1"/>
  <c r="AG93" i="1"/>
  <c r="AE93" i="1"/>
  <c r="AC93" i="1"/>
  <c r="V93" i="1"/>
  <c r="R93" i="1"/>
  <c r="S93" i="1" s="1"/>
  <c r="P93" i="1"/>
  <c r="O93" i="1"/>
  <c r="M93" i="1"/>
  <c r="K93" i="1"/>
  <c r="J93" i="1"/>
  <c r="H93" i="1"/>
  <c r="N93" i="1" s="1"/>
  <c r="AQ92" i="1"/>
  <c r="AO92" i="1"/>
  <c r="AM92" i="1"/>
  <c r="AK92" i="1"/>
  <c r="AI92" i="1"/>
  <c r="AG92" i="1"/>
  <c r="AE92" i="1"/>
  <c r="AC92" i="1"/>
  <c r="V92" i="1"/>
  <c r="R92" i="1"/>
  <c r="S92" i="1" s="1"/>
  <c r="P92" i="1"/>
  <c r="O92" i="1"/>
  <c r="M92" i="1"/>
  <c r="K92" i="1"/>
  <c r="J92" i="1"/>
  <c r="H92" i="1"/>
  <c r="AQ91" i="1"/>
  <c r="AO91" i="1"/>
  <c r="AM91" i="1"/>
  <c r="AK91" i="1"/>
  <c r="AI91" i="1"/>
  <c r="AG91" i="1"/>
  <c r="AE91" i="1"/>
  <c r="AC91" i="1"/>
  <c r="V91" i="1"/>
  <c r="R91" i="1"/>
  <c r="P91" i="1"/>
  <c r="O91" i="1"/>
  <c r="M91" i="1"/>
  <c r="K91" i="1"/>
  <c r="J91" i="1"/>
  <c r="H91" i="1"/>
  <c r="AQ90" i="1"/>
  <c r="AO90" i="1"/>
  <c r="AM90" i="1"/>
  <c r="AK90" i="1"/>
  <c r="AI90" i="1"/>
  <c r="AG90" i="1"/>
  <c r="AE90" i="1"/>
  <c r="AC90" i="1"/>
  <c r="V90" i="1"/>
  <c r="R90" i="1"/>
  <c r="P90" i="1"/>
  <c r="O90" i="1"/>
  <c r="M90" i="1"/>
  <c r="K90" i="1"/>
  <c r="J90" i="1"/>
  <c r="H90" i="1"/>
  <c r="AQ89" i="1"/>
  <c r="AO89" i="1"/>
  <c r="AM89" i="1"/>
  <c r="AK89" i="1"/>
  <c r="AI89" i="1"/>
  <c r="AG89" i="1"/>
  <c r="AE89" i="1"/>
  <c r="AC89" i="1"/>
  <c r="V89" i="1"/>
  <c r="R89" i="1"/>
  <c r="P89" i="1"/>
  <c r="O89" i="1"/>
  <c r="M89" i="1"/>
  <c r="K89" i="1"/>
  <c r="J89" i="1"/>
  <c r="H89" i="1"/>
  <c r="N89" i="1" s="1"/>
  <c r="AQ88" i="1"/>
  <c r="AO88" i="1"/>
  <c r="AM88" i="1"/>
  <c r="AK88" i="1"/>
  <c r="AI88" i="1"/>
  <c r="AG88" i="1"/>
  <c r="AE88" i="1"/>
  <c r="AC88" i="1"/>
  <c r="V88" i="1"/>
  <c r="R88" i="1"/>
  <c r="S88" i="1" s="1"/>
  <c r="P88" i="1"/>
  <c r="O88" i="1"/>
  <c r="M88" i="1"/>
  <c r="K88" i="1"/>
  <c r="J88" i="1"/>
  <c r="H88" i="1"/>
  <c r="AQ87" i="1"/>
  <c r="AO87" i="1"/>
  <c r="AM87" i="1"/>
  <c r="AK87" i="1"/>
  <c r="AI87" i="1"/>
  <c r="AG87" i="1"/>
  <c r="AE87" i="1"/>
  <c r="AC87" i="1"/>
  <c r="V87" i="1"/>
  <c r="R87" i="1"/>
  <c r="P87" i="1"/>
  <c r="O87" i="1"/>
  <c r="M87" i="1"/>
  <c r="K87" i="1"/>
  <c r="J87" i="1"/>
  <c r="H87" i="1"/>
  <c r="AQ86" i="1"/>
  <c r="AO86" i="1"/>
  <c r="AM86" i="1"/>
  <c r="AK86" i="1"/>
  <c r="AI86" i="1"/>
  <c r="AG86" i="1"/>
  <c r="AE86" i="1"/>
  <c r="AC86" i="1"/>
  <c r="V86" i="1"/>
  <c r="R86" i="1"/>
  <c r="P86" i="1"/>
  <c r="O86" i="1"/>
  <c r="M86" i="1"/>
  <c r="K86" i="1"/>
  <c r="J86" i="1"/>
  <c r="H86" i="1"/>
  <c r="AQ85" i="1"/>
  <c r="AO85" i="1"/>
  <c r="AM85" i="1"/>
  <c r="AK85" i="1"/>
  <c r="AI85" i="1"/>
  <c r="AG85" i="1"/>
  <c r="AE85" i="1"/>
  <c r="AC85" i="1"/>
  <c r="V85" i="1"/>
  <c r="R85" i="1"/>
  <c r="S85" i="1" s="1"/>
  <c r="P85" i="1"/>
  <c r="O85" i="1"/>
  <c r="M85" i="1"/>
  <c r="K85" i="1"/>
  <c r="J85" i="1"/>
  <c r="H85" i="1"/>
  <c r="N85" i="1" s="1"/>
  <c r="AQ84" i="1"/>
  <c r="AO84" i="1"/>
  <c r="AM84" i="1"/>
  <c r="AK84" i="1"/>
  <c r="AI84" i="1"/>
  <c r="AG84" i="1"/>
  <c r="AE84" i="1"/>
  <c r="AC84" i="1"/>
  <c r="V84" i="1"/>
  <c r="R84" i="1"/>
  <c r="S84" i="1" s="1"/>
  <c r="P84" i="1"/>
  <c r="O84" i="1"/>
  <c r="M84" i="1"/>
  <c r="K84" i="1"/>
  <c r="J84" i="1"/>
  <c r="H84" i="1"/>
  <c r="AQ83" i="1"/>
  <c r="AO83" i="1"/>
  <c r="AM83" i="1"/>
  <c r="AK83" i="1"/>
  <c r="AI83" i="1"/>
  <c r="AG83" i="1"/>
  <c r="AE83" i="1"/>
  <c r="AC83" i="1"/>
  <c r="V83" i="1"/>
  <c r="R83" i="1"/>
  <c r="P83" i="1"/>
  <c r="O83" i="1"/>
  <c r="M83" i="1"/>
  <c r="K83" i="1"/>
  <c r="J83" i="1"/>
  <c r="H83" i="1"/>
  <c r="AQ82" i="1"/>
  <c r="AO82" i="1"/>
  <c r="AM82" i="1"/>
  <c r="AK82" i="1"/>
  <c r="AI82" i="1"/>
  <c r="AG82" i="1"/>
  <c r="AE82" i="1"/>
  <c r="AC82" i="1"/>
  <c r="V82" i="1"/>
  <c r="R82" i="1"/>
  <c r="S82" i="1" s="1"/>
  <c r="P82" i="1"/>
  <c r="O82" i="1"/>
  <c r="M82" i="1"/>
  <c r="K82" i="1"/>
  <c r="J82" i="1"/>
  <c r="H82" i="1"/>
  <c r="AQ81" i="1"/>
  <c r="AO81" i="1"/>
  <c r="AM81" i="1"/>
  <c r="AK81" i="1"/>
  <c r="AI81" i="1"/>
  <c r="AG81" i="1"/>
  <c r="AE81" i="1"/>
  <c r="AC81" i="1"/>
  <c r="V81" i="1"/>
  <c r="R81" i="1"/>
  <c r="P81" i="1"/>
  <c r="O81" i="1"/>
  <c r="M81" i="1"/>
  <c r="K81" i="1"/>
  <c r="J81" i="1"/>
  <c r="H81" i="1"/>
  <c r="N81" i="1" s="1"/>
  <c r="AQ80" i="1"/>
  <c r="AO80" i="1"/>
  <c r="AM80" i="1"/>
  <c r="AK80" i="1"/>
  <c r="AI80" i="1"/>
  <c r="AG80" i="1"/>
  <c r="AE80" i="1"/>
  <c r="AC80" i="1"/>
  <c r="V80" i="1"/>
  <c r="R80" i="1"/>
  <c r="S80" i="1" s="1"/>
  <c r="P80" i="1"/>
  <c r="O80" i="1"/>
  <c r="M80" i="1"/>
  <c r="K80" i="1"/>
  <c r="J80" i="1"/>
  <c r="H80" i="1"/>
  <c r="AQ79" i="1"/>
  <c r="AO79" i="1"/>
  <c r="AM79" i="1"/>
  <c r="AK79" i="1"/>
  <c r="AI79" i="1"/>
  <c r="AG79" i="1"/>
  <c r="AE79" i="1"/>
  <c r="AC79" i="1"/>
  <c r="V79" i="1"/>
  <c r="R79" i="1"/>
  <c r="P79" i="1"/>
  <c r="O79" i="1"/>
  <c r="M79" i="1"/>
  <c r="K79" i="1"/>
  <c r="J79" i="1"/>
  <c r="H79" i="1"/>
  <c r="AQ78" i="1"/>
  <c r="AO78" i="1"/>
  <c r="AM78" i="1"/>
  <c r="AK78" i="1"/>
  <c r="AI78" i="1"/>
  <c r="AG78" i="1"/>
  <c r="AE78" i="1"/>
  <c r="AC78" i="1"/>
  <c r="V78" i="1"/>
  <c r="R78" i="1"/>
  <c r="P78" i="1"/>
  <c r="O78" i="1"/>
  <c r="M78" i="1"/>
  <c r="K78" i="1"/>
  <c r="J78" i="1"/>
  <c r="H78" i="1"/>
  <c r="AQ77" i="1"/>
  <c r="AO77" i="1"/>
  <c r="AM77" i="1"/>
  <c r="AK77" i="1"/>
  <c r="AI77" i="1"/>
  <c r="AG77" i="1"/>
  <c r="AE77" i="1"/>
  <c r="AC77" i="1"/>
  <c r="V77" i="1"/>
  <c r="R77" i="1"/>
  <c r="P77" i="1"/>
  <c r="O77" i="1"/>
  <c r="M77" i="1"/>
  <c r="K77" i="1"/>
  <c r="J77" i="1"/>
  <c r="H77" i="1"/>
  <c r="N77" i="1" s="1"/>
  <c r="AQ76" i="1"/>
  <c r="AO76" i="1"/>
  <c r="AM76" i="1"/>
  <c r="AK76" i="1"/>
  <c r="AI76" i="1"/>
  <c r="AG76" i="1"/>
  <c r="AE76" i="1"/>
  <c r="AC76" i="1"/>
  <c r="V76" i="1"/>
  <c r="R76" i="1"/>
  <c r="S76" i="1" s="1"/>
  <c r="P76" i="1"/>
  <c r="O76" i="1"/>
  <c r="M76" i="1"/>
  <c r="K76" i="1"/>
  <c r="J76" i="1"/>
  <c r="H76" i="1"/>
  <c r="AQ75" i="1"/>
  <c r="AO75" i="1"/>
  <c r="AM75" i="1"/>
  <c r="AK75" i="1"/>
  <c r="AI75" i="1"/>
  <c r="AG75" i="1"/>
  <c r="AE75" i="1"/>
  <c r="AC75" i="1"/>
  <c r="V75" i="1"/>
  <c r="R75" i="1"/>
  <c r="S75" i="1" s="1"/>
  <c r="P75" i="1"/>
  <c r="O75" i="1"/>
  <c r="M75" i="1"/>
  <c r="K75" i="1"/>
  <c r="J75" i="1"/>
  <c r="H75" i="1"/>
  <c r="AQ74" i="1"/>
  <c r="AO74" i="1"/>
  <c r="AM74" i="1"/>
  <c r="AK74" i="1"/>
  <c r="AI74" i="1"/>
  <c r="AG74" i="1"/>
  <c r="AE74" i="1"/>
  <c r="AC74" i="1"/>
  <c r="V74" i="1"/>
  <c r="R74" i="1"/>
  <c r="S74" i="1" s="1"/>
  <c r="P74" i="1"/>
  <c r="O74" i="1"/>
  <c r="M74" i="1"/>
  <c r="K74" i="1"/>
  <c r="J74" i="1"/>
  <c r="H74" i="1"/>
  <c r="AQ73" i="1"/>
  <c r="AO73" i="1"/>
  <c r="AM73" i="1"/>
  <c r="AK73" i="1"/>
  <c r="AI73" i="1"/>
  <c r="AG73" i="1"/>
  <c r="AE73" i="1"/>
  <c r="AC73" i="1"/>
  <c r="V73" i="1"/>
  <c r="R73" i="1"/>
  <c r="P73" i="1"/>
  <c r="O73" i="1"/>
  <c r="M73" i="1"/>
  <c r="K73" i="1"/>
  <c r="J73" i="1"/>
  <c r="H73" i="1"/>
  <c r="AQ72" i="1"/>
  <c r="AO72" i="1"/>
  <c r="AM72" i="1"/>
  <c r="AK72" i="1"/>
  <c r="AI72" i="1"/>
  <c r="AG72" i="1"/>
  <c r="AE72" i="1"/>
  <c r="AC72" i="1"/>
  <c r="V72" i="1"/>
  <c r="R72" i="1"/>
  <c r="S72" i="1" s="1"/>
  <c r="P72" i="1"/>
  <c r="O72" i="1"/>
  <c r="M72" i="1"/>
  <c r="K72" i="1"/>
  <c r="J72" i="1"/>
  <c r="H72" i="1"/>
  <c r="AQ71" i="1"/>
  <c r="AO71" i="1"/>
  <c r="AM71" i="1"/>
  <c r="AK71" i="1"/>
  <c r="AI71" i="1"/>
  <c r="AG71" i="1"/>
  <c r="AE71" i="1"/>
  <c r="AC71" i="1"/>
  <c r="V71" i="1"/>
  <c r="R71" i="1"/>
  <c r="S71" i="1" s="1"/>
  <c r="P71" i="1"/>
  <c r="O71" i="1"/>
  <c r="M71" i="1"/>
  <c r="K71" i="1"/>
  <c r="J71" i="1"/>
  <c r="H71" i="1"/>
  <c r="AQ70" i="1"/>
  <c r="AO70" i="1"/>
  <c r="AM70" i="1"/>
  <c r="AK70" i="1"/>
  <c r="AI70" i="1"/>
  <c r="AG70" i="1"/>
  <c r="AE70" i="1"/>
  <c r="AC70" i="1"/>
  <c r="V70" i="1"/>
  <c r="R70" i="1"/>
  <c r="P70" i="1"/>
  <c r="O70" i="1"/>
  <c r="M70" i="1"/>
  <c r="K70" i="1"/>
  <c r="J70" i="1"/>
  <c r="H70" i="1"/>
  <c r="AQ69" i="1"/>
  <c r="AO69" i="1"/>
  <c r="AM69" i="1"/>
  <c r="AK69" i="1"/>
  <c r="AI69" i="1"/>
  <c r="AG69" i="1"/>
  <c r="AE69" i="1"/>
  <c r="AC69" i="1"/>
  <c r="V69" i="1"/>
  <c r="R69" i="1"/>
  <c r="P69" i="1"/>
  <c r="O69" i="1"/>
  <c r="M69" i="1"/>
  <c r="K69" i="1"/>
  <c r="J69" i="1"/>
  <c r="H69" i="1"/>
  <c r="AQ68" i="1"/>
  <c r="AO68" i="1"/>
  <c r="AM68" i="1"/>
  <c r="AK68" i="1"/>
  <c r="AI68" i="1"/>
  <c r="AG68" i="1"/>
  <c r="AE68" i="1"/>
  <c r="AC68" i="1"/>
  <c r="V68" i="1"/>
  <c r="R68" i="1"/>
  <c r="S68" i="1" s="1"/>
  <c r="P68" i="1"/>
  <c r="O68" i="1"/>
  <c r="M68" i="1"/>
  <c r="K68" i="1"/>
  <c r="J68" i="1"/>
  <c r="H68" i="1"/>
  <c r="AQ67" i="1"/>
  <c r="AO67" i="1"/>
  <c r="AM67" i="1"/>
  <c r="AK67" i="1"/>
  <c r="AI67" i="1"/>
  <c r="AG67" i="1"/>
  <c r="AE67" i="1"/>
  <c r="AC67" i="1"/>
  <c r="V67" i="1"/>
  <c r="R67" i="1"/>
  <c r="S67" i="1" s="1"/>
  <c r="P67" i="1"/>
  <c r="O67" i="1"/>
  <c r="M67" i="1"/>
  <c r="K67" i="1"/>
  <c r="J67" i="1"/>
  <c r="H67" i="1"/>
  <c r="AQ66" i="1"/>
  <c r="AO66" i="1"/>
  <c r="AM66" i="1"/>
  <c r="AK66" i="1"/>
  <c r="AI66" i="1"/>
  <c r="AG66" i="1"/>
  <c r="AE66" i="1"/>
  <c r="AC66" i="1"/>
  <c r="V66" i="1"/>
  <c r="R66" i="1"/>
  <c r="S66" i="1" s="1"/>
  <c r="P66" i="1"/>
  <c r="O66" i="1"/>
  <c r="M66" i="1"/>
  <c r="K66" i="1"/>
  <c r="J66" i="1"/>
  <c r="H66" i="1"/>
  <c r="AQ65" i="1"/>
  <c r="AO65" i="1"/>
  <c r="AM65" i="1"/>
  <c r="AK65" i="1"/>
  <c r="AI65" i="1"/>
  <c r="AG65" i="1"/>
  <c r="AE65" i="1"/>
  <c r="AC65" i="1"/>
  <c r="V65" i="1"/>
  <c r="R65" i="1"/>
  <c r="P65" i="1"/>
  <c r="O65" i="1"/>
  <c r="M65" i="1"/>
  <c r="K65" i="1"/>
  <c r="J65" i="1"/>
  <c r="H65" i="1"/>
  <c r="AQ64" i="1"/>
  <c r="AO64" i="1"/>
  <c r="AM64" i="1"/>
  <c r="AK64" i="1"/>
  <c r="AI64" i="1"/>
  <c r="AG64" i="1"/>
  <c r="AE64" i="1"/>
  <c r="AC64" i="1"/>
  <c r="V64" i="1"/>
  <c r="R64" i="1"/>
  <c r="S64" i="1" s="1"/>
  <c r="P64" i="1"/>
  <c r="O64" i="1"/>
  <c r="M64" i="1"/>
  <c r="K64" i="1"/>
  <c r="J64" i="1"/>
  <c r="H64" i="1"/>
  <c r="AQ63" i="1"/>
  <c r="AO63" i="1"/>
  <c r="AM63" i="1"/>
  <c r="AK63" i="1"/>
  <c r="AI63" i="1"/>
  <c r="AG63" i="1"/>
  <c r="AE63" i="1"/>
  <c r="AC63" i="1"/>
  <c r="V63" i="1"/>
  <c r="R63" i="1"/>
  <c r="S63" i="1" s="1"/>
  <c r="P63" i="1"/>
  <c r="O63" i="1"/>
  <c r="M63" i="1"/>
  <c r="K63" i="1"/>
  <c r="J63" i="1"/>
  <c r="H63" i="1"/>
  <c r="AQ62" i="1"/>
  <c r="AO62" i="1"/>
  <c r="AM62" i="1"/>
  <c r="AK62" i="1"/>
  <c r="AI62" i="1"/>
  <c r="AG62" i="1"/>
  <c r="AE62" i="1"/>
  <c r="AC62" i="1"/>
  <c r="V62" i="1"/>
  <c r="R62" i="1"/>
  <c r="P62" i="1"/>
  <c r="O62" i="1"/>
  <c r="M62" i="1"/>
  <c r="K62" i="1"/>
  <c r="J62" i="1"/>
  <c r="H62" i="1"/>
  <c r="AQ61" i="1"/>
  <c r="AO61" i="1"/>
  <c r="AM61" i="1"/>
  <c r="AK61" i="1"/>
  <c r="AI61" i="1"/>
  <c r="AG61" i="1"/>
  <c r="AE61" i="1"/>
  <c r="AC61" i="1"/>
  <c r="V61" i="1"/>
  <c r="R61" i="1"/>
  <c r="P61" i="1"/>
  <c r="O61" i="1"/>
  <c r="M61" i="1"/>
  <c r="K61" i="1"/>
  <c r="J61" i="1"/>
  <c r="H61" i="1"/>
  <c r="AQ60" i="1"/>
  <c r="AO60" i="1"/>
  <c r="N60" i="1" s="1"/>
  <c r="AM60" i="1"/>
  <c r="AK60" i="1"/>
  <c r="AI60" i="1"/>
  <c r="AG60" i="1"/>
  <c r="AE60" i="1"/>
  <c r="AC60" i="1"/>
  <c r="V60" i="1"/>
  <c r="S60" i="1"/>
  <c r="R60" i="1"/>
  <c r="P60" i="1"/>
  <c r="M60" i="1"/>
  <c r="L60" i="1"/>
  <c r="K60" i="1"/>
  <c r="J60" i="1"/>
  <c r="O60" i="1" s="1"/>
  <c r="H60" i="1"/>
  <c r="AQ59" i="1"/>
  <c r="AO59" i="1"/>
  <c r="AM59" i="1"/>
  <c r="AK59" i="1"/>
  <c r="AI59" i="1"/>
  <c r="AG59" i="1"/>
  <c r="AE59" i="1"/>
  <c r="AC59" i="1"/>
  <c r="V59" i="1"/>
  <c r="R59" i="1"/>
  <c r="S59" i="1" s="1"/>
  <c r="P59" i="1"/>
  <c r="O59" i="1"/>
  <c r="M59" i="1"/>
  <c r="K59" i="1"/>
  <c r="J59" i="1"/>
  <c r="H59" i="1"/>
  <c r="AQ58" i="1"/>
  <c r="AO58" i="1"/>
  <c r="AM58" i="1"/>
  <c r="AK58" i="1"/>
  <c r="AI58" i="1"/>
  <c r="AG58" i="1"/>
  <c r="AE58" i="1"/>
  <c r="AC58" i="1"/>
  <c r="V58" i="1"/>
  <c r="S58" i="1"/>
  <c r="R58" i="1"/>
  <c r="P58" i="1"/>
  <c r="M58" i="1"/>
  <c r="L58" i="1"/>
  <c r="K58" i="1"/>
  <c r="J58" i="1"/>
  <c r="O58" i="1" s="1"/>
  <c r="H58" i="1"/>
  <c r="AQ57" i="1"/>
  <c r="AO57" i="1"/>
  <c r="AM57" i="1"/>
  <c r="AK57" i="1"/>
  <c r="AI57" i="1"/>
  <c r="AG57" i="1"/>
  <c r="AE57" i="1"/>
  <c r="AC57" i="1"/>
  <c r="V57" i="1"/>
  <c r="R57" i="1"/>
  <c r="S57" i="1" s="1"/>
  <c r="P57" i="1"/>
  <c r="O57" i="1"/>
  <c r="M57" i="1"/>
  <c r="K57" i="1"/>
  <c r="J57" i="1"/>
  <c r="H57" i="1"/>
  <c r="AQ56" i="1"/>
  <c r="AO56" i="1"/>
  <c r="AM56" i="1"/>
  <c r="AK56" i="1"/>
  <c r="AI56" i="1"/>
  <c r="AG56" i="1"/>
  <c r="AE56" i="1"/>
  <c r="AC56" i="1"/>
  <c r="V56" i="1"/>
  <c r="R56" i="1"/>
  <c r="S56" i="1" s="1"/>
  <c r="P56" i="1"/>
  <c r="O56" i="1"/>
  <c r="M56" i="1"/>
  <c r="K56" i="1"/>
  <c r="J56" i="1"/>
  <c r="H56" i="1"/>
  <c r="AQ55" i="1"/>
  <c r="AO55" i="1"/>
  <c r="AM55" i="1"/>
  <c r="AK55" i="1"/>
  <c r="AI55" i="1"/>
  <c r="AG55" i="1"/>
  <c r="AE55" i="1"/>
  <c r="AC55" i="1"/>
  <c r="V55" i="1"/>
  <c r="R55" i="1"/>
  <c r="S55" i="1" s="1"/>
  <c r="P55" i="1"/>
  <c r="O55" i="1"/>
  <c r="M55" i="1"/>
  <c r="K55" i="1"/>
  <c r="J55" i="1"/>
  <c r="H55" i="1"/>
  <c r="AQ54" i="1"/>
  <c r="AO54" i="1"/>
  <c r="AM54" i="1"/>
  <c r="AK54" i="1"/>
  <c r="AI54" i="1"/>
  <c r="AG54" i="1"/>
  <c r="AE54" i="1"/>
  <c r="AC54" i="1"/>
  <c r="V54" i="1"/>
  <c r="R54" i="1"/>
  <c r="S54" i="1" s="1"/>
  <c r="P54" i="1"/>
  <c r="O54" i="1"/>
  <c r="M54" i="1"/>
  <c r="K54" i="1"/>
  <c r="J54" i="1"/>
  <c r="H54" i="1"/>
  <c r="AQ53" i="1"/>
  <c r="AO53" i="1"/>
  <c r="AM53" i="1"/>
  <c r="AK53" i="1"/>
  <c r="AI53" i="1"/>
  <c r="AG53" i="1"/>
  <c r="AE53" i="1"/>
  <c r="AC53" i="1"/>
  <c r="S53" i="1" s="1"/>
  <c r="V53" i="1"/>
  <c r="R53" i="1"/>
  <c r="P53" i="1"/>
  <c r="N53" i="1"/>
  <c r="M53" i="1"/>
  <c r="L53" i="1"/>
  <c r="K53" i="1"/>
  <c r="J53" i="1"/>
  <c r="O53" i="1" s="1"/>
  <c r="H53" i="1"/>
  <c r="AQ52" i="1"/>
  <c r="AO52" i="1"/>
  <c r="AM52" i="1"/>
  <c r="AK52" i="1"/>
  <c r="AI52" i="1"/>
  <c r="AG52" i="1"/>
  <c r="AE52" i="1"/>
  <c r="AC52" i="1"/>
  <c r="V52" i="1"/>
  <c r="S52" i="1"/>
  <c r="R52" i="1"/>
  <c r="P52" i="1"/>
  <c r="N52" i="1"/>
  <c r="M52" i="1"/>
  <c r="L52" i="1"/>
  <c r="K52" i="1"/>
  <c r="J52" i="1"/>
  <c r="O52" i="1" s="1"/>
  <c r="H52" i="1"/>
  <c r="AQ51" i="1"/>
  <c r="AO51" i="1"/>
  <c r="AM51" i="1"/>
  <c r="AK51" i="1"/>
  <c r="AI51" i="1"/>
  <c r="AG51" i="1"/>
  <c r="AE51" i="1"/>
  <c r="AC51" i="1"/>
  <c r="V51" i="1"/>
  <c r="S51" i="1"/>
  <c r="R51" i="1"/>
  <c r="P51" i="1"/>
  <c r="N51" i="1"/>
  <c r="M51" i="1"/>
  <c r="L51" i="1"/>
  <c r="K51" i="1"/>
  <c r="J51" i="1"/>
  <c r="H51" i="1"/>
  <c r="AQ50" i="1"/>
  <c r="AO50" i="1"/>
  <c r="AM50" i="1"/>
  <c r="AK50" i="1"/>
  <c r="AI50" i="1"/>
  <c r="AG50" i="1"/>
  <c r="AE50" i="1"/>
  <c r="AC50" i="1"/>
  <c r="V50" i="1"/>
  <c r="R50" i="1"/>
  <c r="S50" i="1" s="1"/>
  <c r="P50" i="1"/>
  <c r="M50" i="1"/>
  <c r="K50" i="1"/>
  <c r="J50" i="1"/>
  <c r="H50" i="1"/>
  <c r="AQ49" i="1"/>
  <c r="AO49" i="1"/>
  <c r="AM49" i="1"/>
  <c r="AK49" i="1"/>
  <c r="AI49" i="1"/>
  <c r="AG49" i="1"/>
  <c r="AE49" i="1"/>
  <c r="AC49" i="1"/>
  <c r="V49" i="1"/>
  <c r="R49" i="1"/>
  <c r="P49" i="1"/>
  <c r="O49" i="1"/>
  <c r="M49" i="1"/>
  <c r="K49" i="1"/>
  <c r="J49" i="1"/>
  <c r="H49" i="1"/>
  <c r="AQ48" i="1"/>
  <c r="AO48" i="1"/>
  <c r="AM48" i="1"/>
  <c r="AK48" i="1"/>
  <c r="AI48" i="1"/>
  <c r="AG48" i="1"/>
  <c r="AE48" i="1"/>
  <c r="AC48" i="1"/>
  <c r="S48" i="1" s="1"/>
  <c r="V48" i="1"/>
  <c r="R48" i="1"/>
  <c r="P48" i="1"/>
  <c r="N48" i="1"/>
  <c r="M48" i="1"/>
  <c r="L48" i="1"/>
  <c r="K48" i="1"/>
  <c r="J48" i="1"/>
  <c r="O48" i="1" s="1"/>
  <c r="H48" i="1"/>
  <c r="AQ47" i="1"/>
  <c r="AO47" i="1"/>
  <c r="AM47" i="1"/>
  <c r="AK47" i="1"/>
  <c r="AI47" i="1"/>
  <c r="AG47" i="1"/>
  <c r="AE47" i="1"/>
  <c r="AC47" i="1"/>
  <c r="V47" i="1"/>
  <c r="S47" i="1"/>
  <c r="R47" i="1"/>
  <c r="P47" i="1"/>
  <c r="N47" i="1"/>
  <c r="M47" i="1"/>
  <c r="L47" i="1"/>
  <c r="K47" i="1"/>
  <c r="J47" i="1"/>
  <c r="O47" i="1" s="1"/>
  <c r="H47" i="1"/>
  <c r="AQ46" i="1"/>
  <c r="AO46" i="1"/>
  <c r="AM46" i="1"/>
  <c r="AK46" i="1"/>
  <c r="AI46" i="1"/>
  <c r="AG46" i="1"/>
  <c r="AE46" i="1"/>
  <c r="AC46" i="1"/>
  <c r="V46" i="1"/>
  <c r="S46" i="1"/>
  <c r="R46" i="1"/>
  <c r="P46" i="1"/>
  <c r="N46" i="1"/>
  <c r="M46" i="1"/>
  <c r="L46" i="1"/>
  <c r="K46" i="1"/>
  <c r="J46" i="1"/>
  <c r="O46" i="1" s="1"/>
  <c r="H46" i="1"/>
  <c r="AQ45" i="1"/>
  <c r="AO45" i="1"/>
  <c r="AM45" i="1"/>
  <c r="AK45" i="1"/>
  <c r="AI45" i="1"/>
  <c r="AG45" i="1"/>
  <c r="AE45" i="1"/>
  <c r="AC45" i="1"/>
  <c r="V45" i="1"/>
  <c r="R45" i="1"/>
  <c r="S45" i="1" s="1"/>
  <c r="P45" i="1"/>
  <c r="O45" i="1"/>
  <c r="M45" i="1"/>
  <c r="K45" i="1"/>
  <c r="J45" i="1"/>
  <c r="H45" i="1"/>
  <c r="AQ44" i="1"/>
  <c r="AO44" i="1"/>
  <c r="AM44" i="1"/>
  <c r="AK44" i="1"/>
  <c r="AI44" i="1"/>
  <c r="AG44" i="1"/>
  <c r="AE44" i="1"/>
  <c r="AC44" i="1"/>
  <c r="S44" i="1" s="1"/>
  <c r="V44" i="1"/>
  <c r="R44" i="1"/>
  <c r="P44" i="1"/>
  <c r="N44" i="1"/>
  <c r="M44" i="1"/>
  <c r="L44" i="1"/>
  <c r="K44" i="1"/>
  <c r="J44" i="1"/>
  <c r="O44" i="1" s="1"/>
  <c r="H44" i="1"/>
  <c r="AQ43" i="1"/>
  <c r="AO43" i="1"/>
  <c r="AM43" i="1"/>
  <c r="AK43" i="1"/>
  <c r="AI43" i="1"/>
  <c r="AG43" i="1"/>
  <c r="AE43" i="1"/>
  <c r="AC43" i="1"/>
  <c r="V43" i="1"/>
  <c r="R43" i="1"/>
  <c r="S43" i="1" s="1"/>
  <c r="P43" i="1"/>
  <c r="O43" i="1"/>
  <c r="M43" i="1"/>
  <c r="K43" i="1"/>
  <c r="J43" i="1"/>
  <c r="H43" i="1"/>
  <c r="AQ42" i="1"/>
  <c r="AO42" i="1"/>
  <c r="AM42" i="1"/>
  <c r="AK42" i="1"/>
  <c r="AI42" i="1"/>
  <c r="AG42" i="1"/>
  <c r="AE42" i="1"/>
  <c r="AC42" i="1"/>
  <c r="S42" i="1" s="1"/>
  <c r="V42" i="1"/>
  <c r="R42" i="1"/>
  <c r="P42" i="1"/>
  <c r="N42" i="1"/>
  <c r="M42" i="1"/>
  <c r="L42" i="1"/>
  <c r="K42" i="1"/>
  <c r="J42" i="1"/>
  <c r="O42" i="1" s="1"/>
  <c r="H42" i="1"/>
  <c r="AQ41" i="1"/>
  <c r="AO41" i="1"/>
  <c r="AM41" i="1"/>
  <c r="AK41" i="1"/>
  <c r="AI41" i="1"/>
  <c r="AG41" i="1"/>
  <c r="AE41" i="1"/>
  <c r="AC41" i="1"/>
  <c r="V41" i="1"/>
  <c r="R41" i="1"/>
  <c r="S41" i="1" s="1"/>
  <c r="P41" i="1"/>
  <c r="O41" i="1"/>
  <c r="M41" i="1"/>
  <c r="K41" i="1"/>
  <c r="J41" i="1"/>
  <c r="H41" i="1"/>
  <c r="AQ40" i="1"/>
  <c r="AO40" i="1"/>
  <c r="AM40" i="1"/>
  <c r="AK40" i="1"/>
  <c r="AI40" i="1"/>
  <c r="AG40" i="1"/>
  <c r="AE40" i="1"/>
  <c r="AC40" i="1"/>
  <c r="S40" i="1" s="1"/>
  <c r="V40" i="1"/>
  <c r="R40" i="1"/>
  <c r="P40" i="1"/>
  <c r="N40" i="1"/>
  <c r="M40" i="1"/>
  <c r="L40" i="1"/>
  <c r="K40" i="1"/>
  <c r="J40" i="1"/>
  <c r="O40" i="1" s="1"/>
  <c r="H40" i="1"/>
  <c r="AQ39" i="1"/>
  <c r="AO39" i="1"/>
  <c r="AM39" i="1"/>
  <c r="AK39" i="1"/>
  <c r="AI39" i="1"/>
  <c r="AG39" i="1"/>
  <c r="AE39" i="1"/>
  <c r="AC39" i="1"/>
  <c r="V39" i="1"/>
  <c r="R39" i="1"/>
  <c r="S39" i="1" s="1"/>
  <c r="P39" i="1"/>
  <c r="O39" i="1"/>
  <c r="M39" i="1"/>
  <c r="K39" i="1"/>
  <c r="J39" i="1"/>
  <c r="H39" i="1"/>
  <c r="AQ38" i="1"/>
  <c r="AO38" i="1"/>
  <c r="AM38" i="1"/>
  <c r="AK38" i="1"/>
  <c r="AI38" i="1"/>
  <c r="AG38" i="1"/>
  <c r="AE38" i="1"/>
  <c r="AC38" i="1"/>
  <c r="V38" i="1"/>
  <c r="R38" i="1"/>
  <c r="P38" i="1"/>
  <c r="O38" i="1"/>
  <c r="M38" i="1"/>
  <c r="K38" i="1"/>
  <c r="J38" i="1"/>
  <c r="H38" i="1"/>
  <c r="AQ37" i="1"/>
  <c r="AO37" i="1"/>
  <c r="AM37" i="1"/>
  <c r="AK37" i="1"/>
  <c r="AI37" i="1"/>
  <c r="AG37" i="1"/>
  <c r="AE37" i="1"/>
  <c r="AC37" i="1"/>
  <c r="V37" i="1"/>
  <c r="R37" i="1"/>
  <c r="S37" i="1" s="1"/>
  <c r="P37" i="1"/>
  <c r="O37" i="1"/>
  <c r="M37" i="1"/>
  <c r="K37" i="1"/>
  <c r="J37" i="1"/>
  <c r="H37" i="1"/>
  <c r="AQ36" i="1"/>
  <c r="AO36" i="1"/>
  <c r="AM36" i="1"/>
  <c r="AK36" i="1"/>
  <c r="AI36" i="1"/>
  <c r="AG36" i="1"/>
  <c r="AE36" i="1"/>
  <c r="AC36" i="1"/>
  <c r="V36" i="1"/>
  <c r="R36" i="1"/>
  <c r="S36" i="1" s="1"/>
  <c r="P36" i="1"/>
  <c r="O36" i="1"/>
  <c r="M36" i="1"/>
  <c r="K36" i="1"/>
  <c r="J36" i="1"/>
  <c r="H36" i="1"/>
  <c r="AQ35" i="1"/>
  <c r="AO35" i="1"/>
  <c r="AM35" i="1"/>
  <c r="AK35" i="1"/>
  <c r="AI35" i="1"/>
  <c r="AG35" i="1"/>
  <c r="AE35" i="1"/>
  <c r="AC35" i="1"/>
  <c r="V35" i="1"/>
  <c r="R35" i="1"/>
  <c r="S35" i="1" s="1"/>
  <c r="P35" i="1"/>
  <c r="O35" i="1"/>
  <c r="M35" i="1"/>
  <c r="K35" i="1"/>
  <c r="J35" i="1"/>
  <c r="H35" i="1"/>
  <c r="AQ34" i="1"/>
  <c r="AO34" i="1"/>
  <c r="AM34" i="1"/>
  <c r="AK34" i="1"/>
  <c r="AI34" i="1"/>
  <c r="AG34" i="1"/>
  <c r="AE34" i="1"/>
  <c r="AC34" i="1"/>
  <c r="V34" i="1"/>
  <c r="R34" i="1"/>
  <c r="P34" i="1"/>
  <c r="O34" i="1"/>
  <c r="M34" i="1"/>
  <c r="K34" i="1"/>
  <c r="J34" i="1"/>
  <c r="H34" i="1"/>
  <c r="AQ33" i="1"/>
  <c r="AO33" i="1"/>
  <c r="AM33" i="1"/>
  <c r="AK33" i="1"/>
  <c r="AI33" i="1"/>
  <c r="AG33" i="1"/>
  <c r="AE33" i="1"/>
  <c r="AC33" i="1"/>
  <c r="V33" i="1"/>
  <c r="R33" i="1"/>
  <c r="S33" i="1" s="1"/>
  <c r="P33" i="1"/>
  <c r="O33" i="1"/>
  <c r="M33" i="1"/>
  <c r="K33" i="1"/>
  <c r="J33" i="1"/>
  <c r="H33" i="1"/>
  <c r="AQ32" i="1"/>
  <c r="AO32" i="1"/>
  <c r="AM32" i="1"/>
  <c r="AK32" i="1"/>
  <c r="AI32" i="1"/>
  <c r="AG32" i="1"/>
  <c r="AE32" i="1"/>
  <c r="AC32" i="1"/>
  <c r="V32" i="1"/>
  <c r="S32" i="1"/>
  <c r="R32" i="1"/>
  <c r="P32" i="1"/>
  <c r="M32" i="1"/>
  <c r="L32" i="1"/>
  <c r="K32" i="1"/>
  <c r="J32" i="1"/>
  <c r="O32" i="1" s="1"/>
  <c r="H32" i="1"/>
  <c r="AQ31" i="1"/>
  <c r="AO31" i="1"/>
  <c r="AM31" i="1"/>
  <c r="AK31" i="1"/>
  <c r="AI31" i="1"/>
  <c r="AG31" i="1"/>
  <c r="AE31" i="1"/>
  <c r="AC31" i="1"/>
  <c r="V31" i="1"/>
  <c r="R31" i="1"/>
  <c r="S31" i="1" s="1"/>
  <c r="P31" i="1"/>
  <c r="M31" i="1"/>
  <c r="K31" i="1"/>
  <c r="J31" i="1"/>
  <c r="H31" i="1"/>
  <c r="AQ30" i="1"/>
  <c r="AO30" i="1"/>
  <c r="N30" i="1" s="1"/>
  <c r="AM30" i="1"/>
  <c r="AK30" i="1"/>
  <c r="AI30" i="1"/>
  <c r="AG30" i="1"/>
  <c r="AE30" i="1"/>
  <c r="AC30" i="1"/>
  <c r="S30" i="1" s="1"/>
  <c r="V30" i="1"/>
  <c r="R30" i="1"/>
  <c r="P30" i="1"/>
  <c r="M30" i="1"/>
  <c r="L30" i="1"/>
  <c r="K30" i="1"/>
  <c r="J30" i="1"/>
  <c r="O30" i="1" s="1"/>
  <c r="H30" i="1"/>
  <c r="AQ29" i="1"/>
  <c r="AO29" i="1"/>
  <c r="AM29" i="1"/>
  <c r="AK29" i="1"/>
  <c r="AI29" i="1"/>
  <c r="AG29" i="1"/>
  <c r="AE29" i="1"/>
  <c r="AC29" i="1"/>
  <c r="V29" i="1"/>
  <c r="S29" i="1"/>
  <c r="R29" i="1"/>
  <c r="P29" i="1"/>
  <c r="N29" i="1"/>
  <c r="M29" i="1"/>
  <c r="L29" i="1"/>
  <c r="K29" i="1"/>
  <c r="J29" i="1"/>
  <c r="H29" i="1"/>
  <c r="AQ28" i="1"/>
  <c r="AO28" i="1"/>
  <c r="AM28" i="1"/>
  <c r="AK28" i="1"/>
  <c r="AI28" i="1"/>
  <c r="AG28" i="1"/>
  <c r="AE28" i="1"/>
  <c r="AC28" i="1"/>
  <c r="V28" i="1"/>
  <c r="S28" i="1"/>
  <c r="R28" i="1"/>
  <c r="P28" i="1"/>
  <c r="N28" i="1"/>
  <c r="M28" i="1"/>
  <c r="L28" i="1"/>
  <c r="K28" i="1"/>
  <c r="J28" i="1"/>
  <c r="H28" i="1"/>
  <c r="AQ27" i="1"/>
  <c r="AO27" i="1"/>
  <c r="AM27" i="1"/>
  <c r="AK27" i="1"/>
  <c r="AI27" i="1"/>
  <c r="AG27" i="1"/>
  <c r="AE27" i="1"/>
  <c r="AC27" i="1"/>
  <c r="V27" i="1"/>
  <c r="R27" i="1"/>
  <c r="S27" i="1" s="1"/>
  <c r="P27" i="1"/>
  <c r="O27" i="1"/>
  <c r="M27" i="1"/>
  <c r="K27" i="1"/>
  <c r="J27" i="1"/>
  <c r="H27" i="1"/>
  <c r="L27" i="1" s="1"/>
  <c r="AQ26" i="1"/>
  <c r="AO26" i="1"/>
  <c r="AM26" i="1"/>
  <c r="AK26" i="1"/>
  <c r="AI26" i="1"/>
  <c r="AG26" i="1"/>
  <c r="AE26" i="1"/>
  <c r="AC26" i="1"/>
  <c r="S26" i="1" s="1"/>
  <c r="V26" i="1"/>
  <c r="R26" i="1"/>
  <c r="P26" i="1"/>
  <c r="N26" i="1"/>
  <c r="M26" i="1"/>
  <c r="L26" i="1"/>
  <c r="K26" i="1"/>
  <c r="J26" i="1"/>
  <c r="O26" i="1" s="1"/>
  <c r="H26" i="1"/>
  <c r="AQ25" i="1"/>
  <c r="AO25" i="1"/>
  <c r="AM25" i="1"/>
  <c r="AK25" i="1"/>
  <c r="AI25" i="1"/>
  <c r="AG25" i="1"/>
  <c r="AE25" i="1"/>
  <c r="AC25" i="1"/>
  <c r="V25" i="1"/>
  <c r="R25" i="1"/>
  <c r="S25" i="1" s="1"/>
  <c r="P25" i="1"/>
  <c r="M25" i="1"/>
  <c r="K25" i="1"/>
  <c r="J25" i="1"/>
  <c r="H25" i="1"/>
  <c r="N25" i="1" s="1"/>
  <c r="AQ24" i="1"/>
  <c r="AO24" i="1"/>
  <c r="AM24" i="1"/>
  <c r="AK24" i="1"/>
  <c r="AI24" i="1"/>
  <c r="AG24" i="1"/>
  <c r="AE24" i="1"/>
  <c r="AC24" i="1"/>
  <c r="V24" i="1"/>
  <c r="S24" i="1"/>
  <c r="R24" i="1"/>
  <c r="P24" i="1"/>
  <c r="N24" i="1"/>
  <c r="M24" i="1"/>
  <c r="L24" i="1"/>
  <c r="K24" i="1"/>
  <c r="J24" i="1"/>
  <c r="O24" i="1" s="1"/>
  <c r="H24" i="1"/>
  <c r="AQ23" i="1"/>
  <c r="AO23" i="1"/>
  <c r="AM23" i="1"/>
  <c r="AK23" i="1"/>
  <c r="AI23" i="1"/>
  <c r="AG23" i="1"/>
  <c r="AE23" i="1"/>
  <c r="AC23" i="1"/>
  <c r="V23" i="1"/>
  <c r="R23" i="1"/>
  <c r="S23" i="1" s="1"/>
  <c r="P23" i="1"/>
  <c r="M23" i="1"/>
  <c r="K23" i="1"/>
  <c r="J23" i="1"/>
  <c r="H23" i="1"/>
  <c r="AQ22" i="1"/>
  <c r="AO22" i="1"/>
  <c r="AM22" i="1"/>
  <c r="AK22" i="1"/>
  <c r="AI22" i="1"/>
  <c r="AG22" i="1"/>
  <c r="AE22" i="1"/>
  <c r="AC22" i="1"/>
  <c r="V22" i="1"/>
  <c r="R22" i="1"/>
  <c r="P22" i="1"/>
  <c r="O22" i="1"/>
  <c r="M22" i="1"/>
  <c r="K22" i="1"/>
  <c r="J22" i="1"/>
  <c r="H22" i="1"/>
  <c r="AQ21" i="1"/>
  <c r="AO21" i="1"/>
  <c r="AM21" i="1"/>
  <c r="AK21" i="1"/>
  <c r="AI21" i="1"/>
  <c r="AG21" i="1"/>
  <c r="AE21" i="1"/>
  <c r="AC21" i="1"/>
  <c r="V21" i="1"/>
  <c r="S21" i="1"/>
  <c r="R21" i="1"/>
  <c r="P21" i="1"/>
  <c r="M21" i="1"/>
  <c r="L21" i="1"/>
  <c r="K21" i="1"/>
  <c r="J21" i="1"/>
  <c r="O21" i="1" s="1"/>
  <c r="H21" i="1"/>
  <c r="AQ20" i="1"/>
  <c r="O20" i="1" s="1"/>
  <c r="AO20" i="1"/>
  <c r="AM20" i="1"/>
  <c r="AK20" i="1"/>
  <c r="AI20" i="1"/>
  <c r="AG20" i="1"/>
  <c r="AE20" i="1"/>
  <c r="AC20" i="1"/>
  <c r="V20" i="1"/>
  <c r="R20" i="1"/>
  <c r="S20" i="1" s="1"/>
  <c r="P20" i="1"/>
  <c r="M20" i="1"/>
  <c r="K20" i="1"/>
  <c r="J20" i="1"/>
  <c r="H20" i="1"/>
  <c r="L20" i="1" s="1"/>
  <c r="AQ19" i="1"/>
  <c r="AO19" i="1"/>
  <c r="AM19" i="1"/>
  <c r="AK19" i="1"/>
  <c r="AI19" i="1"/>
  <c r="AG19" i="1"/>
  <c r="AE19" i="1"/>
  <c r="AC19" i="1"/>
  <c r="S19" i="1" s="1"/>
  <c r="V19" i="1"/>
  <c r="R19" i="1"/>
  <c r="P19" i="1"/>
  <c r="M19" i="1"/>
  <c r="L19" i="1"/>
  <c r="K19" i="1"/>
  <c r="J19" i="1"/>
  <c r="O19" i="1" s="1"/>
  <c r="H19" i="1"/>
  <c r="AQ18" i="1"/>
  <c r="AO18" i="1"/>
  <c r="AM18" i="1"/>
  <c r="AK18" i="1"/>
  <c r="AI18" i="1"/>
  <c r="AG18" i="1"/>
  <c r="AE18" i="1"/>
  <c r="AC18" i="1"/>
  <c r="V18" i="1"/>
  <c r="S18" i="1"/>
  <c r="R18" i="1"/>
  <c r="P18" i="1"/>
  <c r="N18" i="1"/>
  <c r="M18" i="1"/>
  <c r="L18" i="1"/>
  <c r="K18" i="1"/>
  <c r="J18" i="1"/>
  <c r="H18" i="1"/>
  <c r="AQ17" i="1"/>
  <c r="AO17" i="1"/>
  <c r="AM17" i="1"/>
  <c r="AK17" i="1"/>
  <c r="AI17" i="1"/>
  <c r="AG17" i="1"/>
  <c r="AE17" i="1"/>
  <c r="AC17" i="1"/>
  <c r="V17" i="1"/>
  <c r="R17" i="1"/>
  <c r="P17" i="1"/>
  <c r="O17" i="1"/>
  <c r="M17" i="1"/>
  <c r="K17" i="1"/>
  <c r="J17" i="1"/>
  <c r="H17" i="1"/>
  <c r="AQ16" i="1"/>
  <c r="AO16" i="1"/>
  <c r="AM16" i="1"/>
  <c r="AK16" i="1"/>
  <c r="AI16" i="1"/>
  <c r="AG16" i="1"/>
  <c r="AE16" i="1"/>
  <c r="AC16" i="1"/>
  <c r="V16" i="1"/>
  <c r="R16" i="1"/>
  <c r="P16" i="1"/>
  <c r="O16" i="1"/>
  <c r="M16" i="1"/>
  <c r="K16" i="1"/>
  <c r="J16" i="1"/>
  <c r="H16" i="1"/>
  <c r="AQ15" i="1"/>
  <c r="AO15" i="1"/>
  <c r="AM15" i="1"/>
  <c r="AK15" i="1"/>
  <c r="AI15" i="1"/>
  <c r="AG15" i="1"/>
  <c r="AE15" i="1"/>
  <c r="AC15" i="1"/>
  <c r="V15" i="1"/>
  <c r="S15" i="1"/>
  <c r="R15" i="1"/>
  <c r="P15" i="1"/>
  <c r="N15" i="1"/>
  <c r="M15" i="1"/>
  <c r="L15" i="1"/>
  <c r="K15" i="1"/>
  <c r="J15" i="1"/>
  <c r="O15" i="1" s="1"/>
  <c r="H15" i="1"/>
  <c r="AQ14" i="1"/>
  <c r="O14" i="1" s="1"/>
  <c r="AO14" i="1"/>
  <c r="AM14" i="1"/>
  <c r="AK14" i="1"/>
  <c r="AI14" i="1"/>
  <c r="AG14" i="1"/>
  <c r="AE14" i="1"/>
  <c r="AC14" i="1"/>
  <c r="V14" i="1"/>
  <c r="R14" i="1"/>
  <c r="S14" i="1" s="1"/>
  <c r="P14" i="1"/>
  <c r="N14" i="1"/>
  <c r="M14" i="1"/>
  <c r="L14" i="1"/>
  <c r="K14" i="1"/>
  <c r="J14" i="1"/>
  <c r="H14" i="1"/>
  <c r="AQ13" i="1"/>
  <c r="AO13" i="1"/>
  <c r="N13" i="1" s="1"/>
  <c r="AM13" i="1"/>
  <c r="AK13" i="1"/>
  <c r="AI13" i="1"/>
  <c r="AG13" i="1"/>
  <c r="AE13" i="1"/>
  <c r="AC13" i="1"/>
  <c r="S13" i="1" s="1"/>
  <c r="V13" i="1"/>
  <c r="R13" i="1"/>
  <c r="P13" i="1"/>
  <c r="M13" i="1"/>
  <c r="L13" i="1"/>
  <c r="K13" i="1"/>
  <c r="J13" i="1"/>
  <c r="O13" i="1" s="1"/>
  <c r="H13" i="1"/>
  <c r="AQ12" i="1"/>
  <c r="AO12" i="1"/>
  <c r="AM12" i="1"/>
  <c r="AK12" i="1"/>
  <c r="AI12" i="1"/>
  <c r="AG12" i="1"/>
  <c r="AE12" i="1"/>
  <c r="AC12" i="1"/>
  <c r="V12" i="1"/>
  <c r="S12" i="1"/>
  <c r="R12" i="1"/>
  <c r="P12" i="1"/>
  <c r="M12" i="1"/>
  <c r="K12" i="1"/>
  <c r="J12" i="1"/>
  <c r="O12" i="1" s="1"/>
  <c r="H12" i="1"/>
  <c r="N12" i="1" s="1"/>
  <c r="AQ11" i="1"/>
  <c r="AO11" i="1"/>
  <c r="N11" i="1" s="1"/>
  <c r="AM11" i="1"/>
  <c r="AK11" i="1"/>
  <c r="AI11" i="1"/>
  <c r="AG11" i="1"/>
  <c r="AE11" i="1"/>
  <c r="AC11" i="1"/>
  <c r="V11" i="1"/>
  <c r="R11" i="1"/>
  <c r="P11" i="1"/>
  <c r="M11" i="1"/>
  <c r="L11" i="1"/>
  <c r="K11" i="1"/>
  <c r="J11" i="1"/>
  <c r="O11" i="1" s="1"/>
  <c r="H11" i="1"/>
  <c r="AQ10" i="1"/>
  <c r="AO10" i="1"/>
  <c r="AM10" i="1"/>
  <c r="AK10" i="1"/>
  <c r="AI10" i="1"/>
  <c r="AG10" i="1"/>
  <c r="AE10" i="1"/>
  <c r="AC10" i="1"/>
  <c r="V10" i="1"/>
  <c r="S10" i="1"/>
  <c r="R10" i="1"/>
  <c r="P10" i="1"/>
  <c r="M10" i="1"/>
  <c r="K10" i="1"/>
  <c r="J10" i="1"/>
  <c r="O10" i="1" s="1"/>
  <c r="H10" i="1"/>
  <c r="AQ9" i="1"/>
  <c r="AO9" i="1"/>
  <c r="AM9" i="1"/>
  <c r="AK9" i="1"/>
  <c r="AI9" i="1"/>
  <c r="AG9" i="1"/>
  <c r="AE9" i="1"/>
  <c r="AC9" i="1"/>
  <c r="V9" i="1"/>
  <c r="R9" i="1"/>
  <c r="P9" i="1"/>
  <c r="N9" i="1"/>
  <c r="M9" i="1"/>
  <c r="K9" i="1"/>
  <c r="J9" i="1"/>
  <c r="O9" i="1" s="1"/>
  <c r="H9" i="1"/>
  <c r="L9" i="1" s="1"/>
  <c r="AQ8" i="1"/>
  <c r="O8" i="1" s="1"/>
  <c r="AO8" i="1"/>
  <c r="AM8" i="1"/>
  <c r="AK8" i="1"/>
  <c r="AI8" i="1"/>
  <c r="AG8" i="1"/>
  <c r="AE8" i="1"/>
  <c r="AC8" i="1"/>
  <c r="V8" i="1"/>
  <c r="R8" i="1"/>
  <c r="P8" i="1"/>
  <c r="N8" i="1"/>
  <c r="M8" i="1"/>
  <c r="K8" i="1"/>
  <c r="J8" i="1"/>
  <c r="H8" i="1"/>
  <c r="AQ7" i="1"/>
  <c r="AO7" i="1"/>
  <c r="N7" i="1" s="1"/>
  <c r="AM7" i="1"/>
  <c r="AK7" i="1"/>
  <c r="AI7" i="1"/>
  <c r="AG7" i="1"/>
  <c r="AE7" i="1"/>
  <c r="AC7" i="1"/>
  <c r="V7" i="1"/>
  <c r="S7" i="1"/>
  <c r="R7" i="1"/>
  <c r="P7" i="1"/>
  <c r="M7" i="1"/>
  <c r="L7" i="1"/>
  <c r="K7" i="1"/>
  <c r="J7" i="1"/>
  <c r="O7" i="1" s="1"/>
  <c r="H7" i="1"/>
  <c r="AQ6" i="1"/>
  <c r="O6" i="1" s="1"/>
  <c r="AO6" i="1"/>
  <c r="AM6" i="1"/>
  <c r="AK6" i="1"/>
  <c r="AI6" i="1"/>
  <c r="AG6" i="1"/>
  <c r="AE6" i="1"/>
  <c r="AC6" i="1"/>
  <c r="V6" i="1"/>
  <c r="R6" i="1"/>
  <c r="S6" i="1" s="1"/>
  <c r="P6" i="1"/>
  <c r="M6" i="1"/>
  <c r="L6" i="1"/>
  <c r="K6" i="1"/>
  <c r="J6" i="1"/>
  <c r="H6" i="1"/>
  <c r="N6" i="1" s="1"/>
  <c r="AQ5" i="1"/>
  <c r="AO5" i="1"/>
  <c r="AM5" i="1"/>
  <c r="AK5" i="1"/>
  <c r="AI5" i="1"/>
  <c r="AG5" i="1"/>
  <c r="AE5" i="1"/>
  <c r="AC5" i="1"/>
  <c r="V5" i="1"/>
  <c r="S5" i="1"/>
  <c r="R5" i="1"/>
  <c r="P5" i="1"/>
  <c r="N5" i="1"/>
  <c r="M5" i="1"/>
  <c r="L5" i="1"/>
  <c r="K5" i="1"/>
  <c r="J5" i="1"/>
  <c r="O5" i="1" s="1"/>
  <c r="H5" i="1"/>
  <c r="AQ4" i="1"/>
  <c r="AO4" i="1"/>
  <c r="AM4" i="1"/>
  <c r="AK4" i="1"/>
  <c r="AI4" i="1"/>
  <c r="AG4" i="1"/>
  <c r="AE4" i="1"/>
  <c r="AC4" i="1"/>
  <c r="V4" i="1"/>
  <c r="R4" i="1"/>
  <c r="S4" i="1" s="1"/>
  <c r="P4" i="1"/>
  <c r="M4" i="1"/>
  <c r="L4" i="1"/>
  <c r="K4" i="1"/>
  <c r="J4" i="1"/>
  <c r="H4" i="1"/>
  <c r="N4" i="1" s="1"/>
  <c r="AQ3" i="1"/>
  <c r="AO3" i="1"/>
  <c r="AM3" i="1"/>
  <c r="AK3" i="1"/>
  <c r="AI3" i="1"/>
  <c r="AG3" i="1"/>
  <c r="AE3" i="1"/>
  <c r="AC3" i="1"/>
  <c r="V3" i="1"/>
  <c r="R3" i="1"/>
  <c r="P3" i="1"/>
  <c r="M3" i="1"/>
  <c r="K3" i="1"/>
  <c r="J3" i="1"/>
  <c r="O3" i="1" s="1"/>
  <c r="H3" i="1"/>
  <c r="N3" i="1" s="1"/>
  <c r="AQ2" i="1"/>
  <c r="Z2" i="1" s="1"/>
  <c r="AO2" i="1"/>
  <c r="AM2" i="1"/>
  <c r="AK2" i="1"/>
  <c r="AI2" i="1"/>
  <c r="AG2" i="1"/>
  <c r="AE2" i="1"/>
  <c r="AC2" i="1"/>
  <c r="AA2" i="1"/>
  <c r="X2" i="1"/>
  <c r="V2" i="1"/>
  <c r="R2" i="1"/>
  <c r="Y2" i="1" s="1"/>
  <c r="P2" i="1"/>
  <c r="M2" i="1"/>
  <c r="K2" i="1"/>
  <c r="J2" i="1"/>
  <c r="H2" i="1"/>
  <c r="N41" i="1" l="1"/>
  <c r="L41" i="1"/>
  <c r="O2" i="1"/>
  <c r="S3" i="1"/>
  <c r="L10" i="1"/>
  <c r="N10" i="1"/>
  <c r="N16" i="1"/>
  <c r="L16" i="1"/>
  <c r="O18" i="1"/>
  <c r="N19" i="1"/>
  <c r="O28" i="1"/>
  <c r="N34" i="1"/>
  <c r="L34" i="1"/>
  <c r="N65" i="1"/>
  <c r="L65" i="1"/>
  <c r="N73" i="1"/>
  <c r="L73" i="1"/>
  <c r="S79" i="1"/>
  <c r="N87" i="1"/>
  <c r="L87" i="1"/>
  <c r="L90" i="1"/>
  <c r="N90" i="1"/>
  <c r="N96" i="1"/>
  <c r="L96" i="1"/>
  <c r="S104" i="1"/>
  <c r="S130" i="1"/>
  <c r="N171" i="1"/>
  <c r="L171" i="1"/>
  <c r="N45" i="1"/>
  <c r="L45" i="1"/>
  <c r="L62" i="1"/>
  <c r="N62" i="1"/>
  <c r="S100" i="1"/>
  <c r="S294" i="1"/>
  <c r="O31" i="1"/>
  <c r="N37" i="1"/>
  <c r="L37" i="1"/>
  <c r="L56" i="1"/>
  <c r="N56" i="1"/>
  <c r="N68" i="1"/>
  <c r="L68" i="1"/>
  <c r="N76" i="1"/>
  <c r="L76" i="1"/>
  <c r="S91" i="1"/>
  <c r="S108" i="1"/>
  <c r="L146" i="1"/>
  <c r="N146" i="1"/>
  <c r="N43" i="1"/>
  <c r="L43" i="1"/>
  <c r="N84" i="1"/>
  <c r="L84" i="1"/>
  <c r="L206" i="1"/>
  <c r="N206" i="1"/>
  <c r="S22" i="1"/>
  <c r="S38" i="1"/>
  <c r="N50" i="1"/>
  <c r="L50" i="1"/>
  <c r="S61" i="1"/>
  <c r="N63" i="1"/>
  <c r="L63" i="1"/>
  <c r="S69" i="1"/>
  <c r="N71" i="1"/>
  <c r="L71" i="1"/>
  <c r="S77" i="1"/>
  <c r="N79" i="1"/>
  <c r="L79" i="1"/>
  <c r="L82" i="1"/>
  <c r="N82" i="1"/>
  <c r="N88" i="1"/>
  <c r="L88" i="1"/>
  <c r="N100" i="1"/>
  <c r="L100" i="1"/>
  <c r="S112" i="1"/>
  <c r="S135" i="1"/>
  <c r="L23" i="1"/>
  <c r="N23" i="1"/>
  <c r="L39" i="1"/>
  <c r="N39" i="1"/>
  <c r="N49" i="1"/>
  <c r="L49" i="1"/>
  <c r="N200" i="1"/>
  <c r="L200" i="1"/>
  <c r="N21" i="1"/>
  <c r="O23" i="1"/>
  <c r="L25" i="1"/>
  <c r="L35" i="1"/>
  <c r="N35" i="1"/>
  <c r="N54" i="1"/>
  <c r="L54" i="1"/>
  <c r="L66" i="1"/>
  <c r="N66" i="1"/>
  <c r="L74" i="1"/>
  <c r="N74" i="1"/>
  <c r="S83" i="1"/>
  <c r="S86" i="1"/>
  <c r="S89" i="1"/>
  <c r="N91" i="1"/>
  <c r="L91" i="1"/>
  <c r="N104" i="1"/>
  <c r="L104" i="1"/>
  <c r="L120" i="1"/>
  <c r="N120" i="1"/>
  <c r="L343" i="1"/>
  <c r="N343" i="1"/>
  <c r="L3" i="1"/>
  <c r="N38" i="1"/>
  <c r="L38" i="1"/>
  <c r="N57" i="1"/>
  <c r="L57" i="1"/>
  <c r="N58" i="1"/>
  <c r="N59" i="1"/>
  <c r="L59" i="1"/>
  <c r="N61" i="1"/>
  <c r="L61" i="1"/>
  <c r="N69" i="1"/>
  <c r="L69" i="1"/>
  <c r="N80" i="1"/>
  <c r="L80" i="1"/>
  <c r="N108" i="1"/>
  <c r="L108" i="1"/>
  <c r="S116" i="1"/>
  <c r="S123" i="1"/>
  <c r="L70" i="1"/>
  <c r="N70" i="1"/>
  <c r="N123" i="1"/>
  <c r="L123" i="1"/>
  <c r="S194" i="1"/>
  <c r="L278" i="1"/>
  <c r="N278" i="1"/>
  <c r="O4" i="1"/>
  <c r="S17" i="1"/>
  <c r="S2" i="1"/>
  <c r="L2" i="1"/>
  <c r="N2" i="1"/>
  <c r="S8" i="1"/>
  <c r="S11" i="1"/>
  <c r="L12" i="1"/>
  <c r="N20" i="1"/>
  <c r="O25" i="1"/>
  <c r="O29" i="1"/>
  <c r="N31" i="1"/>
  <c r="L31" i="1"/>
  <c r="N32" i="1"/>
  <c r="N33" i="1"/>
  <c r="L33" i="1"/>
  <c r="S49" i="1"/>
  <c r="S62" i="1"/>
  <c r="N64" i="1"/>
  <c r="L64" i="1"/>
  <c r="S70" i="1"/>
  <c r="N72" i="1"/>
  <c r="L72" i="1"/>
  <c r="S78" i="1"/>
  <c r="S81" i="1"/>
  <c r="N83" i="1"/>
  <c r="L83" i="1"/>
  <c r="L86" i="1"/>
  <c r="N86" i="1"/>
  <c r="N92" i="1"/>
  <c r="L92" i="1"/>
  <c r="N112" i="1"/>
  <c r="L112" i="1"/>
  <c r="S158" i="1"/>
  <c r="L78" i="1"/>
  <c r="N78" i="1"/>
  <c r="N116" i="1"/>
  <c r="L116" i="1"/>
  <c r="S9" i="1"/>
  <c r="L17" i="1"/>
  <c r="N17" i="1"/>
  <c r="N22" i="1"/>
  <c r="L22" i="1"/>
  <c r="L8" i="1"/>
  <c r="S16" i="1"/>
  <c r="N27" i="1"/>
  <c r="S34" i="1"/>
  <c r="N36" i="1"/>
  <c r="L36" i="1"/>
  <c r="O50" i="1"/>
  <c r="O51" i="1"/>
  <c r="N55" i="1"/>
  <c r="L55" i="1"/>
  <c r="S65" i="1"/>
  <c r="N67" i="1"/>
  <c r="L67" i="1"/>
  <c r="S73" i="1"/>
  <c r="N75" i="1"/>
  <c r="L75" i="1"/>
  <c r="S87" i="1"/>
  <c r="S90" i="1"/>
  <c r="S96" i="1"/>
  <c r="N352" i="1"/>
  <c r="L352" i="1"/>
  <c r="L77" i="1"/>
  <c r="L81" i="1"/>
  <c r="L85" i="1"/>
  <c r="L89" i="1"/>
  <c r="L93" i="1"/>
  <c r="N94" i="1"/>
  <c r="L97" i="1"/>
  <c r="N98" i="1"/>
  <c r="L101" i="1"/>
  <c r="N102" i="1"/>
  <c r="L105" i="1"/>
  <c r="N106" i="1"/>
  <c r="L109" i="1"/>
  <c r="N110" i="1"/>
  <c r="N114" i="1"/>
  <c r="N124" i="1"/>
  <c r="L129" i="1"/>
  <c r="S141" i="1"/>
  <c r="N142" i="1"/>
  <c r="N156" i="1"/>
  <c r="S164" i="1"/>
  <c r="S177" i="1"/>
  <c r="L191" i="1"/>
  <c r="S191" i="1"/>
  <c r="N241" i="1"/>
  <c r="L241" i="1"/>
  <c r="N269" i="1"/>
  <c r="N125" i="1"/>
  <c r="L126" i="1"/>
  <c r="N135" i="1"/>
  <c r="L135" i="1"/>
  <c r="N139" i="1"/>
  <c r="L140" i="1"/>
  <c r="N143" i="1"/>
  <c r="L144" i="1"/>
  <c r="L149" i="1"/>
  <c r="L153" i="1"/>
  <c r="L158" i="1"/>
  <c r="L174" i="1"/>
  <c r="N174" i="1"/>
  <c r="N209" i="1"/>
  <c r="L209" i="1"/>
  <c r="S95" i="1"/>
  <c r="S99" i="1"/>
  <c r="S103" i="1"/>
  <c r="S107" i="1"/>
  <c r="S111" i="1"/>
  <c r="S115" i="1"/>
  <c r="S119" i="1"/>
  <c r="S131" i="1"/>
  <c r="L131" i="1"/>
  <c r="N133" i="1"/>
  <c r="S145" i="1"/>
  <c r="L152" i="1"/>
  <c r="N152" i="1"/>
  <c r="N167" i="1"/>
  <c r="L167" i="1"/>
  <c r="S232" i="1"/>
  <c r="N147" i="1"/>
  <c r="L150" i="1"/>
  <c r="N150" i="1"/>
  <c r="N177" i="1"/>
  <c r="L177" i="1"/>
  <c r="S258" i="1"/>
  <c r="L95" i="1"/>
  <c r="L99" i="1"/>
  <c r="L103" i="1"/>
  <c r="L107" i="1"/>
  <c r="L111" i="1"/>
  <c r="N121" i="1"/>
  <c r="L161" i="1"/>
  <c r="N161" i="1"/>
  <c r="S162" i="1"/>
  <c r="S168" i="1"/>
  <c r="L170" i="1"/>
  <c r="N170" i="1"/>
  <c r="S200" i="1"/>
  <c r="N235" i="1"/>
  <c r="L235" i="1"/>
  <c r="L255" i="1"/>
  <c r="S255" i="1"/>
  <c r="N129" i="1"/>
  <c r="S134" i="1"/>
  <c r="O136" i="1"/>
  <c r="L138" i="1"/>
  <c r="S138" i="1"/>
  <c r="N158" i="1"/>
  <c r="S226" i="1"/>
  <c r="N232" i="1"/>
  <c r="L232" i="1"/>
  <c r="S241" i="1"/>
  <c r="L132" i="1"/>
  <c r="S140" i="1"/>
  <c r="N141" i="1"/>
  <c r="L145" i="1"/>
  <c r="N155" i="1"/>
  <c r="L155" i="1"/>
  <c r="S163" i="1"/>
  <c r="L163" i="1"/>
  <c r="S166" i="1"/>
  <c r="O168" i="1"/>
  <c r="N203" i="1"/>
  <c r="L203" i="1"/>
  <c r="S209" i="1"/>
  <c r="L223" i="1"/>
  <c r="S223" i="1"/>
  <c r="L238" i="1"/>
  <c r="N238" i="1"/>
  <c r="S263" i="1"/>
  <c r="L266" i="1"/>
  <c r="N266" i="1"/>
  <c r="L130" i="1"/>
  <c r="N159" i="1"/>
  <c r="L162" i="1"/>
  <c r="N178" i="1"/>
  <c r="N184" i="1"/>
  <c r="N191" i="1"/>
  <c r="N193" i="1"/>
  <c r="L194" i="1"/>
  <c r="L195" i="1"/>
  <c r="N210" i="1"/>
  <c r="N216" i="1"/>
  <c r="N223" i="1"/>
  <c r="N225" i="1"/>
  <c r="L226" i="1"/>
  <c r="L227" i="1"/>
  <c r="N242" i="1"/>
  <c r="N248" i="1"/>
  <c r="N255" i="1"/>
  <c r="N257" i="1"/>
  <c r="L258" i="1"/>
  <c r="L259" i="1"/>
  <c r="L264" i="1"/>
  <c r="S270" i="1"/>
  <c r="L274" i="1"/>
  <c r="S285" i="1"/>
  <c r="S290" i="1"/>
  <c r="S310" i="1"/>
  <c r="S316" i="1"/>
  <c r="N326" i="1"/>
  <c r="S347" i="1"/>
  <c r="N263" i="1"/>
  <c r="L263" i="1"/>
  <c r="L294" i="1"/>
  <c r="N319" i="1"/>
  <c r="L319" i="1"/>
  <c r="S173" i="1"/>
  <c r="S176" i="1"/>
  <c r="S199" i="1"/>
  <c r="S202" i="1"/>
  <c r="S205" i="1"/>
  <c r="S208" i="1"/>
  <c r="S231" i="1"/>
  <c r="S237" i="1"/>
  <c r="S265" i="1"/>
  <c r="S281" i="1"/>
  <c r="S286" i="1"/>
  <c r="L307" i="1"/>
  <c r="S307" i="1"/>
  <c r="N316" i="1"/>
  <c r="L316" i="1"/>
  <c r="L350" i="1"/>
  <c r="N350" i="1"/>
  <c r="S187" i="1"/>
  <c r="L190" i="1"/>
  <c r="S190" i="1"/>
  <c r="S196" i="1"/>
  <c r="S219" i="1"/>
  <c r="L222" i="1"/>
  <c r="S222" i="1"/>
  <c r="S228" i="1"/>
  <c r="S251" i="1"/>
  <c r="L254" i="1"/>
  <c r="S254" i="1"/>
  <c r="S260" i="1"/>
  <c r="N267" i="1"/>
  <c r="L267" i="1"/>
  <c r="S277" i="1"/>
  <c r="N175" i="1"/>
  <c r="L176" i="1"/>
  <c r="L179" i="1"/>
  <c r="S181" i="1"/>
  <c r="L185" i="1"/>
  <c r="N207" i="1"/>
  <c r="L208" i="1"/>
  <c r="L211" i="1"/>
  <c r="S213" i="1"/>
  <c r="L217" i="1"/>
  <c r="N239" i="1"/>
  <c r="L240" i="1"/>
  <c r="L243" i="1"/>
  <c r="S245" i="1"/>
  <c r="L249" i="1"/>
  <c r="S262" i="1"/>
  <c r="S273" i="1"/>
  <c r="S282" i="1"/>
  <c r="L285" i="1"/>
  <c r="L286" i="1"/>
  <c r="L322" i="1"/>
  <c r="N322" i="1"/>
  <c r="S325" i="1"/>
  <c r="N131" i="1"/>
  <c r="L134" i="1"/>
  <c r="S137" i="1"/>
  <c r="N163" i="1"/>
  <c r="L166" i="1"/>
  <c r="S169" i="1"/>
  <c r="N182" i="1"/>
  <c r="N195" i="1"/>
  <c r="L198" i="1"/>
  <c r="L199" i="1"/>
  <c r="S201" i="1"/>
  <c r="N214" i="1"/>
  <c r="N227" i="1"/>
  <c r="L230" i="1"/>
  <c r="L231" i="1"/>
  <c r="S233" i="1"/>
  <c r="N246" i="1"/>
  <c r="N259" i="1"/>
  <c r="L262" i="1"/>
  <c r="N264" i="1"/>
  <c r="N270" i="1"/>
  <c r="S278" i="1"/>
  <c r="N294" i="1"/>
  <c r="N151" i="1"/>
  <c r="S157" i="1"/>
  <c r="N183" i="1"/>
  <c r="L187" i="1"/>
  <c r="S189" i="1"/>
  <c r="N202" i="1"/>
  <c r="N215" i="1"/>
  <c r="L219" i="1"/>
  <c r="S221" i="1"/>
  <c r="N234" i="1"/>
  <c r="N247" i="1"/>
  <c r="L251" i="1"/>
  <c r="S253" i="1"/>
  <c r="S266" i="1"/>
  <c r="S274" i="1"/>
  <c r="L282" i="1"/>
  <c r="S289" i="1"/>
  <c r="N290" i="1"/>
  <c r="N325" i="1"/>
  <c r="L325" i="1"/>
  <c r="N336" i="1"/>
  <c r="L336" i="1"/>
  <c r="L359" i="1"/>
  <c r="N359" i="1"/>
  <c r="L375" i="1"/>
  <c r="N375" i="1"/>
  <c r="S391" i="1"/>
  <c r="N393" i="1"/>
  <c r="L393" i="1"/>
  <c r="L411" i="1"/>
  <c r="N411" i="1"/>
  <c r="N307" i="1"/>
  <c r="L308" i="1"/>
  <c r="N309" i="1"/>
  <c r="L310" i="1"/>
  <c r="L311" i="1"/>
  <c r="S313" i="1"/>
  <c r="N332" i="1"/>
  <c r="S338" i="1"/>
  <c r="S345" i="1"/>
  <c r="L348" i="1"/>
  <c r="S354" i="1"/>
  <c r="S361" i="1"/>
  <c r="S363" i="1"/>
  <c r="L364" i="1"/>
  <c r="S370" i="1"/>
  <c r="S377" i="1"/>
  <c r="S379" i="1"/>
  <c r="L380" i="1"/>
  <c r="N385" i="1"/>
  <c r="L402" i="1"/>
  <c r="N402" i="1"/>
  <c r="S417" i="1"/>
  <c r="L419" i="1"/>
  <c r="N419" i="1"/>
  <c r="L347" i="1"/>
  <c r="N347" i="1"/>
  <c r="L363" i="1"/>
  <c r="N363" i="1"/>
  <c r="L379" i="1"/>
  <c r="N379" i="1"/>
  <c r="N391" i="1"/>
  <c r="L391" i="1"/>
  <c r="L400" i="1"/>
  <c r="N400" i="1"/>
  <c r="N417" i="1"/>
  <c r="L417" i="1"/>
  <c r="S315" i="1"/>
  <c r="L318" i="1"/>
  <c r="S318" i="1"/>
  <c r="S321" i="1"/>
  <c r="S324" i="1"/>
  <c r="S335" i="1"/>
  <c r="S342" i="1"/>
  <c r="S349" i="1"/>
  <c r="S351" i="1"/>
  <c r="S358" i="1"/>
  <c r="S365" i="1"/>
  <c r="S367" i="1"/>
  <c r="L368" i="1"/>
  <c r="S374" i="1"/>
  <c r="S381" i="1"/>
  <c r="S383" i="1"/>
  <c r="L384" i="1"/>
  <c r="L388" i="1"/>
  <c r="S392" i="1"/>
  <c r="L396" i="1"/>
  <c r="N396" i="1"/>
  <c r="S410" i="1"/>
  <c r="L414" i="1"/>
  <c r="S415" i="1"/>
  <c r="L271" i="1"/>
  <c r="S298" i="1"/>
  <c r="L335" i="1"/>
  <c r="N335" i="1"/>
  <c r="L351" i="1"/>
  <c r="N351" i="1"/>
  <c r="N366" i="1"/>
  <c r="L367" i="1"/>
  <c r="N367" i="1"/>
  <c r="N382" i="1"/>
  <c r="L383" i="1"/>
  <c r="N383" i="1"/>
  <c r="S387" i="1"/>
  <c r="N405" i="1"/>
  <c r="L405" i="1"/>
  <c r="S413" i="1"/>
  <c r="N323" i="1"/>
  <c r="L324" i="1"/>
  <c r="L326" i="1"/>
  <c r="L327" i="1"/>
  <c r="S329" i="1"/>
  <c r="L333" i="1"/>
  <c r="S337" i="1"/>
  <c r="L340" i="1"/>
  <c r="S346" i="1"/>
  <c r="S353" i="1"/>
  <c r="L356" i="1"/>
  <c r="S362" i="1"/>
  <c r="S369" i="1"/>
  <c r="L372" i="1"/>
  <c r="S378" i="1"/>
  <c r="L387" i="1"/>
  <c r="N387" i="1"/>
  <c r="S408" i="1"/>
  <c r="L315" i="1"/>
  <c r="S317" i="1"/>
  <c r="N330" i="1"/>
  <c r="N338" i="1"/>
  <c r="L339" i="1"/>
  <c r="N339" i="1"/>
  <c r="N354" i="1"/>
  <c r="L355" i="1"/>
  <c r="N355" i="1"/>
  <c r="N370" i="1"/>
  <c r="L371" i="1"/>
  <c r="N371" i="1"/>
  <c r="S390" i="1"/>
  <c r="L394" i="1"/>
  <c r="N397" i="1"/>
  <c r="S399" i="1"/>
  <c r="N406" i="1"/>
  <c r="S411" i="1"/>
  <c r="N318" i="1"/>
  <c r="N331" i="1"/>
  <c r="L334" i="1"/>
  <c r="S341" i="1"/>
  <c r="L344" i="1"/>
  <c r="S350" i="1"/>
  <c r="S357" i="1"/>
  <c r="L360" i="1"/>
  <c r="S366" i="1"/>
  <c r="S373" i="1"/>
  <c r="L376" i="1"/>
  <c r="S382" i="1"/>
  <c r="S388" i="1"/>
  <c r="L390" i="1"/>
  <c r="S393" i="1"/>
  <c r="L403" i="1"/>
  <c r="S404" i="1"/>
  <c r="L408" i="1"/>
  <c r="N408" i="1"/>
  <c r="L416" i="1"/>
  <c r="N416" i="1"/>
  <c r="S419" i="1"/>
  <c r="N409" i="1"/>
  <c r="L412" i="1"/>
  <c r="N418" i="1"/>
  <c r="L420" i="1"/>
  <c r="N420" i="1"/>
  <c r="L430" i="1"/>
  <c r="N433" i="1"/>
  <c r="L433" i="1"/>
  <c r="N438" i="1"/>
  <c r="L438" i="1"/>
  <c r="N446" i="1"/>
  <c r="L446" i="1"/>
  <c r="N454" i="1"/>
  <c r="L454" i="1"/>
  <c r="N462" i="1"/>
  <c r="L462" i="1"/>
  <c r="N470" i="1"/>
  <c r="L470" i="1"/>
  <c r="N478" i="1"/>
  <c r="L478" i="1"/>
  <c r="N486" i="1"/>
  <c r="L486" i="1"/>
  <c r="N494" i="1"/>
  <c r="L494" i="1"/>
  <c r="N429" i="1"/>
  <c r="L429" i="1"/>
  <c r="N441" i="1"/>
  <c r="L441" i="1"/>
  <c r="N449" i="1"/>
  <c r="L449" i="1"/>
  <c r="N457" i="1"/>
  <c r="L457" i="1"/>
  <c r="N465" i="1"/>
  <c r="L465" i="1"/>
  <c r="N473" i="1"/>
  <c r="L473" i="1"/>
  <c r="N481" i="1"/>
  <c r="L481" i="1"/>
  <c r="N489" i="1"/>
  <c r="L489" i="1"/>
  <c r="N497" i="1"/>
  <c r="L497" i="1"/>
  <c r="S421" i="1"/>
  <c r="N425" i="1"/>
  <c r="L425" i="1"/>
  <c r="L427" i="1"/>
  <c r="L436" i="1"/>
  <c r="N436" i="1"/>
  <c r="L444" i="1"/>
  <c r="N444" i="1"/>
  <c r="L452" i="1"/>
  <c r="N452" i="1"/>
  <c r="L460" i="1"/>
  <c r="N460" i="1"/>
  <c r="L468" i="1"/>
  <c r="N468" i="1"/>
  <c r="L476" i="1"/>
  <c r="N476" i="1"/>
  <c r="L484" i="1"/>
  <c r="N484" i="1"/>
  <c r="L492" i="1"/>
  <c r="N492" i="1"/>
  <c r="L500" i="1"/>
  <c r="N500" i="1"/>
  <c r="N421" i="1"/>
  <c r="L421" i="1"/>
  <c r="L423" i="1"/>
  <c r="N439" i="1"/>
  <c r="L439" i="1"/>
  <c r="N447" i="1"/>
  <c r="L447" i="1"/>
  <c r="N455" i="1"/>
  <c r="L455" i="1"/>
  <c r="N463" i="1"/>
  <c r="L463" i="1"/>
  <c r="N471" i="1"/>
  <c r="L471" i="1"/>
  <c r="N479" i="1"/>
  <c r="L479" i="1"/>
  <c r="N487" i="1"/>
  <c r="L487" i="1"/>
  <c r="N495" i="1"/>
  <c r="L495" i="1"/>
  <c r="S428" i="1"/>
  <c r="N434" i="1"/>
  <c r="L434" i="1"/>
  <c r="N442" i="1"/>
  <c r="L442" i="1"/>
  <c r="N450" i="1"/>
  <c r="L450" i="1"/>
  <c r="N458" i="1"/>
  <c r="L458" i="1"/>
  <c r="N466" i="1"/>
  <c r="L466" i="1"/>
  <c r="N474" i="1"/>
  <c r="L474" i="1"/>
  <c r="N482" i="1"/>
  <c r="L482" i="1"/>
  <c r="N490" i="1"/>
  <c r="L490" i="1"/>
  <c r="N498" i="1"/>
  <c r="L498" i="1"/>
  <c r="N413" i="1"/>
  <c r="L413" i="1"/>
  <c r="L415" i="1"/>
  <c r="S424" i="1"/>
  <c r="S426" i="1"/>
  <c r="N431" i="1"/>
  <c r="L432" i="1"/>
  <c r="N432" i="1"/>
  <c r="S435" i="1"/>
  <c r="N437" i="1"/>
  <c r="L437" i="1"/>
  <c r="S443" i="1"/>
  <c r="N445" i="1"/>
  <c r="L445" i="1"/>
  <c r="S451" i="1"/>
  <c r="N453" i="1"/>
  <c r="L453" i="1"/>
  <c r="S459" i="1"/>
  <c r="N461" i="1"/>
  <c r="L461" i="1"/>
  <c r="S467" i="1"/>
  <c r="N469" i="1"/>
  <c r="L469" i="1"/>
  <c r="S475" i="1"/>
  <c r="N477" i="1"/>
  <c r="L477" i="1"/>
  <c r="S483" i="1"/>
  <c r="N485" i="1"/>
  <c r="L485" i="1"/>
  <c r="S491" i="1"/>
  <c r="N493" i="1"/>
  <c r="L493" i="1"/>
  <c r="S499" i="1"/>
  <c r="N501" i="1"/>
  <c r="L501" i="1"/>
  <c r="N401" i="1"/>
  <c r="L404" i="1"/>
  <c r="S407" i="1"/>
  <c r="S420" i="1"/>
  <c r="S422" i="1"/>
  <c r="N427" i="1"/>
  <c r="L428" i="1"/>
  <c r="N428" i="1"/>
  <c r="S438" i="1"/>
  <c r="L440" i="1"/>
  <c r="N440" i="1"/>
  <c r="S446" i="1"/>
  <c r="L448" i="1"/>
  <c r="N448" i="1"/>
  <c r="S454" i="1"/>
  <c r="L456" i="1"/>
  <c r="N456" i="1"/>
  <c r="S462" i="1"/>
  <c r="L464" i="1"/>
  <c r="N464" i="1"/>
  <c r="S470" i="1"/>
  <c r="L472" i="1"/>
  <c r="N472" i="1"/>
  <c r="S478" i="1"/>
  <c r="L480" i="1"/>
  <c r="N480" i="1"/>
  <c r="S486" i="1"/>
  <c r="L488" i="1"/>
  <c r="N488" i="1"/>
  <c r="S494" i="1"/>
  <c r="L496" i="1"/>
  <c r="N496" i="1"/>
  <c r="N389" i="1"/>
  <c r="L392" i="1"/>
  <c r="S395" i="1"/>
  <c r="S416" i="1"/>
  <c r="S418" i="1"/>
  <c r="N422" i="1"/>
  <c r="N423" i="1"/>
  <c r="L424" i="1"/>
  <c r="N424" i="1"/>
  <c r="N435" i="1"/>
  <c r="L435" i="1"/>
  <c r="S441" i="1"/>
  <c r="N443" i="1"/>
  <c r="L443" i="1"/>
  <c r="S449" i="1"/>
  <c r="N451" i="1"/>
  <c r="L451" i="1"/>
  <c r="S457" i="1"/>
  <c r="N459" i="1"/>
  <c r="L459" i="1"/>
  <c r="S465" i="1"/>
  <c r="N467" i="1"/>
  <c r="L467" i="1"/>
  <c r="S473" i="1"/>
  <c r="N475" i="1"/>
  <c r="L475" i="1"/>
  <c r="S481" i="1"/>
  <c r="N483" i="1"/>
  <c r="L483" i="1"/>
  <c r="S489" i="1"/>
  <c r="N491" i="1"/>
  <c r="L491" i="1"/>
  <c r="S497" i="1"/>
  <c r="N499" i="1"/>
  <c r="L499" i="1"/>
</calcChain>
</file>

<file path=xl/sharedStrings.xml><?xml version="1.0" encoding="utf-8"?>
<sst xmlns="http://schemas.openxmlformats.org/spreadsheetml/2006/main" count="2043" uniqueCount="567">
  <si>
    <t>Chain Name</t>
  </si>
  <si>
    <t>Ignite ID</t>
  </si>
  <si>
    <t>Segment</t>
  </si>
  <si>
    <t>Subsegment</t>
  </si>
  <si>
    <t>Menu Type</t>
  </si>
  <si>
    <t>Rank</t>
  </si>
  <si>
    <t>2024 U.S. Sales ($000)</t>
  </si>
  <si>
    <t>2024 Market share (%)</t>
  </si>
  <si>
    <t>2024 U.S. Units</t>
  </si>
  <si>
    <t>2024 AUV</t>
  </si>
  <si>
    <t>2024 YoY units %</t>
  </si>
  <si>
    <t>Market share y/y</t>
  </si>
  <si>
    <t>5-Year Sales CAGR</t>
  </si>
  <si>
    <t>5-year market share change</t>
  </si>
  <si>
    <t>5-Year AUV CAGR</t>
  </si>
  <si>
    <t>5-Year Unit CAGR</t>
  </si>
  <si>
    <t>2023 U.S. Sales ($000)</t>
  </si>
  <si>
    <t>2023 Market share (%)</t>
  </si>
  <si>
    <t>Market share y/y2</t>
  </si>
  <si>
    <t>2023 YoY Sales %</t>
  </si>
  <si>
    <t>2023 U.S. Units</t>
  </si>
  <si>
    <t>2023 AUV</t>
  </si>
  <si>
    <t>2023 YoY Units %</t>
  </si>
  <si>
    <t>4-Year Sales CAGR</t>
  </si>
  <si>
    <t>4-year market share change</t>
  </si>
  <si>
    <t>4-Year AUV CAGR</t>
  </si>
  <si>
    <t>4-Year Unit CAGR</t>
  </si>
  <si>
    <t>2022 U.S. Sales ($000)</t>
  </si>
  <si>
    <t>2022 Market share (%)</t>
  </si>
  <si>
    <t>2022 U.S. Units</t>
  </si>
  <si>
    <t>2022 AUV</t>
  </si>
  <si>
    <t>2021 U.S. Sales ($000)</t>
  </si>
  <si>
    <t>2021 Market share (%)</t>
  </si>
  <si>
    <t>2021 U.S. Units</t>
  </si>
  <si>
    <t>2021 AUV</t>
  </si>
  <si>
    <t>2020 U.S. Sales ($000)</t>
  </si>
  <si>
    <t>2020 Market share (%)</t>
  </si>
  <si>
    <t>2020 U.S. Units</t>
  </si>
  <si>
    <t>2020 AUV</t>
  </si>
  <si>
    <t>2019 U.S. Sales ($000)</t>
  </si>
  <si>
    <t>2019 Market share (%)</t>
  </si>
  <si>
    <t>2019 U.S. Units</t>
  </si>
  <si>
    <t>2019 AUV</t>
  </si>
  <si>
    <t>McDonald's</t>
  </si>
  <si>
    <t>LSR</t>
  </si>
  <si>
    <t>QSR</t>
  </si>
  <si>
    <t>Burger</t>
  </si>
  <si>
    <t>Starbucks</t>
  </si>
  <si>
    <t>Coffee Cafe</t>
  </si>
  <si>
    <t>Chick-fil-A</t>
  </si>
  <si>
    <t>Chicken</t>
  </si>
  <si>
    <t>Taco Bell</t>
  </si>
  <si>
    <t>Mexican</t>
  </si>
  <si>
    <t>Wendy's</t>
  </si>
  <si>
    <t>Dunkin'</t>
  </si>
  <si>
    <t>Chipotle Mexican Grill</t>
  </si>
  <si>
    <t>FC</t>
  </si>
  <si>
    <t>Burger King</t>
  </si>
  <si>
    <t>Subway</t>
  </si>
  <si>
    <t>Sandwich</t>
  </si>
  <si>
    <t>Domino's</t>
  </si>
  <si>
    <t>Pizza</t>
  </si>
  <si>
    <t>Panda Express</t>
  </si>
  <si>
    <t>Asian/Noodle</t>
  </si>
  <si>
    <t>Panera Bread</t>
  </si>
  <si>
    <t>Popeyes</t>
  </si>
  <si>
    <t>Pizza Hut</t>
  </si>
  <si>
    <t>Texas Roadhouse</t>
  </si>
  <si>
    <t>FSR</t>
  </si>
  <si>
    <t>CDR</t>
  </si>
  <si>
    <t>Steak</t>
  </si>
  <si>
    <t>Sonic Drive-In</t>
  </si>
  <si>
    <t>Olive Garden</t>
  </si>
  <si>
    <t>Italian/Pizza</t>
  </si>
  <si>
    <t>Raising Cane's</t>
  </si>
  <si>
    <t>Dairy Queen</t>
  </si>
  <si>
    <t>Frozen Desserts</t>
  </si>
  <si>
    <t>KFC</t>
  </si>
  <si>
    <t>Chili's Grill &amp; Bar</t>
  </si>
  <si>
    <t>Varied Menu</t>
  </si>
  <si>
    <t>Little Caesars</t>
  </si>
  <si>
    <t>Jack in the Box</t>
  </si>
  <si>
    <t>Wingstop</t>
  </si>
  <si>
    <t>Arby's</t>
  </si>
  <si>
    <t>Whataburger</t>
  </si>
  <si>
    <t>Applebee's</t>
  </si>
  <si>
    <t>Buffalo Wild Wings</t>
  </si>
  <si>
    <t>Sports Bar</t>
  </si>
  <si>
    <t>Culver's</t>
  </si>
  <si>
    <t>Jersey Mike's Subs</t>
  </si>
  <si>
    <t>Papa Johns</t>
  </si>
  <si>
    <t>IHOP</t>
  </si>
  <si>
    <t>MSR</t>
  </si>
  <si>
    <t>Family Style</t>
  </si>
  <si>
    <t>LongHorn Steakhouse</t>
  </si>
  <si>
    <t>Cracker Barrel</t>
  </si>
  <si>
    <t>Outback Steakhouse</t>
  </si>
  <si>
    <t>Denny's</t>
  </si>
  <si>
    <t>Cheesecake Factory, The</t>
  </si>
  <si>
    <t>Jimmy John's</t>
  </si>
  <si>
    <t>Zaxby's</t>
  </si>
  <si>
    <t>Five Guys</t>
  </si>
  <si>
    <t>Bojangles</t>
  </si>
  <si>
    <t>In-N-Out Burger</t>
  </si>
  <si>
    <t>Hardee's</t>
  </si>
  <si>
    <t>Dutch Bros Coffee</t>
  </si>
  <si>
    <t>Red Lobster</t>
  </si>
  <si>
    <t>Seafood</t>
  </si>
  <si>
    <t>Golden Corral</t>
  </si>
  <si>
    <t>Carl's Jr.</t>
  </si>
  <si>
    <t>Red Robin</t>
  </si>
  <si>
    <t>Tropical Smoothie Cafe</t>
  </si>
  <si>
    <t>Other Beverage/Snack</t>
  </si>
  <si>
    <t>Waffle House</t>
  </si>
  <si>
    <t>BJ's Restaurant &amp; Brewhouse</t>
  </si>
  <si>
    <t>Shake Shack</t>
  </si>
  <si>
    <t>Crumbl</t>
  </si>
  <si>
    <t>Qdoba Mexican Eats</t>
  </si>
  <si>
    <t>First Watch</t>
  </si>
  <si>
    <t>Firehouse Subs</t>
  </si>
  <si>
    <t>El Pollo Loco</t>
  </si>
  <si>
    <t>Marco's Pizza</t>
  </si>
  <si>
    <t>McAlister's Deli</t>
  </si>
  <si>
    <t>Freddy's Frozen Custard &amp; Steakburgers</t>
  </si>
  <si>
    <t>P.F. Chang's</t>
  </si>
  <si>
    <t>Asian</t>
  </si>
  <si>
    <t>Del Taco</t>
  </si>
  <si>
    <t>Cava</t>
  </si>
  <si>
    <t>All Other</t>
  </si>
  <si>
    <t>Nothing Bundt Cakes</t>
  </si>
  <si>
    <t>Yard House</t>
  </si>
  <si>
    <t>Church's Texas Chicken</t>
  </si>
  <si>
    <t>Ruth's Chris Steak House</t>
  </si>
  <si>
    <t>FD</t>
  </si>
  <si>
    <t>Auntie Anne's</t>
  </si>
  <si>
    <t>Tim Hortons</t>
  </si>
  <si>
    <t>Cheddar's Scratch Kitchen</t>
  </si>
  <si>
    <t>Smoothie King</t>
  </si>
  <si>
    <t>Bob Evans</t>
  </si>
  <si>
    <t>Steak 'n Shake</t>
  </si>
  <si>
    <t>Krispy Kreme</t>
  </si>
  <si>
    <t>Charleys Cheesesteaks</t>
  </si>
  <si>
    <t>Carrabba's Italian Grill</t>
  </si>
  <si>
    <t>Papa Murphy's Pizza</t>
  </si>
  <si>
    <t>Scooter's Coffee</t>
  </si>
  <si>
    <t>Moe's Southwest Grill</t>
  </si>
  <si>
    <t>Habit Burger &amp; Grill</t>
  </si>
  <si>
    <t>Portillo's</t>
  </si>
  <si>
    <t>Baskin-Robbins</t>
  </si>
  <si>
    <t>Hooters</t>
  </si>
  <si>
    <t>Sweetgreen</t>
  </si>
  <si>
    <t>Jason's Deli</t>
  </si>
  <si>
    <t>Fogo de Chao</t>
  </si>
  <si>
    <t>White Castle</t>
  </si>
  <si>
    <t>Einstein Bros. Bagels</t>
  </si>
  <si>
    <t>Dave's Hot Chicken</t>
  </si>
  <si>
    <t>Cooper's Hawk Winery &amp; Restaurants</t>
  </si>
  <si>
    <t>Noodles &amp; Company</t>
  </si>
  <si>
    <t>Dave &amp; Buster's</t>
  </si>
  <si>
    <t>Miller's Ale House</t>
  </si>
  <si>
    <t>Jack's Family Restaurants</t>
  </si>
  <si>
    <t>MOD Pizza</t>
  </si>
  <si>
    <t>Capital Grille, The</t>
  </si>
  <si>
    <t>Twin Peaks</t>
  </si>
  <si>
    <t>Cold Stone Creamery</t>
  </si>
  <si>
    <t>Potbelly Sandwich Shop</t>
  </si>
  <si>
    <t>Jet's Pizza</t>
  </si>
  <si>
    <t>Checkers</t>
  </si>
  <si>
    <t>Captain D's Seafood Kitchen</t>
  </si>
  <si>
    <t>Bonefish Grill</t>
  </si>
  <si>
    <t>Torchy's Tacos</t>
  </si>
  <si>
    <t>Benihana</t>
  </si>
  <si>
    <t>Maggiano's Little Italy</t>
  </si>
  <si>
    <t>Perkins American Food Co.</t>
  </si>
  <si>
    <t>7 Brew Drive Thru Coffee</t>
  </si>
  <si>
    <t>Saltgrass Steak House</t>
  </si>
  <si>
    <t>Chuy's</t>
  </si>
  <si>
    <t>Jamba</t>
  </si>
  <si>
    <t>Paris Baguette</t>
  </si>
  <si>
    <t>Slim Chickens</t>
  </si>
  <si>
    <t>Topgolf</t>
  </si>
  <si>
    <t>Black Bear Diner</t>
  </si>
  <si>
    <t>Hungry Howie's Pizza</t>
  </si>
  <si>
    <t>Round Table Pizza</t>
  </si>
  <si>
    <t>Taco John's</t>
  </si>
  <si>
    <t>Din Tai Fung</t>
  </si>
  <si>
    <t>Chuck E. Cheese</t>
  </si>
  <si>
    <t>Texas de Brazil</t>
  </si>
  <si>
    <t>TGI Fridays</t>
  </si>
  <si>
    <t>California Pizza Kitchen</t>
  </si>
  <si>
    <t>Lazy Dog Restaurant &amp; Bar</t>
  </si>
  <si>
    <t>Honey Baked Ham Co.</t>
  </si>
  <si>
    <t>KPOT Korean BBQ &amp; Hot Pot</t>
  </si>
  <si>
    <t>Chicken Salad Chick</t>
  </si>
  <si>
    <t>Caribou Coffee</t>
  </si>
  <si>
    <t>Cafe Rio Mexican Grill</t>
  </si>
  <si>
    <t>Mellow Mushroom</t>
  </si>
  <si>
    <t>Firebirds Wood Fired Grill</t>
  </si>
  <si>
    <t>Logan's Roadhouse</t>
  </si>
  <si>
    <t>Cook Out</t>
  </si>
  <si>
    <t>Fleming's Prime Steakhouse &amp; Wine Bar</t>
  </si>
  <si>
    <t>Pizza Ranch</t>
  </si>
  <si>
    <t>Mountain Mike's Pizza</t>
  </si>
  <si>
    <t>Blaze Pizza</t>
  </si>
  <si>
    <t>Wienerschnitzel</t>
  </si>
  <si>
    <t>Walk-On's Sports Bistreaux</t>
  </si>
  <si>
    <t>Schlotzsky's</t>
  </si>
  <si>
    <t>Pollo Tropical</t>
  </si>
  <si>
    <t>Pollo Campero</t>
  </si>
  <si>
    <t>Jollibee</t>
  </si>
  <si>
    <t>Mastro's Restaurants</t>
  </si>
  <si>
    <t>True Food Kitchen</t>
  </si>
  <si>
    <t>Biggby Coffee</t>
  </si>
  <si>
    <t>Shipley Do-Nuts</t>
  </si>
  <si>
    <t>Rally's</t>
  </si>
  <si>
    <t>Golden Chick</t>
  </si>
  <si>
    <t>Seasons 52</t>
  </si>
  <si>
    <t>Peet's Coffee</t>
  </si>
  <si>
    <t>North Italia</t>
  </si>
  <si>
    <t>Bubba's 33</t>
  </si>
  <si>
    <t>Playa Bowls</t>
  </si>
  <si>
    <t>Ninety Nine Restaurant &amp; Pub</t>
  </si>
  <si>
    <t>Famous Dave's</t>
  </si>
  <si>
    <t>Krystal Company</t>
  </si>
  <si>
    <t>Perry's Steakhouse &amp; Grille</t>
  </si>
  <si>
    <t>Ruby Tuesday</t>
  </si>
  <si>
    <t>Wetzel's Pretzels</t>
  </si>
  <si>
    <t>Cinnabon</t>
  </si>
  <si>
    <t>Braum's Ice Cream &amp; Dairy Stores</t>
  </si>
  <si>
    <t>Eddie V's Prime Seafood</t>
  </si>
  <si>
    <t>Long John Silver's</t>
  </si>
  <si>
    <t>Fazoli's</t>
  </si>
  <si>
    <t>Mendocino Farms</t>
  </si>
  <si>
    <t>J. Alexander's</t>
  </si>
  <si>
    <t>Dickey's Barbecue Pit</t>
  </si>
  <si>
    <t>85C Bakery Cafe</t>
  </si>
  <si>
    <t>Godfather's Pizza</t>
  </si>
  <si>
    <t>Penn Station East Coast Subs</t>
  </si>
  <si>
    <t>A&amp;W All American Food</t>
  </si>
  <si>
    <t>Morton's The Steakhouse</t>
  </si>
  <si>
    <t>Sbarro</t>
  </si>
  <si>
    <t>Salad and Go</t>
  </si>
  <si>
    <t>Cicis</t>
  </si>
  <si>
    <t>Bahama Breeze Island Grille</t>
  </si>
  <si>
    <t>Insomnia Cookies</t>
  </si>
  <si>
    <t>bb.q Chicken</t>
  </si>
  <si>
    <t>Ono Hawaiian BBQ</t>
  </si>
  <si>
    <t>Farmer Boys</t>
  </si>
  <si>
    <t>Kura Sushi</t>
  </si>
  <si>
    <t>L&amp;L Hawaiian Barbecue</t>
  </si>
  <si>
    <t>Del Frisco's Double Eagle Steak House</t>
  </si>
  <si>
    <t>City Barbeque</t>
  </si>
  <si>
    <t>Nobu Restaurants</t>
  </si>
  <si>
    <t>Smashburger</t>
  </si>
  <si>
    <t>Lee's Famous Recipe Chicken</t>
  </si>
  <si>
    <t>Ocean Prime</t>
  </si>
  <si>
    <t>Donatos Pizza</t>
  </si>
  <si>
    <t>On The Border</t>
  </si>
  <si>
    <t>Coffee Bean &amp; Tea Leaf</t>
  </si>
  <si>
    <t>Hook &amp; Reel</t>
  </si>
  <si>
    <t>Pappadeaux Seafood Kitchen</t>
  </si>
  <si>
    <t>Tous Les Jours</t>
  </si>
  <si>
    <t>STK</t>
  </si>
  <si>
    <t>Beef 'O' Brady's</t>
  </si>
  <si>
    <t>Newk's Eatery</t>
  </si>
  <si>
    <t>Taco Cabana</t>
  </si>
  <si>
    <t>Kung Fu Tea</t>
  </si>
  <si>
    <t>Pei Wei</t>
  </si>
  <si>
    <t>Huddle House</t>
  </si>
  <si>
    <t>Corner Bakery</t>
  </si>
  <si>
    <t>Andy's Frozen Custard</t>
  </si>
  <si>
    <t>Gen Korean BBQ</t>
  </si>
  <si>
    <t>Bonchon</t>
  </si>
  <si>
    <t>Sizzler</t>
  </si>
  <si>
    <t>Snooze, an A.M. Eatery</t>
  </si>
  <si>
    <t>Another Broken Egg Cafe</t>
  </si>
  <si>
    <t>Original Pancake House, The</t>
  </si>
  <si>
    <t>Rita's Ice</t>
  </si>
  <si>
    <t>Melting Pot</t>
  </si>
  <si>
    <t>La Madeleine</t>
  </si>
  <si>
    <t>Costa Vida Fresh Mexican Grill</t>
  </si>
  <si>
    <t>Lupe Tortilla</t>
  </si>
  <si>
    <t>Fuzzy's Taco Shop</t>
  </si>
  <si>
    <t>Panini Kabob Grill</t>
  </si>
  <si>
    <t>Just Salad</t>
  </si>
  <si>
    <t>Wayback Burgers</t>
  </si>
  <si>
    <t>54th Street Restaurant &amp; Drafthouse</t>
  </si>
  <si>
    <t>Taziki's Mediterranean Cafe</t>
  </si>
  <si>
    <t>Bruegger's Bagels</t>
  </si>
  <si>
    <t>Sonny's BBQ</t>
  </si>
  <si>
    <t>Chopt</t>
  </si>
  <si>
    <t>Bartaco</t>
  </si>
  <si>
    <t>Legal Sea Foods</t>
  </si>
  <si>
    <t>WaBa Grill</t>
  </si>
  <si>
    <t>Condado Tacos</t>
  </si>
  <si>
    <t>Mission BBQ</t>
  </si>
  <si>
    <t>Bill Miller Bar-B-Q</t>
  </si>
  <si>
    <t>Jinya Ramen Bar</t>
  </si>
  <si>
    <t>Bar Louie</t>
  </si>
  <si>
    <t>Rubio's</t>
  </si>
  <si>
    <t>Boiling Crab</t>
  </si>
  <si>
    <t>Village Inn</t>
  </si>
  <si>
    <t>LaRosa's Pizzeria</t>
  </si>
  <si>
    <t>Black Rock Coffee Bar</t>
  </si>
  <si>
    <t>Pret A Manger</t>
  </si>
  <si>
    <t>Nekter Juice Bar</t>
  </si>
  <si>
    <t>Metro Diner</t>
  </si>
  <si>
    <t>Carvel Ice Cream</t>
  </si>
  <si>
    <t>Roosters Wings</t>
  </si>
  <si>
    <t>Teriyaki Madness</t>
  </si>
  <si>
    <t>Great American Cookies</t>
  </si>
  <si>
    <t>Buca di Beppo</t>
  </si>
  <si>
    <t>Smokey Bones</t>
  </si>
  <si>
    <t>Old Chicago Pizza + Taproom</t>
  </si>
  <si>
    <t>Runza</t>
  </si>
  <si>
    <t>Human Bean, The</t>
  </si>
  <si>
    <t>O'Charley's</t>
  </si>
  <si>
    <t>Hopdoddy Burger Bar</t>
  </si>
  <si>
    <t>PDQ Chicken</t>
  </si>
  <si>
    <t>American Deli</t>
  </si>
  <si>
    <t>BurgerFi</t>
  </si>
  <si>
    <t>Aroma Joe's</t>
  </si>
  <si>
    <t>P. Terry's Burger Stand</t>
  </si>
  <si>
    <t>Burgerville</t>
  </si>
  <si>
    <t>Philz Coffee</t>
  </si>
  <si>
    <t>Blue Bottle Coffee</t>
  </si>
  <si>
    <t>PJ's Coffee of New Orleans</t>
  </si>
  <si>
    <t>Mooyah</t>
  </si>
  <si>
    <t>Ziggi's Coffee</t>
  </si>
  <si>
    <t>Bluestone Lane</t>
  </si>
  <si>
    <t>Au Bon Pain</t>
  </si>
  <si>
    <t>Hat Creek Burger Co.</t>
  </si>
  <si>
    <t>Fuddruckers</t>
  </si>
  <si>
    <t>Wahlburgers</t>
  </si>
  <si>
    <t>Hawaiian Bros Island Grill</t>
  </si>
  <si>
    <t>Johnny's New York Style Pizza</t>
  </si>
  <si>
    <t>HTeaO</t>
  </si>
  <si>
    <t>Crisp &amp; Green</t>
  </si>
  <si>
    <t>Nick the Greek</t>
  </si>
  <si>
    <t>Huey Magoo's</t>
  </si>
  <si>
    <t>Crafty Crab</t>
  </si>
  <si>
    <t>Jeremiah's Italian Ice</t>
  </si>
  <si>
    <t>Huckleberry's</t>
  </si>
  <si>
    <t>Super Chix</t>
  </si>
  <si>
    <t>Bubbakoo's Burritos</t>
  </si>
  <si>
    <t>Barrio Tacos</t>
  </si>
  <si>
    <t>Swig</t>
  </si>
  <si>
    <t>Handel's Homemade Ice Cream</t>
  </si>
  <si>
    <t>Gong Cha</t>
  </si>
  <si>
    <t>WNB Factory</t>
  </si>
  <si>
    <t>Cheba Hut</t>
  </si>
  <si>
    <t>Hawkers Asian Street Food</t>
  </si>
  <si>
    <t>Eggs Up Grill</t>
  </si>
  <si>
    <t>Toasted Yolk Cafe, The</t>
  </si>
  <si>
    <t>Emmy Squared Pizza</t>
  </si>
  <si>
    <t>Clean Eatz</t>
  </si>
  <si>
    <t>Sharetea</t>
  </si>
  <si>
    <t>Ruby Slipper Cafe</t>
  </si>
  <si>
    <t>Ford's Garage</t>
  </si>
  <si>
    <t>Clean Juice</t>
  </si>
  <si>
    <t>Mo'Bettahs</t>
  </si>
  <si>
    <t>Capriotti's Sandwich Shop</t>
  </si>
  <si>
    <t>Rock N Roll Sushi</t>
  </si>
  <si>
    <t>Postino WineCafe</t>
  </si>
  <si>
    <t>Maple Street Biscuit Company</t>
  </si>
  <si>
    <t>Hampton Social, The</t>
  </si>
  <si>
    <t>Honeygrow</t>
  </si>
  <si>
    <t>Velvet Taco</t>
  </si>
  <si>
    <t>Tupelo Honey Southern Kitchen &amp; Bar</t>
  </si>
  <si>
    <t>Board &amp; Brew</t>
  </si>
  <si>
    <t>Bombshells</t>
  </si>
  <si>
    <t>110 Grill</t>
  </si>
  <si>
    <t>California Fish Grill</t>
  </si>
  <si>
    <t>Pokeworks</t>
  </si>
  <si>
    <t>Dog Haus</t>
  </si>
  <si>
    <t>Juicy Crab, The</t>
  </si>
  <si>
    <t>Ike's Love &amp; Sandwiches</t>
  </si>
  <si>
    <t>Bruster's Real Ice Cream</t>
  </si>
  <si>
    <t>Gus's Fried Chicken</t>
  </si>
  <si>
    <t>Jeni's Splendid Ice Creams</t>
  </si>
  <si>
    <t>Bibibop Asian Grill</t>
  </si>
  <si>
    <t>Angry Crab Shack</t>
  </si>
  <si>
    <t>Main Event</t>
  </si>
  <si>
    <t>Pancheros Mexican Grill</t>
  </si>
  <si>
    <t>Epic Wings</t>
  </si>
  <si>
    <t>Blue Sushi Sake Grill</t>
  </si>
  <si>
    <t>&amp;pizza</t>
  </si>
  <si>
    <t>Culinary Dropout</t>
  </si>
  <si>
    <t>Lou Malnati's</t>
  </si>
  <si>
    <t>Flower Child</t>
  </si>
  <si>
    <t>Pizza Guys</t>
  </si>
  <si>
    <t>Ojos Locos Sports Cantina</t>
  </si>
  <si>
    <t>Piada Italian Street Food</t>
  </si>
  <si>
    <t>Dion's Pizza</t>
  </si>
  <si>
    <t>Flanigan's</t>
  </si>
  <si>
    <t>Red Ribbon Bakeshop</t>
  </si>
  <si>
    <t>Thirsty Lion Gastropub</t>
  </si>
  <si>
    <t>Pinstripes</t>
  </si>
  <si>
    <t>Silver Diner</t>
  </si>
  <si>
    <t>Cousins Subs</t>
  </si>
  <si>
    <t>Bricktown Brewery</t>
  </si>
  <si>
    <t>Toppers Pizza</t>
  </si>
  <si>
    <t>Barcelona Wine Bar</t>
  </si>
  <si>
    <t>Duck Donuts</t>
  </si>
  <si>
    <t>Mr. Gatti's Pizza</t>
  </si>
  <si>
    <t>Brass Tap, The</t>
  </si>
  <si>
    <t>Kolache Factory</t>
  </si>
  <si>
    <t>Nathan's Famous</t>
  </si>
  <si>
    <t>Broken Yolk Cafe</t>
  </si>
  <si>
    <t>Cafe Zupas</t>
  </si>
  <si>
    <t>Glory Days Grill</t>
  </si>
  <si>
    <t>Kilwins</t>
  </si>
  <si>
    <t>Mr. Pickle's Sandwich Shop</t>
  </si>
  <si>
    <t>Bahama Buck's</t>
  </si>
  <si>
    <t>Urban Plates</t>
  </si>
  <si>
    <t>Halal Guys, The</t>
  </si>
  <si>
    <t>P.J. Whelihan's Pub &amp; Restaurant</t>
  </si>
  <si>
    <t>PrimoHoagies</t>
  </si>
  <si>
    <t>Noah's Bagels</t>
  </si>
  <si>
    <t>Salata</t>
  </si>
  <si>
    <t>Gyu-Kaku</t>
  </si>
  <si>
    <t>Biscuitville Fresh Southern</t>
  </si>
  <si>
    <t>Wings Etc. Grill &amp; Pub</t>
  </si>
  <si>
    <t>Iron Hill Brewery &amp; Restaurant</t>
  </si>
  <si>
    <t>Rudy's Texas Bar-B-Q</t>
  </si>
  <si>
    <t>Grimaldi's Pizzeria</t>
  </si>
  <si>
    <t>Burtons Grill &amp; Bar</t>
  </si>
  <si>
    <t>Bad Daddy's Burger Bar</t>
  </si>
  <si>
    <t>Yum Yum Donut Shops</t>
  </si>
  <si>
    <t>Keke's Breakfast Cafe</t>
  </si>
  <si>
    <t>Pluckers Wing Bar</t>
  </si>
  <si>
    <t>Ledo Pizza</t>
  </si>
  <si>
    <t>Plaza Azteca</t>
  </si>
  <si>
    <t>Simple Simon's Pizza</t>
  </si>
  <si>
    <t>Jefferson's Restaurant</t>
  </si>
  <si>
    <t>Rodizio Grill</t>
  </si>
  <si>
    <t>Primanti Bros.</t>
  </si>
  <si>
    <t>Elmer's Restaurants</t>
  </si>
  <si>
    <t>Sullivan's Steakhouse</t>
  </si>
  <si>
    <t>Pal's Sudden Service</t>
  </si>
  <si>
    <t>Eureka! Restaurants</t>
  </si>
  <si>
    <t>Hot Head Burritos</t>
  </si>
  <si>
    <t>Kona Grill</t>
  </si>
  <si>
    <t>Taco Casa</t>
  </si>
  <si>
    <t>Pizza Factory</t>
  </si>
  <si>
    <t>Rosa's Cafe Tortilla Factory</t>
  </si>
  <si>
    <t>Jim 'N Nick's Bar-B-Q</t>
  </si>
  <si>
    <t>Marble Slab Creamery</t>
  </si>
  <si>
    <t>Pizza Inn</t>
  </si>
  <si>
    <t>Rosati's Pizza</t>
  </si>
  <si>
    <t>Fatburger</t>
  </si>
  <si>
    <t>Port of Subs</t>
  </si>
  <si>
    <t>Rusty Bucket Restaurant and Tavern</t>
  </si>
  <si>
    <t>Rib &amp; Chop House</t>
  </si>
  <si>
    <t>Wings and Rings</t>
  </si>
  <si>
    <t>Buona</t>
  </si>
  <si>
    <t>Skyline Chili</t>
  </si>
  <si>
    <t>Red Crab Juicy Seafood</t>
  </si>
  <si>
    <t>Mi Cocina</t>
  </si>
  <si>
    <t>Nando's</t>
  </si>
  <si>
    <t>Saladworks</t>
  </si>
  <si>
    <t>Chicken Express</t>
  </si>
  <si>
    <t>Gloria's Latin Cuisine</t>
  </si>
  <si>
    <t>Boiling Point</t>
  </si>
  <si>
    <t>Serafina</t>
  </si>
  <si>
    <t>Peter Piper Pizza</t>
  </si>
  <si>
    <t>Truluck's</t>
  </si>
  <si>
    <t>Luna Grill</t>
  </si>
  <si>
    <t>Freebirds World Burrito</t>
  </si>
  <si>
    <t>Bob's Steak &amp; Chop House</t>
  </si>
  <si>
    <t>Uncle Julio's</t>
  </si>
  <si>
    <t>Wood Ranch BBQ &amp; Grill</t>
  </si>
  <si>
    <t>Anthony's Restaurants</t>
  </si>
  <si>
    <t>Gator's Dockside</t>
  </si>
  <si>
    <t>Haagen-Dazs</t>
  </si>
  <si>
    <t>Yoshinoya</t>
  </si>
  <si>
    <t>Old Spaghetti Factory, The</t>
  </si>
  <si>
    <t>Hillstone</t>
  </si>
  <si>
    <t>Fricker's</t>
  </si>
  <si>
    <t>Margaritas Mexican Restaurant</t>
  </si>
  <si>
    <t>Moe's Original BBQ</t>
  </si>
  <si>
    <t>Imo's Pizza</t>
  </si>
  <si>
    <t>Margaritaville Restaurants</t>
  </si>
  <si>
    <t>Tommy Bahama Restaurants</t>
  </si>
  <si>
    <t>Chart House</t>
  </si>
  <si>
    <t>Daylight Donuts</t>
  </si>
  <si>
    <t>Razzoo's Cajun Cafe</t>
  </si>
  <si>
    <t>Ben &amp; Jerry's Scoop Shops</t>
  </si>
  <si>
    <t>Colton's Steak House &amp; Grill</t>
  </si>
  <si>
    <t>Cotton Patch Cafe</t>
  </si>
  <si>
    <t>Duffy's Sports Grill</t>
  </si>
  <si>
    <t>Modern Market Eatery</t>
  </si>
  <si>
    <t>Philly Pretzel Factory</t>
  </si>
  <si>
    <t>East Coast Wings + Grill</t>
  </si>
  <si>
    <t>Eddie Merlot's</t>
  </si>
  <si>
    <t>Rock &amp; Brews</t>
  </si>
  <si>
    <t>Great Harvest Bakery Cafe</t>
  </si>
  <si>
    <t>Pappasito's Cantina</t>
  </si>
  <si>
    <t>Smith &amp; Wollensky</t>
  </si>
  <si>
    <t>TacoTime</t>
  </si>
  <si>
    <t>Giordano's</t>
  </si>
  <si>
    <t>Fox's Pizza Den</t>
  </si>
  <si>
    <t>Il Fornaio</t>
  </si>
  <si>
    <t>Ted's Montana Grill</t>
  </si>
  <si>
    <t>Lucille's Smokehouse Bar-B-Que</t>
  </si>
  <si>
    <t>Salsarita's Fresh Mexican Grill</t>
  </si>
  <si>
    <t>Mazzio's Italian Eatery</t>
  </si>
  <si>
    <t>Gold Star Chili</t>
  </si>
  <si>
    <t>RibCrib BBQ</t>
  </si>
  <si>
    <t>Eat'n Park</t>
  </si>
  <si>
    <t>Anthony's Coal Fired Pizza</t>
  </si>
  <si>
    <t>Smallcakes Cupcakery</t>
  </si>
  <si>
    <t>Frisch's Big Boy</t>
  </si>
  <si>
    <t>Kneaders Bakery &amp; Cafe</t>
  </si>
  <si>
    <t>Shakey's Pizza Parlor</t>
  </si>
  <si>
    <t>El Torito</t>
  </si>
  <si>
    <t>Roy Rogers Restaurants</t>
  </si>
  <si>
    <t>Houston's</t>
  </si>
  <si>
    <t>Pretzelmaker</t>
  </si>
  <si>
    <t>Papa Gino's Pizzeria</t>
  </si>
  <si>
    <t>Pieology Pizzeria</t>
  </si>
  <si>
    <t>Big Boy Restaurants</t>
  </si>
  <si>
    <t>Bareburger</t>
  </si>
  <si>
    <t>Rainforest Cafe</t>
  </si>
  <si>
    <t>Carolina Ale House</t>
  </si>
  <si>
    <t>Yogurtland</t>
  </si>
  <si>
    <t>Bubba Gump Shrimp Co.</t>
  </si>
  <si>
    <t>Taco Bueno</t>
  </si>
  <si>
    <t>Tijuana Flats</t>
  </si>
  <si>
    <t>Togo's Sandwiches</t>
  </si>
  <si>
    <t>Tender Greens</t>
  </si>
  <si>
    <t>Johnny Rockets</t>
  </si>
  <si>
    <t>Palm Restaurant, The</t>
  </si>
  <si>
    <t>Menchie's Frozen Yogurt</t>
  </si>
  <si>
    <t>Hurricane Grill &amp; Wings</t>
  </si>
  <si>
    <t>Lemonade</t>
  </si>
  <si>
    <t>Flame Broiler</t>
  </si>
  <si>
    <t>Marlow's Tavern</t>
  </si>
  <si>
    <t>Sarku Japan</t>
  </si>
  <si>
    <t>Greene Turtle Sports Bar &amp; Grille</t>
  </si>
  <si>
    <t>Shari's Cafe and Pies</t>
  </si>
  <si>
    <t>Del Frisco's Grille</t>
  </si>
  <si>
    <t>Black Angus Steakhouse</t>
  </si>
  <si>
    <t>Quaker Steak &amp; Lube</t>
  </si>
  <si>
    <t>Abuelo's Mexican Restaurant</t>
  </si>
  <si>
    <t>Islands Fine Burgers &amp; Drinks</t>
  </si>
  <si>
    <t>HuHot Mongolian Grill</t>
  </si>
  <si>
    <t>Uno Pizzeria &amp; Grill</t>
  </si>
  <si>
    <t>SweetFrog</t>
  </si>
  <si>
    <t>Shoney's</t>
  </si>
  <si>
    <t>Friendly's</t>
  </si>
  <si>
    <t>Hard Rock Cafe</t>
  </si>
  <si>
    <t>Baja Fresh Mexican Grill</t>
  </si>
  <si>
    <t>Johnny Carino's</t>
  </si>
  <si>
    <t>McCormick &amp; Schmick's</t>
  </si>
  <si>
    <t>Joe's Crab Shack</t>
  </si>
  <si>
    <t>Grand Lux Cafe</t>
  </si>
  <si>
    <t>Bravo! Italian Kitchen</t>
  </si>
  <si>
    <t>Which Wich</t>
  </si>
  <si>
    <t>Houlihan's</t>
  </si>
  <si>
    <t>Quiznos</t>
  </si>
  <si>
    <t>Mimi's Bistro &amp; Bakery</t>
  </si>
  <si>
    <t>Brio Italian Grille</t>
  </si>
  <si>
    <t>Luby's</t>
  </si>
  <si>
    <t>Le Pain Quotidien</t>
  </si>
  <si>
    <t>Romano's Macaroni Grill</t>
  </si>
  <si>
    <t>Boston Market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</si>
</sst>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%_);\(0.0%\);0.0%_);@_)"/>
    <numFmt numFmtId="165" formatCode="#,##0.0"/>
    <numFmt numFmtId="166" formatCode="#,##0.0_);\(#,##0.0\);#,##0.0_);@_)"/>
    <numFmt numFmtId="167" formatCode="_(* #,##0.0_);_(* \(#,##0.0\);_(* &quot;-&quot;??_);_(@_)"/>
    <numFmt numFmtId="168" formatCode="0.0%"/>
    <numFmt numFmtId="169" formatCode="#,##0_);\(#,##0\);#,##0_);@_)"/>
  </numFmts>
  <fonts count="4" x14ac:knownFonts="1">
    <font>
      <sz val="11"/>
      <color theme="1"/>
      <name val="Source Sans Pro"/>
      <family val="2"/>
      <scheme val="minor"/>
    </font>
    <font>
      <b/>
      <sz val="11"/>
      <color theme="1"/>
      <name val="Calibri"/>
      <family val="2"/>
    </font>
    <font>
      <b/>
      <sz val="11"/>
      <color theme="1"/>
      <name val="Source Sans Pro"/>
      <family val="2"/>
      <scheme val="minor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left"/>
    </xf>
    <xf numFmtId="0" fontId="1" fillId="2" borderId="0" xfId="0" applyFont="1" applyFill="1" applyAlignment="1">
      <alignment horizontal="left"/>
    </xf>
    <xf numFmtId="0" fontId="1" fillId="3" borderId="0" xfId="0" applyFont="1" applyFill="1" applyAlignment="1">
      <alignment horizontal="left"/>
    </xf>
    <xf numFmtId="3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69" fontId="3" fillId="0" borderId="0" xfId="0" applyNumberFormat="1" applyFont="1"/>
    <xf numFmtId="9" fontId="0" fillId="0" borderId="0" xfId="0" applyNumberFormat="1"/>
  </cellXfs>
  <cellStyles count="1">
    <cellStyle name="Normal" xfId="0" builtinId="0"/>
  </cellStyles>
  <dxfs count="38">
    <dxf>
      <numFmt numFmtId="3" formatCode="#,##0"/>
    </dxf>
    <dxf>
      <numFmt numFmtId="164" formatCode="0.0%_);\(0.0%\);0.0%_);@_)"/>
    </dxf>
    <dxf>
      <numFmt numFmtId="3" formatCode="#,##0"/>
    </dxf>
    <dxf>
      <numFmt numFmtId="3" formatCode="#,##0"/>
    </dxf>
    <dxf>
      <numFmt numFmtId="3" formatCode="#,##0"/>
    </dxf>
    <dxf>
      <numFmt numFmtId="164" formatCode="0.0%_);\(0.0%\);0.0%_);@_)"/>
    </dxf>
    <dxf>
      <numFmt numFmtId="3" formatCode="#,##0"/>
    </dxf>
    <dxf>
      <font>
        <b val="0"/>
        <name val="Calibri"/>
        <family val="2"/>
        <scheme val="none"/>
      </font>
      <numFmt numFmtId="166" formatCode="#,##0.0_);\(#,##0.0\);#,##0.0_);@_)"/>
      <fill>
        <patternFill patternType="none">
          <fgColor indexed="64"/>
          <bgColor auto="1"/>
        </patternFill>
      </fill>
    </dxf>
    <dxf>
      <numFmt numFmtId="3" formatCode="#,##0"/>
    </dxf>
    <dxf>
      <numFmt numFmtId="164" formatCode="0.0%_);\(0.0%\);0.0%_);@_)"/>
    </dxf>
    <dxf>
      <numFmt numFmtId="3" formatCode="#,##0"/>
    </dxf>
    <dxf>
      <numFmt numFmtId="169" formatCode="#,##0_);\(#,##0\);#,##0_);@_)"/>
    </dxf>
    <dxf>
      <numFmt numFmtId="3" formatCode="#,##0"/>
    </dxf>
    <dxf>
      <numFmt numFmtId="164" formatCode="0.0%_);\(0.0%\);0.0%_);@_)"/>
    </dxf>
    <dxf>
      <numFmt numFmtId="3" formatCode="#,##0"/>
    </dxf>
    <dxf>
      <numFmt numFmtId="168" formatCode="0.0%"/>
    </dxf>
    <dxf>
      <numFmt numFmtId="168" formatCode="0.0%"/>
    </dxf>
    <dxf>
      <numFmt numFmtId="166" formatCode="#,##0.0_);\(#,##0.0\);#,##0.0_);@_)"/>
    </dxf>
    <dxf>
      <numFmt numFmtId="168" formatCode="0.0%"/>
    </dxf>
    <dxf>
      <numFmt numFmtId="168" formatCode="0.0%"/>
    </dxf>
    <dxf>
      <numFmt numFmtId="3" formatCode="#,##0"/>
    </dxf>
    <dxf>
      <numFmt numFmtId="3" formatCode="#,##0"/>
    </dxf>
    <dxf>
      <numFmt numFmtId="168" formatCode="0.0%"/>
    </dxf>
    <dxf>
      <numFmt numFmtId="166" formatCode="#,##0.0_);\(#,##0.0\);#,##0.0_);@_)"/>
    </dxf>
    <dxf>
      <numFmt numFmtId="3" formatCode="#,##0"/>
    </dxf>
    <dxf>
      <numFmt numFmtId="3" formatCode="#,##0"/>
    </dxf>
    <dxf>
      <numFmt numFmtId="164" formatCode="0.0%_);\(0.0%\);0.0%_);@_)"/>
    </dxf>
    <dxf>
      <numFmt numFmtId="164" formatCode="0.0%_);\(0.0%\);0.0%_);@_)"/>
    </dxf>
    <dxf>
      <numFmt numFmtId="167" formatCode="_(* #,##0.0_);_(* \(#,##0.0\);_(* &quot;-&quot;??_);_(@_)"/>
    </dxf>
    <dxf>
      <numFmt numFmtId="164" formatCode="0.0%_);\(0.0%\);0.0%_);@_)"/>
    </dxf>
    <dxf>
      <numFmt numFmtId="166" formatCode="#,##0.0_);\(#,##0.0\);#,##0.0_);@_)"/>
    </dxf>
    <dxf>
      <numFmt numFmtId="164" formatCode="0.0%_);\(0.0%\);0.0%_);@_)"/>
    </dxf>
    <dxf>
      <numFmt numFmtId="3" formatCode="#,##0"/>
    </dxf>
    <dxf>
      <numFmt numFmtId="3" formatCode="#,##0"/>
    </dxf>
    <dxf>
      <numFmt numFmtId="164" formatCode="0.0%_);\(0.0%\);0.0%_);@_)"/>
    </dxf>
    <dxf>
      <numFmt numFmtId="3" formatCode="#,##0"/>
    </dxf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0" i="0" u="none" strike="noStrike" kern="1200" spc="0" baseline="0">
                <a:solidFill>
                  <a:srgbClr val="000000"/>
                </a:solidFill>
                <a:latin typeface="Source Sans Pro" panose="020B0503030403020204" pitchFamily="34" charset="0"/>
                <a:ea typeface="Source Sans Pro"/>
                <a:cs typeface="Source Sans Pro"/>
              </a:defRPr>
            </a:pPr>
            <a:r>
              <a:rPr lang="en-GB"/>
              <a:t>Market</a:t>
            </a:r>
            <a:r>
              <a:rPr lang="en-GB" baseline="0"/>
              <a:t> share change (2019-24)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80" b="0" i="0" u="none" strike="noStrike" kern="1200" spc="0" baseline="0">
              <a:solidFill>
                <a:srgbClr val="000000"/>
              </a:solidFill>
              <a:latin typeface="Source Sans Pro" panose="020B0503030403020204" pitchFamily="34" charset="0"/>
              <a:ea typeface="Source Sans Pro"/>
              <a:cs typeface="Source Sans Pro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2E3E80"/>
            </a:solidFill>
            <a:ln w="3175">
              <a:solidFill>
                <a:srgbClr val="2E3E80"/>
              </a:solidFill>
              <a:prstDash val="solid"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'Technomic Top 500 Chains'!$A$2:$A$495</c15:sqref>
                  </c15:fullRef>
                </c:ext>
              </c:extLst>
              <c:f>('Technomic Top 500 Chains'!$A$2:$A$169,'Technomic Top 500 Chains'!$A$171:$A$178,'Technomic Top 500 Chains'!$A$180:$A$207,'Technomic Top 500 Chains'!$A$209:$A$226,'Technomic Top 500 Chains'!$A$228:$A$256,'Technomic Top 500 Chains'!$A$258:$A$259,'Technomic Top 500 Chains'!$A$261:$A$495)</c:f>
              <c:strCache>
                <c:ptCount val="488"/>
                <c:pt idx="0">
                  <c:v>McDonald's</c:v>
                </c:pt>
                <c:pt idx="1">
                  <c:v>Starbucks</c:v>
                </c:pt>
                <c:pt idx="2">
                  <c:v>Chick-fil-A</c:v>
                </c:pt>
                <c:pt idx="3">
                  <c:v>Taco Bell</c:v>
                </c:pt>
                <c:pt idx="4">
                  <c:v>Wendy's</c:v>
                </c:pt>
                <c:pt idx="5">
                  <c:v>Dunkin'</c:v>
                </c:pt>
                <c:pt idx="6">
                  <c:v>Chipotle Mexican Grill</c:v>
                </c:pt>
                <c:pt idx="7">
                  <c:v>Burger King</c:v>
                </c:pt>
                <c:pt idx="8">
                  <c:v>Subway</c:v>
                </c:pt>
                <c:pt idx="9">
                  <c:v>Domino's</c:v>
                </c:pt>
                <c:pt idx="10">
                  <c:v>Panda Express</c:v>
                </c:pt>
                <c:pt idx="11">
                  <c:v>Panera Bread</c:v>
                </c:pt>
                <c:pt idx="12">
                  <c:v>Popeyes</c:v>
                </c:pt>
                <c:pt idx="13">
                  <c:v>Pizza Hut</c:v>
                </c:pt>
                <c:pt idx="14">
                  <c:v>Texas Roadhouse</c:v>
                </c:pt>
                <c:pt idx="15">
                  <c:v>Sonic Drive-In</c:v>
                </c:pt>
                <c:pt idx="16">
                  <c:v>Olive Garden</c:v>
                </c:pt>
                <c:pt idx="17">
                  <c:v>Raising Cane's</c:v>
                </c:pt>
                <c:pt idx="18">
                  <c:v>Dairy Queen</c:v>
                </c:pt>
                <c:pt idx="19">
                  <c:v>KFC</c:v>
                </c:pt>
                <c:pt idx="20">
                  <c:v>Chili's Grill &amp; Bar</c:v>
                </c:pt>
                <c:pt idx="21">
                  <c:v>Little Caesars</c:v>
                </c:pt>
                <c:pt idx="22">
                  <c:v>Jack in the Box</c:v>
                </c:pt>
                <c:pt idx="23">
                  <c:v>Wingstop</c:v>
                </c:pt>
                <c:pt idx="24">
                  <c:v>Arby's</c:v>
                </c:pt>
                <c:pt idx="25">
                  <c:v>Whataburger</c:v>
                </c:pt>
                <c:pt idx="26">
                  <c:v>Applebee's</c:v>
                </c:pt>
                <c:pt idx="27">
                  <c:v>Buffalo Wild Wings</c:v>
                </c:pt>
                <c:pt idx="28">
                  <c:v>Culver's</c:v>
                </c:pt>
                <c:pt idx="29">
                  <c:v>Jersey Mike's Subs</c:v>
                </c:pt>
                <c:pt idx="30">
                  <c:v>Papa Johns</c:v>
                </c:pt>
                <c:pt idx="31">
                  <c:v>IHOP</c:v>
                </c:pt>
                <c:pt idx="32">
                  <c:v>LongHorn Steakhouse</c:v>
                </c:pt>
                <c:pt idx="33">
                  <c:v>Cracker Barrel</c:v>
                </c:pt>
                <c:pt idx="34">
                  <c:v>Outback Steakhouse</c:v>
                </c:pt>
                <c:pt idx="35">
                  <c:v>Denny's</c:v>
                </c:pt>
                <c:pt idx="36">
                  <c:v>Cheesecake Factory, The</c:v>
                </c:pt>
                <c:pt idx="37">
                  <c:v>Jimmy John's</c:v>
                </c:pt>
                <c:pt idx="38">
                  <c:v>Zaxby's</c:v>
                </c:pt>
                <c:pt idx="39">
                  <c:v>Five Guys</c:v>
                </c:pt>
                <c:pt idx="40">
                  <c:v>Bojangles</c:v>
                </c:pt>
                <c:pt idx="41">
                  <c:v>In-N-Out Burger</c:v>
                </c:pt>
                <c:pt idx="42">
                  <c:v>Hardee's</c:v>
                </c:pt>
                <c:pt idx="43">
                  <c:v>Dutch Bros Coffee</c:v>
                </c:pt>
                <c:pt idx="44">
                  <c:v>Red Lobster</c:v>
                </c:pt>
                <c:pt idx="45">
                  <c:v>Golden Corral</c:v>
                </c:pt>
                <c:pt idx="46">
                  <c:v>Carl's Jr.</c:v>
                </c:pt>
                <c:pt idx="47">
                  <c:v>Red Robin</c:v>
                </c:pt>
                <c:pt idx="48">
                  <c:v>Tropical Smoothie Cafe</c:v>
                </c:pt>
                <c:pt idx="49">
                  <c:v>Waffle House</c:v>
                </c:pt>
                <c:pt idx="50">
                  <c:v>BJ's Restaurant &amp; Brewhouse</c:v>
                </c:pt>
                <c:pt idx="51">
                  <c:v>Shake Shack</c:v>
                </c:pt>
                <c:pt idx="52">
                  <c:v>Crumbl</c:v>
                </c:pt>
                <c:pt idx="53">
                  <c:v>Qdoba Mexican Eats</c:v>
                </c:pt>
                <c:pt idx="54">
                  <c:v>First Watch</c:v>
                </c:pt>
                <c:pt idx="55">
                  <c:v>Firehouse Subs</c:v>
                </c:pt>
                <c:pt idx="56">
                  <c:v>El Pollo Loco</c:v>
                </c:pt>
                <c:pt idx="57">
                  <c:v>Marco's Pizza</c:v>
                </c:pt>
                <c:pt idx="58">
                  <c:v>McAlister's Deli</c:v>
                </c:pt>
                <c:pt idx="59">
                  <c:v>Freddy's Frozen Custard &amp; Steakburgers</c:v>
                </c:pt>
                <c:pt idx="60">
                  <c:v>P.F. Chang's</c:v>
                </c:pt>
                <c:pt idx="61">
                  <c:v>Del Taco</c:v>
                </c:pt>
                <c:pt idx="62">
                  <c:v>Cava</c:v>
                </c:pt>
                <c:pt idx="63">
                  <c:v>Nothing Bundt Cakes</c:v>
                </c:pt>
                <c:pt idx="64">
                  <c:v>Yard House</c:v>
                </c:pt>
                <c:pt idx="65">
                  <c:v>Church's Texas Chicken</c:v>
                </c:pt>
                <c:pt idx="66">
                  <c:v>Ruth's Chris Steak House</c:v>
                </c:pt>
                <c:pt idx="67">
                  <c:v>Auntie Anne's</c:v>
                </c:pt>
                <c:pt idx="68">
                  <c:v>Tim Hortons</c:v>
                </c:pt>
                <c:pt idx="69">
                  <c:v>Cheddar's Scratch Kitchen</c:v>
                </c:pt>
                <c:pt idx="70">
                  <c:v>Smoothie King</c:v>
                </c:pt>
                <c:pt idx="71">
                  <c:v>Bob Evans</c:v>
                </c:pt>
                <c:pt idx="72">
                  <c:v>Steak 'n Shake</c:v>
                </c:pt>
                <c:pt idx="73">
                  <c:v>Krispy Kreme</c:v>
                </c:pt>
                <c:pt idx="74">
                  <c:v>Charleys Cheesesteaks</c:v>
                </c:pt>
                <c:pt idx="75">
                  <c:v>Carrabba's Italian Grill</c:v>
                </c:pt>
                <c:pt idx="76">
                  <c:v>Papa Murphy's Pizza</c:v>
                </c:pt>
                <c:pt idx="77">
                  <c:v>Scooter's Coffee</c:v>
                </c:pt>
                <c:pt idx="78">
                  <c:v>Moe's Southwest Grill</c:v>
                </c:pt>
                <c:pt idx="79">
                  <c:v>Habit Burger &amp; Grill</c:v>
                </c:pt>
                <c:pt idx="80">
                  <c:v>Portillo's</c:v>
                </c:pt>
                <c:pt idx="81">
                  <c:v>Baskin-Robbins</c:v>
                </c:pt>
                <c:pt idx="82">
                  <c:v>Hooters</c:v>
                </c:pt>
                <c:pt idx="83">
                  <c:v>Sweetgreen</c:v>
                </c:pt>
                <c:pt idx="84">
                  <c:v>Jason's Deli</c:v>
                </c:pt>
                <c:pt idx="85">
                  <c:v>Fogo de Chao</c:v>
                </c:pt>
                <c:pt idx="86">
                  <c:v>White Castle</c:v>
                </c:pt>
                <c:pt idx="87">
                  <c:v>Einstein Bros. Bagels</c:v>
                </c:pt>
                <c:pt idx="88">
                  <c:v>Dave's Hot Chicken</c:v>
                </c:pt>
                <c:pt idx="89">
                  <c:v>Cooper's Hawk Winery &amp; Restaurants</c:v>
                </c:pt>
                <c:pt idx="90">
                  <c:v>Noodles &amp; Company</c:v>
                </c:pt>
                <c:pt idx="91">
                  <c:v>Dave &amp; Buster's</c:v>
                </c:pt>
                <c:pt idx="92">
                  <c:v>Miller's Ale House</c:v>
                </c:pt>
                <c:pt idx="93">
                  <c:v>Jack's Family Restaurants</c:v>
                </c:pt>
                <c:pt idx="94">
                  <c:v>MOD Pizza</c:v>
                </c:pt>
                <c:pt idx="95">
                  <c:v>Capital Grille, The</c:v>
                </c:pt>
                <c:pt idx="96">
                  <c:v>Twin Peaks</c:v>
                </c:pt>
                <c:pt idx="97">
                  <c:v>Cold Stone Creamery</c:v>
                </c:pt>
                <c:pt idx="98">
                  <c:v>Potbelly Sandwich Shop</c:v>
                </c:pt>
                <c:pt idx="99">
                  <c:v>Jet's Pizza</c:v>
                </c:pt>
                <c:pt idx="100">
                  <c:v>Checkers</c:v>
                </c:pt>
                <c:pt idx="101">
                  <c:v>Captain D's Seafood Kitchen</c:v>
                </c:pt>
                <c:pt idx="102">
                  <c:v>Bonefish Grill</c:v>
                </c:pt>
                <c:pt idx="103">
                  <c:v>Torchy's Tacos</c:v>
                </c:pt>
                <c:pt idx="104">
                  <c:v>Benihana</c:v>
                </c:pt>
                <c:pt idx="105">
                  <c:v>Maggiano's Little Italy</c:v>
                </c:pt>
                <c:pt idx="106">
                  <c:v>Perkins American Food Co.</c:v>
                </c:pt>
                <c:pt idx="107">
                  <c:v>7 Brew Drive Thru Coffee</c:v>
                </c:pt>
                <c:pt idx="108">
                  <c:v>Saltgrass Steak House</c:v>
                </c:pt>
                <c:pt idx="109">
                  <c:v>Chuy's</c:v>
                </c:pt>
                <c:pt idx="110">
                  <c:v>Jamba</c:v>
                </c:pt>
                <c:pt idx="111">
                  <c:v>Paris Baguette</c:v>
                </c:pt>
                <c:pt idx="112">
                  <c:v>Slim Chickens</c:v>
                </c:pt>
                <c:pt idx="113">
                  <c:v>Topgolf</c:v>
                </c:pt>
                <c:pt idx="114">
                  <c:v>Black Bear Diner</c:v>
                </c:pt>
                <c:pt idx="115">
                  <c:v>Hungry Howie's Pizza</c:v>
                </c:pt>
                <c:pt idx="116">
                  <c:v>Round Table Pizza</c:v>
                </c:pt>
                <c:pt idx="117">
                  <c:v>Taco John's</c:v>
                </c:pt>
                <c:pt idx="118">
                  <c:v>Din Tai Fung</c:v>
                </c:pt>
                <c:pt idx="119">
                  <c:v>Chuck E. Cheese</c:v>
                </c:pt>
                <c:pt idx="120">
                  <c:v>Texas de Brazil</c:v>
                </c:pt>
                <c:pt idx="121">
                  <c:v>TGI Fridays</c:v>
                </c:pt>
                <c:pt idx="122">
                  <c:v>California Pizza Kitchen</c:v>
                </c:pt>
                <c:pt idx="123">
                  <c:v>Lazy Dog Restaurant &amp; Bar</c:v>
                </c:pt>
                <c:pt idx="124">
                  <c:v>Honey Baked Ham Co.</c:v>
                </c:pt>
                <c:pt idx="125">
                  <c:v>KPOT Korean BBQ &amp; Hot Pot</c:v>
                </c:pt>
                <c:pt idx="126">
                  <c:v>Chicken Salad Chick</c:v>
                </c:pt>
                <c:pt idx="127">
                  <c:v>Caribou Coffee</c:v>
                </c:pt>
                <c:pt idx="128">
                  <c:v>Cafe Rio Mexican Grill</c:v>
                </c:pt>
                <c:pt idx="129">
                  <c:v>Mellow Mushroom</c:v>
                </c:pt>
                <c:pt idx="130">
                  <c:v>Firebirds Wood Fired Grill</c:v>
                </c:pt>
                <c:pt idx="131">
                  <c:v>Logan's Roadhouse</c:v>
                </c:pt>
                <c:pt idx="132">
                  <c:v>Cook Out</c:v>
                </c:pt>
                <c:pt idx="133">
                  <c:v>Fleming's Prime Steakhouse &amp; Wine Bar</c:v>
                </c:pt>
                <c:pt idx="134">
                  <c:v>Pizza Ranch</c:v>
                </c:pt>
                <c:pt idx="135">
                  <c:v>Mountain Mike's Pizza</c:v>
                </c:pt>
                <c:pt idx="136">
                  <c:v>Blaze Pizza</c:v>
                </c:pt>
                <c:pt idx="137">
                  <c:v>Wienerschnitzel</c:v>
                </c:pt>
                <c:pt idx="138">
                  <c:v>Walk-On's Sports Bistreaux</c:v>
                </c:pt>
                <c:pt idx="139">
                  <c:v>Schlotzsky's</c:v>
                </c:pt>
                <c:pt idx="140">
                  <c:v>Pollo Tropical</c:v>
                </c:pt>
                <c:pt idx="141">
                  <c:v>Pollo Campero</c:v>
                </c:pt>
                <c:pt idx="142">
                  <c:v>Jollibee</c:v>
                </c:pt>
                <c:pt idx="143">
                  <c:v>Mastro's Restaurants</c:v>
                </c:pt>
                <c:pt idx="144">
                  <c:v>True Food Kitchen</c:v>
                </c:pt>
                <c:pt idx="145">
                  <c:v>Biggby Coffee</c:v>
                </c:pt>
                <c:pt idx="146">
                  <c:v>Shipley Do-Nuts</c:v>
                </c:pt>
                <c:pt idx="147">
                  <c:v>Rally's</c:v>
                </c:pt>
                <c:pt idx="148">
                  <c:v>Golden Chick</c:v>
                </c:pt>
                <c:pt idx="149">
                  <c:v>Seasons 52</c:v>
                </c:pt>
                <c:pt idx="150">
                  <c:v>Peet's Coffee</c:v>
                </c:pt>
                <c:pt idx="151">
                  <c:v>North Italia</c:v>
                </c:pt>
                <c:pt idx="152">
                  <c:v>Bubba's 33</c:v>
                </c:pt>
                <c:pt idx="153">
                  <c:v>Playa Bowls</c:v>
                </c:pt>
                <c:pt idx="154">
                  <c:v>Ninety Nine Restaurant &amp; Pub</c:v>
                </c:pt>
                <c:pt idx="155">
                  <c:v>Famous Dave's</c:v>
                </c:pt>
                <c:pt idx="156">
                  <c:v>Krystal Company</c:v>
                </c:pt>
                <c:pt idx="157">
                  <c:v>Perry's Steakhouse &amp; Grille</c:v>
                </c:pt>
                <c:pt idx="158">
                  <c:v>Ruby Tuesday</c:v>
                </c:pt>
                <c:pt idx="159">
                  <c:v>Wetzel's Pretzels</c:v>
                </c:pt>
                <c:pt idx="160">
                  <c:v>Cinnabon</c:v>
                </c:pt>
                <c:pt idx="161">
                  <c:v>Braum's Ice Cream &amp; Dairy Stores</c:v>
                </c:pt>
                <c:pt idx="162">
                  <c:v>Eddie V's Prime Seafood</c:v>
                </c:pt>
                <c:pt idx="163">
                  <c:v>Long John Silver's</c:v>
                </c:pt>
                <c:pt idx="164">
                  <c:v>Fazoli's</c:v>
                </c:pt>
                <c:pt idx="165">
                  <c:v>Mendocino Farms</c:v>
                </c:pt>
                <c:pt idx="166">
                  <c:v>J. Alexander's</c:v>
                </c:pt>
                <c:pt idx="167">
                  <c:v>Dickey's Barbecue Pit</c:v>
                </c:pt>
                <c:pt idx="168">
                  <c:v>Godfather's Pizza</c:v>
                </c:pt>
                <c:pt idx="169">
                  <c:v>Penn Station East Coast Subs</c:v>
                </c:pt>
                <c:pt idx="170">
                  <c:v>A&amp;W All American Food</c:v>
                </c:pt>
                <c:pt idx="171">
                  <c:v>Morton's The Steakhouse</c:v>
                </c:pt>
                <c:pt idx="172">
                  <c:v>Sbarro</c:v>
                </c:pt>
                <c:pt idx="173">
                  <c:v>Salad and Go</c:v>
                </c:pt>
                <c:pt idx="174">
                  <c:v>Cicis</c:v>
                </c:pt>
                <c:pt idx="175">
                  <c:v>Bahama Breeze Island Grille</c:v>
                </c:pt>
                <c:pt idx="176">
                  <c:v>bb.q Chicken</c:v>
                </c:pt>
                <c:pt idx="177">
                  <c:v>Ono Hawaiian BBQ</c:v>
                </c:pt>
                <c:pt idx="178">
                  <c:v>Farmer Boys</c:v>
                </c:pt>
                <c:pt idx="179">
                  <c:v>Kura Sushi</c:v>
                </c:pt>
                <c:pt idx="180">
                  <c:v>L&amp;L Hawaiian Barbecue</c:v>
                </c:pt>
                <c:pt idx="181">
                  <c:v>Del Frisco's Double Eagle Steak House</c:v>
                </c:pt>
                <c:pt idx="182">
                  <c:v>City Barbeque</c:v>
                </c:pt>
                <c:pt idx="183">
                  <c:v>Nobu Restaurants</c:v>
                </c:pt>
                <c:pt idx="184">
                  <c:v>Smashburger</c:v>
                </c:pt>
                <c:pt idx="185">
                  <c:v>Lee's Famous Recipe Chicken</c:v>
                </c:pt>
                <c:pt idx="186">
                  <c:v>Ocean Prime</c:v>
                </c:pt>
                <c:pt idx="187">
                  <c:v>Donatos Pizza</c:v>
                </c:pt>
                <c:pt idx="188">
                  <c:v>On The Border</c:v>
                </c:pt>
                <c:pt idx="189">
                  <c:v>Coffee Bean &amp; Tea Leaf</c:v>
                </c:pt>
                <c:pt idx="190">
                  <c:v>Hook &amp; Reel</c:v>
                </c:pt>
                <c:pt idx="191">
                  <c:v>Pappadeaux Seafood Kitchen</c:v>
                </c:pt>
                <c:pt idx="192">
                  <c:v>Tous Les Jours</c:v>
                </c:pt>
                <c:pt idx="193">
                  <c:v>STK</c:v>
                </c:pt>
                <c:pt idx="194">
                  <c:v>Beef 'O' Brady's</c:v>
                </c:pt>
                <c:pt idx="195">
                  <c:v>Newk's Eatery</c:v>
                </c:pt>
                <c:pt idx="196">
                  <c:v>Taco Cabana</c:v>
                </c:pt>
                <c:pt idx="197">
                  <c:v>Kung Fu Tea</c:v>
                </c:pt>
                <c:pt idx="198">
                  <c:v>Pei Wei</c:v>
                </c:pt>
                <c:pt idx="199">
                  <c:v>Huddle House</c:v>
                </c:pt>
                <c:pt idx="200">
                  <c:v>Corner Bakery</c:v>
                </c:pt>
                <c:pt idx="201">
                  <c:v>Andy's Frozen Custard</c:v>
                </c:pt>
                <c:pt idx="202">
                  <c:v>Gen Korean BBQ</c:v>
                </c:pt>
                <c:pt idx="203">
                  <c:v>Bonchon</c:v>
                </c:pt>
                <c:pt idx="204">
                  <c:v>Snooze, an A.M. Eatery</c:v>
                </c:pt>
                <c:pt idx="205">
                  <c:v>Another Broken Egg Cafe</c:v>
                </c:pt>
                <c:pt idx="206">
                  <c:v>Original Pancake House, The</c:v>
                </c:pt>
                <c:pt idx="207">
                  <c:v>Rita's Ice</c:v>
                </c:pt>
                <c:pt idx="208">
                  <c:v>Melting Pot</c:v>
                </c:pt>
                <c:pt idx="209">
                  <c:v>La Madeleine</c:v>
                </c:pt>
                <c:pt idx="210">
                  <c:v>Costa Vida Fresh Mexican Grill</c:v>
                </c:pt>
                <c:pt idx="211">
                  <c:v>Lupe Tortilla</c:v>
                </c:pt>
                <c:pt idx="212">
                  <c:v>Fuzzy's Taco Shop</c:v>
                </c:pt>
                <c:pt idx="213">
                  <c:v>Panini Kabob Grill</c:v>
                </c:pt>
                <c:pt idx="214">
                  <c:v>Just Salad</c:v>
                </c:pt>
                <c:pt idx="215">
                  <c:v>Wayback Burgers</c:v>
                </c:pt>
                <c:pt idx="216">
                  <c:v>54th Street Restaurant &amp; Drafthouse</c:v>
                </c:pt>
                <c:pt idx="217">
                  <c:v>Taziki's Mediterranean Cafe</c:v>
                </c:pt>
                <c:pt idx="218">
                  <c:v>Bruegger's Bagels</c:v>
                </c:pt>
                <c:pt idx="219">
                  <c:v>Sonny's BBQ</c:v>
                </c:pt>
                <c:pt idx="220">
                  <c:v>Chopt</c:v>
                </c:pt>
                <c:pt idx="221">
                  <c:v>Bartaco</c:v>
                </c:pt>
                <c:pt idx="222">
                  <c:v>WaBa Grill</c:v>
                </c:pt>
                <c:pt idx="223">
                  <c:v>Condado Tacos</c:v>
                </c:pt>
                <c:pt idx="224">
                  <c:v>Mission BBQ</c:v>
                </c:pt>
                <c:pt idx="225">
                  <c:v>Bill Miller Bar-B-Q</c:v>
                </c:pt>
                <c:pt idx="226">
                  <c:v>Jinya Ramen Bar</c:v>
                </c:pt>
                <c:pt idx="227">
                  <c:v>Bar Louie</c:v>
                </c:pt>
                <c:pt idx="228">
                  <c:v>Rubio's</c:v>
                </c:pt>
                <c:pt idx="229">
                  <c:v>Boiling Crab</c:v>
                </c:pt>
                <c:pt idx="230">
                  <c:v>Village Inn</c:v>
                </c:pt>
                <c:pt idx="231">
                  <c:v>LaRosa's Pizzeria</c:v>
                </c:pt>
                <c:pt idx="232">
                  <c:v>Black Rock Coffee Bar</c:v>
                </c:pt>
                <c:pt idx="233">
                  <c:v>Pret A Manger</c:v>
                </c:pt>
                <c:pt idx="234">
                  <c:v>Nekter Juice Bar</c:v>
                </c:pt>
                <c:pt idx="235">
                  <c:v>Metro Diner</c:v>
                </c:pt>
                <c:pt idx="236">
                  <c:v>Carvel Ice Cream</c:v>
                </c:pt>
                <c:pt idx="237">
                  <c:v>Roosters Wings</c:v>
                </c:pt>
                <c:pt idx="238">
                  <c:v>Teriyaki Madness</c:v>
                </c:pt>
                <c:pt idx="239">
                  <c:v>Great American Cookies</c:v>
                </c:pt>
                <c:pt idx="240">
                  <c:v>Buca di Beppo</c:v>
                </c:pt>
                <c:pt idx="241">
                  <c:v>Smokey Bones</c:v>
                </c:pt>
                <c:pt idx="242">
                  <c:v>Old Chicago Pizza + Taproom</c:v>
                </c:pt>
                <c:pt idx="243">
                  <c:v>Runza</c:v>
                </c:pt>
                <c:pt idx="244">
                  <c:v>Human Bean, The</c:v>
                </c:pt>
                <c:pt idx="245">
                  <c:v>O'Charley's</c:v>
                </c:pt>
                <c:pt idx="246">
                  <c:v>Hopdoddy Burger Bar</c:v>
                </c:pt>
                <c:pt idx="247">
                  <c:v>PDQ Chicken</c:v>
                </c:pt>
                <c:pt idx="248">
                  <c:v>American Deli</c:v>
                </c:pt>
                <c:pt idx="249">
                  <c:v>BurgerFi</c:v>
                </c:pt>
                <c:pt idx="250">
                  <c:v>Aroma Joe's</c:v>
                </c:pt>
                <c:pt idx="251">
                  <c:v>Burgerville</c:v>
                </c:pt>
                <c:pt idx="252">
                  <c:v>Philz Coffee</c:v>
                </c:pt>
                <c:pt idx="253">
                  <c:v>PJ's Coffee of New Orleans</c:v>
                </c:pt>
                <c:pt idx="254">
                  <c:v>Mooyah</c:v>
                </c:pt>
                <c:pt idx="255">
                  <c:v>Ziggi's Coffee</c:v>
                </c:pt>
                <c:pt idx="256">
                  <c:v>Bluestone Lane</c:v>
                </c:pt>
                <c:pt idx="257">
                  <c:v>Au Bon Pain</c:v>
                </c:pt>
                <c:pt idx="258">
                  <c:v>Hat Creek Burger Co.</c:v>
                </c:pt>
                <c:pt idx="259">
                  <c:v>Fuddruckers</c:v>
                </c:pt>
                <c:pt idx="260">
                  <c:v>Wahlburgers</c:v>
                </c:pt>
                <c:pt idx="261">
                  <c:v>Hawaiian Bros Island Grill</c:v>
                </c:pt>
                <c:pt idx="262">
                  <c:v>Johnny's New York Style Pizza</c:v>
                </c:pt>
                <c:pt idx="263">
                  <c:v>HTeaO</c:v>
                </c:pt>
                <c:pt idx="264">
                  <c:v>Crisp &amp; Green</c:v>
                </c:pt>
                <c:pt idx="265">
                  <c:v>Nick the Greek</c:v>
                </c:pt>
                <c:pt idx="266">
                  <c:v>Huey Magoo's</c:v>
                </c:pt>
                <c:pt idx="267">
                  <c:v>Crafty Crab</c:v>
                </c:pt>
                <c:pt idx="268">
                  <c:v>Jeremiah's Italian Ice</c:v>
                </c:pt>
                <c:pt idx="269">
                  <c:v>Huckleberry's</c:v>
                </c:pt>
                <c:pt idx="270">
                  <c:v>Super Chix</c:v>
                </c:pt>
                <c:pt idx="271">
                  <c:v>Bubbakoo's Burritos</c:v>
                </c:pt>
                <c:pt idx="272">
                  <c:v>Barrio Tacos</c:v>
                </c:pt>
                <c:pt idx="273">
                  <c:v>Swig</c:v>
                </c:pt>
                <c:pt idx="274">
                  <c:v>Handel's Homemade Ice Cream</c:v>
                </c:pt>
                <c:pt idx="275">
                  <c:v>Gong Cha</c:v>
                </c:pt>
                <c:pt idx="276">
                  <c:v>WNB Factory</c:v>
                </c:pt>
                <c:pt idx="277">
                  <c:v>Cheba Hut</c:v>
                </c:pt>
                <c:pt idx="278">
                  <c:v>Hawkers Asian Street Food</c:v>
                </c:pt>
                <c:pt idx="279">
                  <c:v>Eggs Up Grill</c:v>
                </c:pt>
                <c:pt idx="280">
                  <c:v>Toasted Yolk Cafe, The</c:v>
                </c:pt>
                <c:pt idx="281">
                  <c:v>Emmy Squared Pizza</c:v>
                </c:pt>
                <c:pt idx="282">
                  <c:v>Clean Eatz</c:v>
                </c:pt>
                <c:pt idx="283">
                  <c:v>Sharetea</c:v>
                </c:pt>
                <c:pt idx="284">
                  <c:v>Ruby Slipper Cafe</c:v>
                </c:pt>
                <c:pt idx="285">
                  <c:v>Ford's Garage</c:v>
                </c:pt>
                <c:pt idx="286">
                  <c:v>Clean Juice</c:v>
                </c:pt>
                <c:pt idx="287">
                  <c:v>Mo'Bettahs</c:v>
                </c:pt>
                <c:pt idx="288">
                  <c:v>Capriotti's Sandwich Shop</c:v>
                </c:pt>
                <c:pt idx="289">
                  <c:v>Rock N Roll Sushi</c:v>
                </c:pt>
                <c:pt idx="290">
                  <c:v>Postino WineCafe</c:v>
                </c:pt>
                <c:pt idx="291">
                  <c:v>Maple Street Biscuit Company</c:v>
                </c:pt>
                <c:pt idx="292">
                  <c:v>Hampton Social, The</c:v>
                </c:pt>
                <c:pt idx="293">
                  <c:v>Honeygrow</c:v>
                </c:pt>
                <c:pt idx="294">
                  <c:v>Velvet Taco</c:v>
                </c:pt>
                <c:pt idx="295">
                  <c:v>Tupelo Honey Southern Kitchen &amp; Bar</c:v>
                </c:pt>
                <c:pt idx="296">
                  <c:v>Board &amp; Brew</c:v>
                </c:pt>
                <c:pt idx="297">
                  <c:v>Bombshells</c:v>
                </c:pt>
                <c:pt idx="298">
                  <c:v>110 Grill</c:v>
                </c:pt>
                <c:pt idx="299">
                  <c:v>California Fish Grill</c:v>
                </c:pt>
                <c:pt idx="300">
                  <c:v>Pokeworks</c:v>
                </c:pt>
                <c:pt idx="301">
                  <c:v>Dog Haus</c:v>
                </c:pt>
                <c:pt idx="302">
                  <c:v>Juicy Crab, The</c:v>
                </c:pt>
                <c:pt idx="303">
                  <c:v>Ike's Love &amp; Sandwiches</c:v>
                </c:pt>
                <c:pt idx="304">
                  <c:v>Bruster's Real Ice Cream</c:v>
                </c:pt>
                <c:pt idx="305">
                  <c:v>Gus's Fried Chicken</c:v>
                </c:pt>
                <c:pt idx="306">
                  <c:v>Jeni's Splendid Ice Creams</c:v>
                </c:pt>
                <c:pt idx="307">
                  <c:v>Bibibop Asian Grill</c:v>
                </c:pt>
                <c:pt idx="308">
                  <c:v>Angry Crab Shack</c:v>
                </c:pt>
                <c:pt idx="309">
                  <c:v>Main Event</c:v>
                </c:pt>
                <c:pt idx="310">
                  <c:v>Pancheros Mexican Grill</c:v>
                </c:pt>
                <c:pt idx="311">
                  <c:v>Epic Wings</c:v>
                </c:pt>
                <c:pt idx="312">
                  <c:v>Blue Sushi Sake Grill</c:v>
                </c:pt>
                <c:pt idx="313">
                  <c:v>&amp;pizza</c:v>
                </c:pt>
                <c:pt idx="314">
                  <c:v>Culinary Dropout</c:v>
                </c:pt>
                <c:pt idx="315">
                  <c:v>Lou Malnati's</c:v>
                </c:pt>
                <c:pt idx="316">
                  <c:v>Flower Child</c:v>
                </c:pt>
                <c:pt idx="317">
                  <c:v>Pizza Guys</c:v>
                </c:pt>
                <c:pt idx="318">
                  <c:v>Ojos Locos Sports Cantina</c:v>
                </c:pt>
                <c:pt idx="319">
                  <c:v>Piada Italian Street Food</c:v>
                </c:pt>
                <c:pt idx="320">
                  <c:v>Dion's Pizza</c:v>
                </c:pt>
                <c:pt idx="321">
                  <c:v>Flanigan's</c:v>
                </c:pt>
                <c:pt idx="322">
                  <c:v>Red Ribbon Bakeshop</c:v>
                </c:pt>
                <c:pt idx="323">
                  <c:v>Thirsty Lion Gastropub</c:v>
                </c:pt>
                <c:pt idx="324">
                  <c:v>Pinstripes</c:v>
                </c:pt>
                <c:pt idx="325">
                  <c:v>Silver Diner</c:v>
                </c:pt>
                <c:pt idx="326">
                  <c:v>Cousins Subs</c:v>
                </c:pt>
                <c:pt idx="327">
                  <c:v>Bricktown Brewery</c:v>
                </c:pt>
                <c:pt idx="328">
                  <c:v>Toppers Pizza</c:v>
                </c:pt>
                <c:pt idx="329">
                  <c:v>Barcelona Wine Bar</c:v>
                </c:pt>
                <c:pt idx="330">
                  <c:v>Duck Donuts</c:v>
                </c:pt>
                <c:pt idx="331">
                  <c:v>Mr. Gatti's Pizza</c:v>
                </c:pt>
                <c:pt idx="332">
                  <c:v>Brass Tap, The</c:v>
                </c:pt>
                <c:pt idx="333">
                  <c:v>Kolache Factory</c:v>
                </c:pt>
                <c:pt idx="334">
                  <c:v>Nathan's Famous</c:v>
                </c:pt>
                <c:pt idx="335">
                  <c:v>Broken Yolk Cafe</c:v>
                </c:pt>
                <c:pt idx="336">
                  <c:v>Cafe Zupas</c:v>
                </c:pt>
                <c:pt idx="337">
                  <c:v>Glory Days Grill</c:v>
                </c:pt>
                <c:pt idx="338">
                  <c:v>Kilwins</c:v>
                </c:pt>
                <c:pt idx="339">
                  <c:v>Mr. Pickle's Sandwich Shop</c:v>
                </c:pt>
                <c:pt idx="340">
                  <c:v>Bahama Buck's</c:v>
                </c:pt>
                <c:pt idx="341">
                  <c:v>Urban Plates</c:v>
                </c:pt>
                <c:pt idx="342">
                  <c:v>Halal Guys, The</c:v>
                </c:pt>
                <c:pt idx="343">
                  <c:v>P.J. Whelihan's Pub &amp; Restaurant</c:v>
                </c:pt>
                <c:pt idx="344">
                  <c:v>PrimoHoagies</c:v>
                </c:pt>
                <c:pt idx="345">
                  <c:v>Noah's Bagels</c:v>
                </c:pt>
                <c:pt idx="346">
                  <c:v>Salata</c:v>
                </c:pt>
                <c:pt idx="347">
                  <c:v>Gyu-Kaku</c:v>
                </c:pt>
                <c:pt idx="348">
                  <c:v>Biscuitville Fresh Southern</c:v>
                </c:pt>
                <c:pt idx="349">
                  <c:v>Wings Etc. Grill &amp; Pub</c:v>
                </c:pt>
                <c:pt idx="350">
                  <c:v>Iron Hill Brewery &amp; Restaurant</c:v>
                </c:pt>
                <c:pt idx="351">
                  <c:v>Rudy's Texas Bar-B-Q</c:v>
                </c:pt>
                <c:pt idx="352">
                  <c:v>Grimaldi's Pizzeria</c:v>
                </c:pt>
                <c:pt idx="353">
                  <c:v>Burtons Grill &amp; Bar</c:v>
                </c:pt>
                <c:pt idx="354">
                  <c:v>Bad Daddy's Burger Bar</c:v>
                </c:pt>
                <c:pt idx="355">
                  <c:v>Yum Yum Donut Shops</c:v>
                </c:pt>
                <c:pt idx="356">
                  <c:v>Keke's Breakfast Cafe</c:v>
                </c:pt>
                <c:pt idx="357">
                  <c:v>Pluckers Wing Bar</c:v>
                </c:pt>
                <c:pt idx="358">
                  <c:v>Ledo Pizza</c:v>
                </c:pt>
                <c:pt idx="359">
                  <c:v>Plaza Azteca</c:v>
                </c:pt>
                <c:pt idx="360">
                  <c:v>Simple Simon's Pizza</c:v>
                </c:pt>
                <c:pt idx="361">
                  <c:v>Jefferson's Restaurant</c:v>
                </c:pt>
                <c:pt idx="362">
                  <c:v>Rodizio Grill</c:v>
                </c:pt>
                <c:pt idx="363">
                  <c:v>Primanti Bros.</c:v>
                </c:pt>
                <c:pt idx="364">
                  <c:v>Elmer's Restaurants</c:v>
                </c:pt>
                <c:pt idx="365">
                  <c:v>Sullivan's Steakhouse</c:v>
                </c:pt>
                <c:pt idx="366">
                  <c:v>Pal's Sudden Service</c:v>
                </c:pt>
                <c:pt idx="367">
                  <c:v>Eureka! Restaurants</c:v>
                </c:pt>
                <c:pt idx="368">
                  <c:v>Hot Head Burritos</c:v>
                </c:pt>
                <c:pt idx="369">
                  <c:v>Kona Grill</c:v>
                </c:pt>
                <c:pt idx="370">
                  <c:v>Taco Casa</c:v>
                </c:pt>
                <c:pt idx="371">
                  <c:v>Pizza Factory</c:v>
                </c:pt>
                <c:pt idx="372">
                  <c:v>Rosa's Cafe Tortilla Factory</c:v>
                </c:pt>
                <c:pt idx="373">
                  <c:v>Jim 'N Nick's Bar-B-Q</c:v>
                </c:pt>
                <c:pt idx="374">
                  <c:v>Marble Slab Creamery</c:v>
                </c:pt>
                <c:pt idx="375">
                  <c:v>Pizza Inn</c:v>
                </c:pt>
                <c:pt idx="376">
                  <c:v>Rosati's Pizza</c:v>
                </c:pt>
                <c:pt idx="377">
                  <c:v>Fatburger</c:v>
                </c:pt>
                <c:pt idx="378">
                  <c:v>Port of Subs</c:v>
                </c:pt>
                <c:pt idx="379">
                  <c:v>Rusty Bucket Restaurant and Tavern</c:v>
                </c:pt>
                <c:pt idx="380">
                  <c:v>Rib &amp; Chop House</c:v>
                </c:pt>
                <c:pt idx="381">
                  <c:v>Wings and Rings</c:v>
                </c:pt>
                <c:pt idx="382">
                  <c:v>Buona</c:v>
                </c:pt>
                <c:pt idx="383">
                  <c:v>Skyline Chili</c:v>
                </c:pt>
                <c:pt idx="384">
                  <c:v>Red Crab Juicy Seafood</c:v>
                </c:pt>
                <c:pt idx="385">
                  <c:v>Mi Cocina</c:v>
                </c:pt>
                <c:pt idx="386">
                  <c:v>Nando's</c:v>
                </c:pt>
                <c:pt idx="387">
                  <c:v>Saladworks</c:v>
                </c:pt>
                <c:pt idx="388">
                  <c:v>Chicken Express</c:v>
                </c:pt>
                <c:pt idx="389">
                  <c:v>Gloria's Latin Cuisine</c:v>
                </c:pt>
                <c:pt idx="390">
                  <c:v>Boiling Point</c:v>
                </c:pt>
                <c:pt idx="391">
                  <c:v>Serafina</c:v>
                </c:pt>
                <c:pt idx="392">
                  <c:v>Peter Piper Pizza</c:v>
                </c:pt>
                <c:pt idx="393">
                  <c:v>Truluck's</c:v>
                </c:pt>
                <c:pt idx="394">
                  <c:v>Luna Grill</c:v>
                </c:pt>
                <c:pt idx="395">
                  <c:v>Freebirds World Burrito</c:v>
                </c:pt>
                <c:pt idx="396">
                  <c:v>Bob's Steak &amp; Chop House</c:v>
                </c:pt>
                <c:pt idx="397">
                  <c:v>Uncle Julio's</c:v>
                </c:pt>
                <c:pt idx="398">
                  <c:v>Wood Ranch BBQ &amp; Grill</c:v>
                </c:pt>
                <c:pt idx="399">
                  <c:v>Anthony's Restaurants</c:v>
                </c:pt>
                <c:pt idx="400">
                  <c:v>Gator's Dockside</c:v>
                </c:pt>
                <c:pt idx="401">
                  <c:v>Haagen-Dazs</c:v>
                </c:pt>
                <c:pt idx="402">
                  <c:v>Yoshinoya</c:v>
                </c:pt>
                <c:pt idx="403">
                  <c:v>Old Spaghetti Factory, The</c:v>
                </c:pt>
                <c:pt idx="404">
                  <c:v>Hillstone</c:v>
                </c:pt>
                <c:pt idx="405">
                  <c:v>Fricker's</c:v>
                </c:pt>
                <c:pt idx="406">
                  <c:v>Margaritas Mexican Restaurant</c:v>
                </c:pt>
                <c:pt idx="407">
                  <c:v>Moe's Original BBQ</c:v>
                </c:pt>
                <c:pt idx="408">
                  <c:v>Imo's Pizza</c:v>
                </c:pt>
                <c:pt idx="409">
                  <c:v>Margaritaville Restaurants</c:v>
                </c:pt>
                <c:pt idx="410">
                  <c:v>Tommy Bahama Restaurants</c:v>
                </c:pt>
                <c:pt idx="411">
                  <c:v>Chart House</c:v>
                </c:pt>
                <c:pt idx="412">
                  <c:v>Daylight Donuts</c:v>
                </c:pt>
                <c:pt idx="413">
                  <c:v>Razzoo's Cajun Cafe</c:v>
                </c:pt>
                <c:pt idx="414">
                  <c:v>Ben &amp; Jerry's Scoop Shops</c:v>
                </c:pt>
                <c:pt idx="415">
                  <c:v>Colton's Steak House &amp; Grill</c:v>
                </c:pt>
                <c:pt idx="416">
                  <c:v>Cotton Patch Cafe</c:v>
                </c:pt>
                <c:pt idx="417">
                  <c:v>Duffy's Sports Grill</c:v>
                </c:pt>
                <c:pt idx="418">
                  <c:v>Modern Market Eatery</c:v>
                </c:pt>
                <c:pt idx="419">
                  <c:v>Philly Pretzel Factory</c:v>
                </c:pt>
                <c:pt idx="420">
                  <c:v>East Coast Wings + Grill</c:v>
                </c:pt>
                <c:pt idx="421">
                  <c:v>Eddie Merlot's</c:v>
                </c:pt>
                <c:pt idx="422">
                  <c:v>Rock &amp; Brews</c:v>
                </c:pt>
                <c:pt idx="423">
                  <c:v>Great Harvest Bakery Cafe</c:v>
                </c:pt>
                <c:pt idx="424">
                  <c:v>Pappasito's Cantina</c:v>
                </c:pt>
                <c:pt idx="425">
                  <c:v>Smith &amp; Wollensky</c:v>
                </c:pt>
                <c:pt idx="426">
                  <c:v>TacoTime</c:v>
                </c:pt>
                <c:pt idx="427">
                  <c:v>Giordano's</c:v>
                </c:pt>
                <c:pt idx="428">
                  <c:v>Fox's Pizza Den</c:v>
                </c:pt>
                <c:pt idx="429">
                  <c:v>Il Fornaio</c:v>
                </c:pt>
                <c:pt idx="430">
                  <c:v>Ted's Montana Grill</c:v>
                </c:pt>
                <c:pt idx="431">
                  <c:v>Lucille's Smokehouse Bar-B-Que</c:v>
                </c:pt>
                <c:pt idx="432">
                  <c:v>Salsarita's Fresh Mexican Grill</c:v>
                </c:pt>
                <c:pt idx="433">
                  <c:v>Mazzio's Italian Eatery</c:v>
                </c:pt>
                <c:pt idx="434">
                  <c:v>Gold Star Chili</c:v>
                </c:pt>
                <c:pt idx="435">
                  <c:v>RibCrib BBQ</c:v>
                </c:pt>
                <c:pt idx="436">
                  <c:v>Eat'n Park</c:v>
                </c:pt>
                <c:pt idx="437">
                  <c:v>Anthony's Coal Fired Pizza</c:v>
                </c:pt>
                <c:pt idx="438">
                  <c:v>Smallcakes Cupcakery</c:v>
                </c:pt>
                <c:pt idx="439">
                  <c:v>Frisch's Big Boy</c:v>
                </c:pt>
                <c:pt idx="440">
                  <c:v>Kneaders Bakery &amp; Cafe</c:v>
                </c:pt>
                <c:pt idx="441">
                  <c:v>Shakey's Pizza Parlor</c:v>
                </c:pt>
                <c:pt idx="442">
                  <c:v>El Torito</c:v>
                </c:pt>
                <c:pt idx="443">
                  <c:v>Roy Rogers Restaurants</c:v>
                </c:pt>
                <c:pt idx="444">
                  <c:v>Houston's</c:v>
                </c:pt>
                <c:pt idx="445">
                  <c:v>Pretzelmaker</c:v>
                </c:pt>
                <c:pt idx="446">
                  <c:v>Papa Gino's Pizzeria</c:v>
                </c:pt>
                <c:pt idx="447">
                  <c:v>Pieology Pizzeria</c:v>
                </c:pt>
                <c:pt idx="448">
                  <c:v>Big Boy Restaurants</c:v>
                </c:pt>
                <c:pt idx="449">
                  <c:v>Bareburger</c:v>
                </c:pt>
                <c:pt idx="450">
                  <c:v>Rainforest Cafe</c:v>
                </c:pt>
                <c:pt idx="451">
                  <c:v>Carolina Ale House</c:v>
                </c:pt>
                <c:pt idx="452">
                  <c:v>Yogurtland</c:v>
                </c:pt>
                <c:pt idx="453">
                  <c:v>Bubba Gump Shrimp Co.</c:v>
                </c:pt>
                <c:pt idx="454">
                  <c:v>Taco Bueno</c:v>
                </c:pt>
                <c:pt idx="455">
                  <c:v>Tijuana Flats</c:v>
                </c:pt>
                <c:pt idx="456">
                  <c:v>Togo's Sandwiches</c:v>
                </c:pt>
                <c:pt idx="457">
                  <c:v>Tender Greens</c:v>
                </c:pt>
                <c:pt idx="458">
                  <c:v>Johnny Rockets</c:v>
                </c:pt>
                <c:pt idx="459">
                  <c:v>Palm Restaurant, The</c:v>
                </c:pt>
                <c:pt idx="460">
                  <c:v>Menchie's Frozen Yogurt</c:v>
                </c:pt>
                <c:pt idx="461">
                  <c:v>Hurricane Grill &amp; Wings</c:v>
                </c:pt>
                <c:pt idx="462">
                  <c:v>Lemonade</c:v>
                </c:pt>
                <c:pt idx="463">
                  <c:v>Flame Broiler</c:v>
                </c:pt>
                <c:pt idx="464">
                  <c:v>Marlow's Tavern</c:v>
                </c:pt>
                <c:pt idx="465">
                  <c:v>Sarku Japan</c:v>
                </c:pt>
                <c:pt idx="466">
                  <c:v>Greene Turtle Sports Bar &amp; Grille</c:v>
                </c:pt>
                <c:pt idx="467">
                  <c:v>Shari's Cafe and Pies</c:v>
                </c:pt>
                <c:pt idx="468">
                  <c:v>Del Frisco's Grille</c:v>
                </c:pt>
                <c:pt idx="469">
                  <c:v>Black Angus Steakhouse</c:v>
                </c:pt>
                <c:pt idx="470">
                  <c:v>Quaker Steak &amp; Lube</c:v>
                </c:pt>
                <c:pt idx="471">
                  <c:v>Abuelo's Mexican Restaurant</c:v>
                </c:pt>
                <c:pt idx="472">
                  <c:v>Islands Fine Burgers &amp; Drinks</c:v>
                </c:pt>
                <c:pt idx="473">
                  <c:v>HuHot Mongolian Grill</c:v>
                </c:pt>
                <c:pt idx="474">
                  <c:v>Uno Pizzeria &amp; Grill</c:v>
                </c:pt>
                <c:pt idx="475">
                  <c:v>SweetFrog</c:v>
                </c:pt>
                <c:pt idx="476">
                  <c:v>Shoney's</c:v>
                </c:pt>
                <c:pt idx="477">
                  <c:v>Friendly's</c:v>
                </c:pt>
                <c:pt idx="478">
                  <c:v>Hard Rock Cafe</c:v>
                </c:pt>
                <c:pt idx="479">
                  <c:v>Baja Fresh Mexican Grill</c:v>
                </c:pt>
                <c:pt idx="480">
                  <c:v>Johnny Carino's</c:v>
                </c:pt>
                <c:pt idx="481">
                  <c:v>McCormick &amp; Schmick's</c:v>
                </c:pt>
                <c:pt idx="482">
                  <c:v>Joe's Crab Shack</c:v>
                </c:pt>
                <c:pt idx="483">
                  <c:v>Grand Lux Cafe</c:v>
                </c:pt>
                <c:pt idx="484">
                  <c:v>Bravo! Italian Kitchen</c:v>
                </c:pt>
                <c:pt idx="485">
                  <c:v>Which Wich</c:v>
                </c:pt>
                <c:pt idx="486">
                  <c:v>Houlihan's</c:v>
                </c:pt>
                <c:pt idx="487">
                  <c:v>Quiznos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'Technomic Top 500 Chains'!$N$2:$N$495</c15:sqref>
                  </c15:fullRef>
                </c:ext>
              </c:extLst>
              <c:f>('Technomic Top 500 Chains'!$N$2:$N$169,'Technomic Top 500 Chains'!$N$171:$N$178,'Technomic Top 500 Chains'!$N$180:$N$207,'Technomic Top 500 Chains'!$N$209:$N$226,'Technomic Top 500 Chains'!$N$228:$N$256,'Technomic Top 500 Chains'!$N$258:$N$259,'Technomic Top 500 Chains'!$N$261:$N$495)</c:f>
              <c:numCache>
                <c:formatCode>_(* #,##0.0_);_(* \(#,##0.0\);_(* "-"??_);_(@_)</c:formatCode>
                <c:ptCount val="488"/>
                <c:pt idx="0">
                  <c:v>177.9244301899885</c:v>
                </c:pt>
                <c:pt idx="1">
                  <c:v>-138.27881150955457</c:v>
                </c:pt>
                <c:pt idx="2">
                  <c:v>369.70826254555669</c:v>
                </c:pt>
                <c:pt idx="3">
                  <c:v>152.50927579376238</c:v>
                </c:pt>
                <c:pt idx="4">
                  <c:v>-42.320020019244595</c:v>
                </c:pt>
                <c:pt idx="5">
                  <c:v>-170.40091462073471</c:v>
                </c:pt>
                <c:pt idx="6">
                  <c:v>1046.6689751933179</c:v>
                </c:pt>
                <c:pt idx="7">
                  <c:v>-183.68938399138946</c:v>
                </c:pt>
                <c:pt idx="8">
                  <c:v>-399.19661307892818</c:v>
                </c:pt>
                <c:pt idx="9">
                  <c:v>502.92022730113905</c:v>
                </c:pt>
                <c:pt idx="10">
                  <c:v>1163.2932299818399</c:v>
                </c:pt>
                <c:pt idx="11">
                  <c:v>-97.995469801799572</c:v>
                </c:pt>
                <c:pt idx="12">
                  <c:v>-151.5812134521878</c:v>
                </c:pt>
                <c:pt idx="13">
                  <c:v>-265.14354699496812</c:v>
                </c:pt>
                <c:pt idx="14">
                  <c:v>974.90067681206517</c:v>
                </c:pt>
                <c:pt idx="15">
                  <c:v>-53.524467988730898</c:v>
                </c:pt>
                <c:pt idx="16">
                  <c:v>1658.2233747321113</c:v>
                </c:pt>
                <c:pt idx="17">
                  <c:v>466.71061805725583</c:v>
                </c:pt>
                <c:pt idx="18">
                  <c:v>1054.366603625052</c:v>
                </c:pt>
                <c:pt idx="19">
                  <c:v>-546.59467601130643</c:v>
                </c:pt>
                <c:pt idx="20">
                  <c:v>714.36230369745749</c:v>
                </c:pt>
                <c:pt idx="21">
                  <c:v>26.19167975065173</c:v>
                </c:pt>
                <c:pt idx="22">
                  <c:v>-6.4289301872354212</c:v>
                </c:pt>
                <c:pt idx="23">
                  <c:v>387.58542773950842</c:v>
                </c:pt>
                <c:pt idx="24">
                  <c:v>49.165786560241841</c:v>
                </c:pt>
                <c:pt idx="25">
                  <c:v>78.377852467315165</c:v>
                </c:pt>
                <c:pt idx="26">
                  <c:v>184.46952597930027</c:v>
                </c:pt>
                <c:pt idx="27">
                  <c:v>792.11980718505436</c:v>
                </c:pt>
                <c:pt idx="28">
                  <c:v>139.19724991481735</c:v>
                </c:pt>
                <c:pt idx="29">
                  <c:v>659.96108753837461</c:v>
                </c:pt>
                <c:pt idx="30">
                  <c:v>174.18266871835689</c:v>
                </c:pt>
                <c:pt idx="31">
                  <c:v>153.59318390419375</c:v>
                </c:pt>
                <c:pt idx="32">
                  <c:v>320.56453372021872</c:v>
                </c:pt>
                <c:pt idx="33">
                  <c:v>235.76553111623738</c:v>
                </c:pt>
                <c:pt idx="34">
                  <c:v>-427.19807450683322</c:v>
                </c:pt>
                <c:pt idx="35">
                  <c:v>61.617921877133163</c:v>
                </c:pt>
                <c:pt idx="36">
                  <c:v>305.53326892763033</c:v>
                </c:pt>
                <c:pt idx="37">
                  <c:v>99.712844560679031</c:v>
                </c:pt>
                <c:pt idx="38">
                  <c:v>-128.95997246270295</c:v>
                </c:pt>
                <c:pt idx="39">
                  <c:v>13.799471429311247</c:v>
                </c:pt>
                <c:pt idx="40">
                  <c:v>-75.650014071527508</c:v>
                </c:pt>
                <c:pt idx="41">
                  <c:v>10.335025211348579</c:v>
                </c:pt>
                <c:pt idx="42">
                  <c:v>-62.825491783473076</c:v>
                </c:pt>
                <c:pt idx="43">
                  <c:v>200.87108862226188</c:v>
                </c:pt>
                <c:pt idx="44">
                  <c:v>-32.815076646818262</c:v>
                </c:pt>
                <c:pt idx="45">
                  <c:v>-15.745955355532249</c:v>
                </c:pt>
                <c:pt idx="46">
                  <c:v>-24.535281955474463</c:v>
                </c:pt>
                <c:pt idx="47">
                  <c:v>40.98256212783383</c:v>
                </c:pt>
                <c:pt idx="48">
                  <c:v>541.94508096946686</c:v>
                </c:pt>
                <c:pt idx="49">
                  <c:v>34.44464206206213</c:v>
                </c:pt>
                <c:pt idx="50">
                  <c:v>143.78693449561476</c:v>
                </c:pt>
                <c:pt idx="51">
                  <c:v>47.12793719470011</c:v>
                </c:pt>
                <c:pt idx="52">
                  <c:v>1395.27549696203</c:v>
                </c:pt>
                <c:pt idx="53">
                  <c:v>-14.720374352909655</c:v>
                </c:pt>
                <c:pt idx="54">
                  <c:v>407.18441411853365</c:v>
                </c:pt>
                <c:pt idx="55">
                  <c:v>75.321836303737413</c:v>
                </c:pt>
                <c:pt idx="56">
                  <c:v>-82.72098381669521</c:v>
                </c:pt>
                <c:pt idx="57">
                  <c:v>114.22815107374227</c:v>
                </c:pt>
                <c:pt idx="58">
                  <c:v>71.512847544736061</c:v>
                </c:pt>
                <c:pt idx="59">
                  <c:v>27.659853032759887</c:v>
                </c:pt>
                <c:pt idx="60">
                  <c:v>-449.98054557709276</c:v>
                </c:pt>
                <c:pt idx="61">
                  <c:v>-66.627080496065588</c:v>
                </c:pt>
                <c:pt idx="62">
                  <c:v>1708.3055393888949</c:v>
                </c:pt>
                <c:pt idx="63">
                  <c:v>227.37457638156101</c:v>
                </c:pt>
                <c:pt idx="64">
                  <c:v>140.77969391388604</c:v>
                </c:pt>
                <c:pt idx="65">
                  <c:v>-125.62276962017046</c:v>
                </c:pt>
                <c:pt idx="66">
                  <c:v>-66.665007705442179</c:v>
                </c:pt>
                <c:pt idx="67">
                  <c:v>-201.77923199601557</c:v>
                </c:pt>
                <c:pt idx="68">
                  <c:v>-50.000176625060853</c:v>
                </c:pt>
                <c:pt idx="69">
                  <c:v>42.812825629514883</c:v>
                </c:pt>
                <c:pt idx="70">
                  <c:v>-20.999772776888609</c:v>
                </c:pt>
                <c:pt idx="71">
                  <c:v>11.410410804036097</c:v>
                </c:pt>
                <c:pt idx="72">
                  <c:v>-42.182917551267884</c:v>
                </c:pt>
                <c:pt idx="73">
                  <c:v>-331.51722815470367</c:v>
                </c:pt>
                <c:pt idx="74">
                  <c:v>74.033264751240665</c:v>
                </c:pt>
                <c:pt idx="75">
                  <c:v>206.78411279392586</c:v>
                </c:pt>
                <c:pt idx="76">
                  <c:v>-42.258319800058779</c:v>
                </c:pt>
                <c:pt idx="77">
                  <c:v>97.118727991783445</c:v>
                </c:pt>
                <c:pt idx="78">
                  <c:v>-87.354842019908318</c:v>
                </c:pt>
                <c:pt idx="79">
                  <c:v>5.8747329789752678</c:v>
                </c:pt>
                <c:pt idx="80">
                  <c:v>56.822567136911637</c:v>
                </c:pt>
                <c:pt idx="81">
                  <c:v>32.884887179359531</c:v>
                </c:pt>
                <c:pt idx="82">
                  <c:v>-303.32392163272851</c:v>
                </c:pt>
                <c:pt idx="83">
                  <c:v>778.13890299058028</c:v>
                </c:pt>
                <c:pt idx="84">
                  <c:v>-7.490890298411899</c:v>
                </c:pt>
                <c:pt idx="85">
                  <c:v>145.61475916530114</c:v>
                </c:pt>
                <c:pt idx="86">
                  <c:v>-7.9821090865742157</c:v>
                </c:pt>
                <c:pt idx="87">
                  <c:v>34.084364472966833</c:v>
                </c:pt>
                <c:pt idx="88">
                  <c:v>115.54378998881563</c:v>
                </c:pt>
                <c:pt idx="89">
                  <c:v>142.59419305221573</c:v>
                </c:pt>
                <c:pt idx="90">
                  <c:v>-149.79785568390565</c:v>
                </c:pt>
                <c:pt idx="91">
                  <c:v>92.061028125898915</c:v>
                </c:pt>
                <c:pt idx="92">
                  <c:v>184.46405854066359</c:v>
                </c:pt>
                <c:pt idx="93">
                  <c:v>16.000214105598324</c:v>
                </c:pt>
                <c:pt idx="94">
                  <c:v>11.026551288401791</c:v>
                </c:pt>
                <c:pt idx="95">
                  <c:v>-21.350832708471184</c:v>
                </c:pt>
                <c:pt idx="96">
                  <c:v>328.11758921946836</c:v>
                </c:pt>
                <c:pt idx="97">
                  <c:v>208.32230836130256</c:v>
                </c:pt>
                <c:pt idx="98">
                  <c:v>23.328681262178556</c:v>
                </c:pt>
                <c:pt idx="99">
                  <c:v>58.266995673205912</c:v>
                </c:pt>
                <c:pt idx="100">
                  <c:v>-25.714653952705032</c:v>
                </c:pt>
                <c:pt idx="101">
                  <c:v>-323.09656973716267</c:v>
                </c:pt>
                <c:pt idx="102">
                  <c:v>383.36638901756288</c:v>
                </c:pt>
                <c:pt idx="103">
                  <c:v>45.221247211335907</c:v>
                </c:pt>
                <c:pt idx="104">
                  <c:v>-603.22231636176116</c:v>
                </c:pt>
                <c:pt idx="105">
                  <c:v>200.44034170537557</c:v>
                </c:pt>
                <c:pt idx="106">
                  <c:v>-48.68493016750908</c:v>
                </c:pt>
                <c:pt idx="107">
                  <c:v>95.857780292859829</c:v>
                </c:pt>
                <c:pt idx="108">
                  <c:v>-16.39592311800747</c:v>
                </c:pt>
                <c:pt idx="109">
                  <c:v>-30.924781859002234</c:v>
                </c:pt>
                <c:pt idx="110">
                  <c:v>-431.41147206477916</c:v>
                </c:pt>
                <c:pt idx="111">
                  <c:v>47.325187890332387</c:v>
                </c:pt>
                <c:pt idx="112">
                  <c:v>46.891172564647235</c:v>
                </c:pt>
                <c:pt idx="113">
                  <c:v>264.54012400873967</c:v>
                </c:pt>
                <c:pt idx="114">
                  <c:v>78.384255703040679</c:v>
                </c:pt>
                <c:pt idx="115">
                  <c:v>-1.1981034885724662</c:v>
                </c:pt>
                <c:pt idx="116">
                  <c:v>-23.903617879978931</c:v>
                </c:pt>
                <c:pt idx="117">
                  <c:v>-29.458775269403901</c:v>
                </c:pt>
                <c:pt idx="118">
                  <c:v>779.02643832330443</c:v>
                </c:pt>
                <c:pt idx="119">
                  <c:v>-8.6422955487655901</c:v>
                </c:pt>
                <c:pt idx="120">
                  <c:v>-24.762556595588659</c:v>
                </c:pt>
                <c:pt idx="121">
                  <c:v>-280.89406173660655</c:v>
                </c:pt>
                <c:pt idx="122">
                  <c:v>-204.49225042996588</c:v>
                </c:pt>
                <c:pt idx="123">
                  <c:v>101.28174084255184</c:v>
                </c:pt>
                <c:pt idx="124">
                  <c:v>27.156681743474401</c:v>
                </c:pt>
                <c:pt idx="125">
                  <c:v>1146.3620290913384</c:v>
                </c:pt>
                <c:pt idx="126">
                  <c:v>25.836574286125046</c:v>
                </c:pt>
                <c:pt idx="127">
                  <c:v>-13.248044292767615</c:v>
                </c:pt>
                <c:pt idx="128">
                  <c:v>3.2838107796783098</c:v>
                </c:pt>
                <c:pt idx="129">
                  <c:v>-45.181865588980948</c:v>
                </c:pt>
                <c:pt idx="130">
                  <c:v>95.883362611207616</c:v>
                </c:pt>
                <c:pt idx="131">
                  <c:v>-249.90648641222379</c:v>
                </c:pt>
                <c:pt idx="132">
                  <c:v>8.5197289364729443</c:v>
                </c:pt>
                <c:pt idx="133">
                  <c:v>-17.695906409587668</c:v>
                </c:pt>
                <c:pt idx="134">
                  <c:v>18.66435266849993</c:v>
                </c:pt>
                <c:pt idx="135">
                  <c:v>52.360354686473265</c:v>
                </c:pt>
                <c:pt idx="136">
                  <c:v>-20.616932221066126</c:v>
                </c:pt>
                <c:pt idx="137">
                  <c:v>11.953510630005812</c:v>
                </c:pt>
                <c:pt idx="138">
                  <c:v>282.07662706942443</c:v>
                </c:pt>
                <c:pt idx="139">
                  <c:v>0.41245689902004101</c:v>
                </c:pt>
                <c:pt idx="140">
                  <c:v>-52.706044583121255</c:v>
                </c:pt>
                <c:pt idx="141">
                  <c:v>16.861615244303405</c:v>
                </c:pt>
                <c:pt idx="142">
                  <c:v>22.17031901178515</c:v>
                </c:pt>
                <c:pt idx="143">
                  <c:v>8.1108141828690332</c:v>
                </c:pt>
                <c:pt idx="144">
                  <c:v>73.524427758471845</c:v>
                </c:pt>
                <c:pt idx="145">
                  <c:v>15.965155792023474</c:v>
                </c:pt>
                <c:pt idx="146">
                  <c:v>-122.50846978814185</c:v>
                </c:pt>
                <c:pt idx="147">
                  <c:v>-6.4222559241785282</c:v>
                </c:pt>
                <c:pt idx="148">
                  <c:v>-5.2897916142349146</c:v>
                </c:pt>
                <c:pt idx="149">
                  <c:v>24.501406697841848</c:v>
                </c:pt>
                <c:pt idx="150">
                  <c:v>-51.025215824677637</c:v>
                </c:pt>
                <c:pt idx="151">
                  <c:v>253.86961184335169</c:v>
                </c:pt>
                <c:pt idx="152">
                  <c:v>235.97350503028966</c:v>
                </c:pt>
                <c:pt idx="153">
                  <c:v>477.43096038555996</c:v>
                </c:pt>
                <c:pt idx="154">
                  <c:v>4.0121733061085001</c:v>
                </c:pt>
                <c:pt idx="155">
                  <c:v>-11.123768261024001</c:v>
                </c:pt>
                <c:pt idx="156">
                  <c:v>-14.348541155771205</c:v>
                </c:pt>
                <c:pt idx="157">
                  <c:v>16.218782277948318</c:v>
                </c:pt>
                <c:pt idx="158">
                  <c:v>-155.45584990731055</c:v>
                </c:pt>
                <c:pt idx="159">
                  <c:v>-11.615732667739353</c:v>
                </c:pt>
                <c:pt idx="160">
                  <c:v>-68.589185884523346</c:v>
                </c:pt>
                <c:pt idx="161">
                  <c:v>42.953181792856832</c:v>
                </c:pt>
                <c:pt idx="162">
                  <c:v>487.2137508132364</c:v>
                </c:pt>
                <c:pt idx="163">
                  <c:v>-509.29369125372278</c:v>
                </c:pt>
                <c:pt idx="164">
                  <c:v>3.1764030847512488</c:v>
                </c:pt>
                <c:pt idx="165">
                  <c:v>47.13478235419786</c:v>
                </c:pt>
                <c:pt idx="166">
                  <c:v>34.828101596674209</c:v>
                </c:pt>
                <c:pt idx="167">
                  <c:v>-379.16033246409796</c:v>
                </c:pt>
                <c:pt idx="168">
                  <c:v>-6.7218083795176149</c:v>
                </c:pt>
                <c:pt idx="169">
                  <c:v>13.184278262752397</c:v>
                </c:pt>
                <c:pt idx="170">
                  <c:v>-2.5840055655487402</c:v>
                </c:pt>
                <c:pt idx="171">
                  <c:v>-52.974735674481899</c:v>
                </c:pt>
                <c:pt idx="172">
                  <c:v>-0.78150121362797331</c:v>
                </c:pt>
                <c:pt idx="173">
                  <c:v>475.45561194274768</c:v>
                </c:pt>
                <c:pt idx="174">
                  <c:v>-65.618052954404575</c:v>
                </c:pt>
                <c:pt idx="175">
                  <c:v>2.2659617578751901</c:v>
                </c:pt>
                <c:pt idx="176">
                  <c:v>34.60649213893435</c:v>
                </c:pt>
                <c:pt idx="177">
                  <c:v>102.09821250100639</c:v>
                </c:pt>
                <c:pt idx="178">
                  <c:v>1.0816444740783908</c:v>
                </c:pt>
                <c:pt idx="179">
                  <c:v>467.39689608172893</c:v>
                </c:pt>
                <c:pt idx="180">
                  <c:v>62.059855969914778</c:v>
                </c:pt>
                <c:pt idx="181">
                  <c:v>-20.328243937607382</c:v>
                </c:pt>
                <c:pt idx="182">
                  <c:v>132.61101434662143</c:v>
                </c:pt>
                <c:pt idx="183">
                  <c:v>170.91360280629283</c:v>
                </c:pt>
                <c:pt idx="184">
                  <c:v>-13.546392006792864</c:v>
                </c:pt>
                <c:pt idx="185">
                  <c:v>-23.900231906021148</c:v>
                </c:pt>
                <c:pt idx="186">
                  <c:v>372.2140250740934</c:v>
                </c:pt>
                <c:pt idx="187">
                  <c:v>8.1549091774838374</c:v>
                </c:pt>
                <c:pt idx="188">
                  <c:v>-69.085544350194212</c:v>
                </c:pt>
                <c:pt idx="189">
                  <c:v>-25.642351867952812</c:v>
                </c:pt>
                <c:pt idx="190">
                  <c:v>513.11224042759432</c:v>
                </c:pt>
                <c:pt idx="191">
                  <c:v>108.00390616115776</c:v>
                </c:pt>
                <c:pt idx="192">
                  <c:v>20.128013291769729</c:v>
                </c:pt>
                <c:pt idx="193">
                  <c:v>30.2457149946014</c:v>
                </c:pt>
                <c:pt idx="194">
                  <c:v>-12.689614244920447</c:v>
                </c:pt>
                <c:pt idx="195">
                  <c:v>-8.5022049441883443</c:v>
                </c:pt>
                <c:pt idx="196">
                  <c:v>-65.049564931814842</c:v>
                </c:pt>
                <c:pt idx="197">
                  <c:v>84.361348438362285</c:v>
                </c:pt>
                <c:pt idx="198">
                  <c:v>-193.92190961121133</c:v>
                </c:pt>
                <c:pt idx="199">
                  <c:v>-15.749775361741918</c:v>
                </c:pt>
                <c:pt idx="200">
                  <c:v>-49.223276793477453</c:v>
                </c:pt>
                <c:pt idx="201">
                  <c:v>116.85865150455503</c:v>
                </c:pt>
                <c:pt idx="202">
                  <c:v>92.254577087472271</c:v>
                </c:pt>
                <c:pt idx="203">
                  <c:v>159.1953286858882</c:v>
                </c:pt>
                <c:pt idx="204">
                  <c:v>63.574222874051308</c:v>
                </c:pt>
                <c:pt idx="205">
                  <c:v>66.847662959481937</c:v>
                </c:pt>
                <c:pt idx="206">
                  <c:v>13.786701844586222</c:v>
                </c:pt>
                <c:pt idx="207">
                  <c:v>4.3615310029960357</c:v>
                </c:pt>
                <c:pt idx="208">
                  <c:v>13.961285079074678</c:v>
                </c:pt>
                <c:pt idx="209">
                  <c:v>2.4129335531897049</c:v>
                </c:pt>
                <c:pt idx="210">
                  <c:v>-10.844185901099291</c:v>
                </c:pt>
                <c:pt idx="211">
                  <c:v>5.2125176763336265</c:v>
                </c:pt>
                <c:pt idx="212">
                  <c:v>-39.595215696753819</c:v>
                </c:pt>
                <c:pt idx="213">
                  <c:v>56.010682277848488</c:v>
                </c:pt>
                <c:pt idx="214">
                  <c:v>285.36968863665925</c:v>
                </c:pt>
                <c:pt idx="215">
                  <c:v>-2.1616242033013332E-2</c:v>
                </c:pt>
                <c:pt idx="216">
                  <c:v>29.053121462426066</c:v>
                </c:pt>
                <c:pt idx="217">
                  <c:v>-8.9358043875916593</c:v>
                </c:pt>
                <c:pt idx="218">
                  <c:v>3.5087714353051762</c:v>
                </c:pt>
                <c:pt idx="219">
                  <c:v>-0.82444580096287945</c:v>
                </c:pt>
                <c:pt idx="220">
                  <c:v>92.407970324814045</c:v>
                </c:pt>
                <c:pt idx="221">
                  <c:v>11.933282718566002</c:v>
                </c:pt>
                <c:pt idx="222">
                  <c:v>-5.9515501888918187</c:v>
                </c:pt>
                <c:pt idx="223">
                  <c:v>27.987443704424173</c:v>
                </c:pt>
                <c:pt idx="224">
                  <c:v>134.22926378148176</c:v>
                </c:pt>
                <c:pt idx="225">
                  <c:v>-85.183958569299691</c:v>
                </c:pt>
                <c:pt idx="226">
                  <c:v>225.36847484666404</c:v>
                </c:pt>
                <c:pt idx="227">
                  <c:v>-80.204311092556523</c:v>
                </c:pt>
                <c:pt idx="228">
                  <c:v>-45.671607211271542</c:v>
                </c:pt>
                <c:pt idx="229">
                  <c:v>246.0827929103084</c:v>
                </c:pt>
                <c:pt idx="230">
                  <c:v>-86.46132568807505</c:v>
                </c:pt>
                <c:pt idx="231">
                  <c:v>27.640258230615249</c:v>
                </c:pt>
                <c:pt idx="232">
                  <c:v>9.7009396139657209</c:v>
                </c:pt>
                <c:pt idx="233">
                  <c:v>-30.309000736082641</c:v>
                </c:pt>
                <c:pt idx="234">
                  <c:v>3.3459890769877569</c:v>
                </c:pt>
                <c:pt idx="235">
                  <c:v>16.940247261538875</c:v>
                </c:pt>
                <c:pt idx="236">
                  <c:v>48.169319317894164</c:v>
                </c:pt>
                <c:pt idx="237">
                  <c:v>9.6795146289725</c:v>
                </c:pt>
                <c:pt idx="238">
                  <c:v>129.47898127026127</c:v>
                </c:pt>
                <c:pt idx="239">
                  <c:v>-100.35770229524621</c:v>
                </c:pt>
                <c:pt idx="240">
                  <c:v>-9.432285315632317</c:v>
                </c:pt>
                <c:pt idx="241">
                  <c:v>-2.5555135786861811</c:v>
                </c:pt>
                <c:pt idx="242">
                  <c:v>-107.89102044846938</c:v>
                </c:pt>
                <c:pt idx="243">
                  <c:v>10.755628352465898</c:v>
                </c:pt>
                <c:pt idx="244">
                  <c:v>11.129903858320818</c:v>
                </c:pt>
                <c:pt idx="245">
                  <c:v>-115.63363372922434</c:v>
                </c:pt>
                <c:pt idx="246">
                  <c:v>2.1089835767634084</c:v>
                </c:pt>
                <c:pt idx="247">
                  <c:v>-20.189039265782093</c:v>
                </c:pt>
                <c:pt idx="248">
                  <c:v>4.6244034151182198</c:v>
                </c:pt>
                <c:pt idx="249">
                  <c:v>-7.5707865295201104</c:v>
                </c:pt>
                <c:pt idx="250">
                  <c:v>3.126810024085382</c:v>
                </c:pt>
                <c:pt idx="251">
                  <c:v>-1.9145674025540298</c:v>
                </c:pt>
                <c:pt idx="252">
                  <c:v>-0.67602223246453386</c:v>
                </c:pt>
                <c:pt idx="253">
                  <c:v>3.1222131761698124</c:v>
                </c:pt>
                <c:pt idx="254">
                  <c:v>0.13507310730901573</c:v>
                </c:pt>
                <c:pt idx="255">
                  <c:v>10.557079981109913</c:v>
                </c:pt>
                <c:pt idx="256">
                  <c:v>1.4111501377038178</c:v>
                </c:pt>
                <c:pt idx="257">
                  <c:v>-66.824198383836389</c:v>
                </c:pt>
                <c:pt idx="258">
                  <c:v>0.12172647289917485</c:v>
                </c:pt>
                <c:pt idx="259">
                  <c:v>-16.942848578091432</c:v>
                </c:pt>
                <c:pt idx="260">
                  <c:v>-1.1142179581501437</c:v>
                </c:pt>
                <c:pt idx="261">
                  <c:v>-17.480330343968344</c:v>
                </c:pt>
                <c:pt idx="262">
                  <c:v>-7.9045888714790591</c:v>
                </c:pt>
                <c:pt idx="263">
                  <c:v>-18.530922034851724</c:v>
                </c:pt>
                <c:pt idx="264">
                  <c:v>-23.258362011640948</c:v>
                </c:pt>
                <c:pt idx="265">
                  <c:v>-41.192520671219519</c:v>
                </c:pt>
                <c:pt idx="266">
                  <c:v>-5.8632592183708674</c:v>
                </c:pt>
                <c:pt idx="267">
                  <c:v>-35.772652351643615</c:v>
                </c:pt>
                <c:pt idx="268">
                  <c:v>-18.270139127109452</c:v>
                </c:pt>
                <c:pt idx="269">
                  <c:v>-10.38690329527458</c:v>
                </c:pt>
                <c:pt idx="270">
                  <c:v>-5.0489176602638031</c:v>
                </c:pt>
                <c:pt idx="271">
                  <c:v>-11.549820977774845</c:v>
                </c:pt>
                <c:pt idx="272">
                  <c:v>-13.117296681901429</c:v>
                </c:pt>
                <c:pt idx="273">
                  <c:v>-36.238247534821149</c:v>
                </c:pt>
                <c:pt idx="274">
                  <c:v>-57.645438970017757</c:v>
                </c:pt>
                <c:pt idx="275">
                  <c:v>-71.44699940103942</c:v>
                </c:pt>
                <c:pt idx="276">
                  <c:v>-9.2834937624205409</c:v>
                </c:pt>
                <c:pt idx="277">
                  <c:v>-13.868091853423637</c:v>
                </c:pt>
                <c:pt idx="278">
                  <c:v>-92.660986221763352</c:v>
                </c:pt>
                <c:pt idx="279">
                  <c:v>-18.469212421910111</c:v>
                </c:pt>
                <c:pt idx="280">
                  <c:v>-14.636091006977816</c:v>
                </c:pt>
                <c:pt idx="281">
                  <c:v>-30.149264072909034</c:v>
                </c:pt>
                <c:pt idx="282">
                  <c:v>-10.53117791959764</c:v>
                </c:pt>
                <c:pt idx="283">
                  <c:v>-57.857656575481485</c:v>
                </c:pt>
                <c:pt idx="284">
                  <c:v>-17.350849822788216</c:v>
                </c:pt>
                <c:pt idx="285">
                  <c:v>-28.550327352273296</c:v>
                </c:pt>
                <c:pt idx="286">
                  <c:v>-77.418074278936089</c:v>
                </c:pt>
                <c:pt idx="287">
                  <c:v>-67.00793298521198</c:v>
                </c:pt>
                <c:pt idx="288">
                  <c:v>-20.002809130482273</c:v>
                </c:pt>
                <c:pt idx="289">
                  <c:v>-128.82137108879297</c:v>
                </c:pt>
                <c:pt idx="290">
                  <c:v>-21.8944228161605</c:v>
                </c:pt>
                <c:pt idx="291">
                  <c:v>-12.153714052558906</c:v>
                </c:pt>
                <c:pt idx="292">
                  <c:v>-57.936143482553248</c:v>
                </c:pt>
                <c:pt idx="293">
                  <c:v>-86.373396993725933</c:v>
                </c:pt>
                <c:pt idx="294">
                  <c:v>-26.605837609517049</c:v>
                </c:pt>
                <c:pt idx="295">
                  <c:v>-20.544850593772367</c:v>
                </c:pt>
                <c:pt idx="296">
                  <c:v>-11.265911262825384</c:v>
                </c:pt>
                <c:pt idx="297">
                  <c:v>-36.01884925688632</c:v>
                </c:pt>
                <c:pt idx="298">
                  <c:v>-33.63552599555473</c:v>
                </c:pt>
                <c:pt idx="299">
                  <c:v>-212.01257969141477</c:v>
                </c:pt>
                <c:pt idx="300">
                  <c:v>-57.582264662483958</c:v>
                </c:pt>
                <c:pt idx="301">
                  <c:v>-13.796455352458933</c:v>
                </c:pt>
                <c:pt idx="302">
                  <c:v>-102.06870915550489</c:v>
                </c:pt>
                <c:pt idx="303">
                  <c:v>-16.960094672840384</c:v>
                </c:pt>
                <c:pt idx="304">
                  <c:v>-120.96092111741432</c:v>
                </c:pt>
                <c:pt idx="305">
                  <c:v>-13.811232825495821</c:v>
                </c:pt>
                <c:pt idx="306">
                  <c:v>-71.820546913464739</c:v>
                </c:pt>
                <c:pt idx="307">
                  <c:v>-76.433601307940009</c:v>
                </c:pt>
                <c:pt idx="308">
                  <c:v>-63.768641148582098</c:v>
                </c:pt>
                <c:pt idx="309">
                  <c:v>-104.10274648983298</c:v>
                </c:pt>
                <c:pt idx="310">
                  <c:v>-28.173313313643636</c:v>
                </c:pt>
                <c:pt idx="311">
                  <c:v>-12.28027069625454</c:v>
                </c:pt>
                <c:pt idx="312">
                  <c:v>-184.56863109213023</c:v>
                </c:pt>
                <c:pt idx="313">
                  <c:v>-18.094703649244515</c:v>
                </c:pt>
                <c:pt idx="314">
                  <c:v>-17.99721555488393</c:v>
                </c:pt>
                <c:pt idx="315">
                  <c:v>-72.467867462519536</c:v>
                </c:pt>
                <c:pt idx="316">
                  <c:v>-25.470755898561737</c:v>
                </c:pt>
                <c:pt idx="317">
                  <c:v>-22.586607276775386</c:v>
                </c:pt>
                <c:pt idx="318">
                  <c:v>-55.731773373344929</c:v>
                </c:pt>
                <c:pt idx="319">
                  <c:v>-127.22043799138544</c:v>
                </c:pt>
                <c:pt idx="320">
                  <c:v>-79.326550954887495</c:v>
                </c:pt>
                <c:pt idx="321">
                  <c:v>-183.31540164328675</c:v>
                </c:pt>
                <c:pt idx="322">
                  <c:v>-98.160353009946775</c:v>
                </c:pt>
                <c:pt idx="323">
                  <c:v>-55.264420976084175</c:v>
                </c:pt>
                <c:pt idx="324">
                  <c:v>-77.113145548024434</c:v>
                </c:pt>
                <c:pt idx="325">
                  <c:v>-30.9836603978361</c:v>
                </c:pt>
                <c:pt idx="326">
                  <c:v>-18.88876969881321</c:v>
                </c:pt>
                <c:pt idx="327">
                  <c:v>-23.470821258924058</c:v>
                </c:pt>
                <c:pt idx="328">
                  <c:v>-22.589319544988332</c:v>
                </c:pt>
                <c:pt idx="329">
                  <c:v>-32.053435002858969</c:v>
                </c:pt>
                <c:pt idx="330">
                  <c:v>-100.0669789881993</c:v>
                </c:pt>
                <c:pt idx="331">
                  <c:v>-34.833273192014602</c:v>
                </c:pt>
                <c:pt idx="332">
                  <c:v>-55.848611472660117</c:v>
                </c:pt>
                <c:pt idx="333">
                  <c:v>-12.827219617184335</c:v>
                </c:pt>
                <c:pt idx="334">
                  <c:v>-21.600854152002611</c:v>
                </c:pt>
                <c:pt idx="335">
                  <c:v>-44.970569948859257</c:v>
                </c:pt>
                <c:pt idx="336">
                  <c:v>-16.225361329612642</c:v>
                </c:pt>
                <c:pt idx="337">
                  <c:v>-122.75127552153023</c:v>
                </c:pt>
                <c:pt idx="338">
                  <c:v>-147.10612021310541</c:v>
                </c:pt>
                <c:pt idx="339">
                  <c:v>-15.092647425469874</c:v>
                </c:pt>
                <c:pt idx="340">
                  <c:v>-76.545582894613744</c:v>
                </c:pt>
                <c:pt idx="341">
                  <c:v>-18.368333580693559</c:v>
                </c:pt>
                <c:pt idx="342">
                  <c:v>-249.39689385976439</c:v>
                </c:pt>
                <c:pt idx="343">
                  <c:v>-119.64221369875307</c:v>
                </c:pt>
                <c:pt idx="344">
                  <c:v>-22.868575307963482</c:v>
                </c:pt>
                <c:pt idx="345">
                  <c:v>-19.19490859182477</c:v>
                </c:pt>
                <c:pt idx="346">
                  <c:v>-261.16618548011286</c:v>
                </c:pt>
                <c:pt idx="347">
                  <c:v>-534.49568881578136</c:v>
                </c:pt>
                <c:pt idx="348">
                  <c:v>-19.041839145318992</c:v>
                </c:pt>
                <c:pt idx="349">
                  <c:v>-111.22987054805949</c:v>
                </c:pt>
                <c:pt idx="350">
                  <c:v>-37.527040706899101</c:v>
                </c:pt>
                <c:pt idx="351">
                  <c:v>-230.62207151301808</c:v>
                </c:pt>
                <c:pt idx="352">
                  <c:v>-110.30464570558267</c:v>
                </c:pt>
                <c:pt idx="353">
                  <c:v>-38.665550693339448</c:v>
                </c:pt>
                <c:pt idx="354">
                  <c:v>-38.338448016466003</c:v>
                </c:pt>
                <c:pt idx="355">
                  <c:v>-105.42035646493424</c:v>
                </c:pt>
                <c:pt idx="356">
                  <c:v>-48.216477228632563</c:v>
                </c:pt>
                <c:pt idx="357">
                  <c:v>-63.209411729517001</c:v>
                </c:pt>
                <c:pt idx="358">
                  <c:v>-43.78375829474583</c:v>
                </c:pt>
                <c:pt idx="359">
                  <c:v>-36.46443480126058</c:v>
                </c:pt>
                <c:pt idx="360">
                  <c:v>-26.154014910578262</c:v>
                </c:pt>
                <c:pt idx="361">
                  <c:v>-62.858897431571428</c:v>
                </c:pt>
                <c:pt idx="362">
                  <c:v>-47.292798327637335</c:v>
                </c:pt>
                <c:pt idx="363">
                  <c:v>-44.445678316805818</c:v>
                </c:pt>
                <c:pt idx="364">
                  <c:v>-34.892913092603081</c:v>
                </c:pt>
                <c:pt idx="365">
                  <c:v>-41.869678114687346</c:v>
                </c:pt>
                <c:pt idx="366">
                  <c:v>-7.872067004814908</c:v>
                </c:pt>
                <c:pt idx="367">
                  <c:v>-36.038219955400187</c:v>
                </c:pt>
                <c:pt idx="368">
                  <c:v>-23.223390037454418</c:v>
                </c:pt>
                <c:pt idx="369">
                  <c:v>-426.39120489039067</c:v>
                </c:pt>
                <c:pt idx="370">
                  <c:v>-22.315904103486396</c:v>
                </c:pt>
                <c:pt idx="371">
                  <c:v>-31.578551336475975</c:v>
                </c:pt>
                <c:pt idx="372">
                  <c:v>-35.639447588562376</c:v>
                </c:pt>
                <c:pt idx="373">
                  <c:v>-44.883566773129026</c:v>
                </c:pt>
                <c:pt idx="374">
                  <c:v>-106.62831197459569</c:v>
                </c:pt>
                <c:pt idx="375">
                  <c:v>-34.924327910592169</c:v>
                </c:pt>
                <c:pt idx="376">
                  <c:v>-43.16381127464323</c:v>
                </c:pt>
                <c:pt idx="377">
                  <c:v>-10.207100095817273</c:v>
                </c:pt>
                <c:pt idx="378">
                  <c:v>-19.990869713654821</c:v>
                </c:pt>
                <c:pt idx="379">
                  <c:v>-26.873652453011722</c:v>
                </c:pt>
                <c:pt idx="380">
                  <c:v>-38.280848561999861</c:v>
                </c:pt>
                <c:pt idx="381">
                  <c:v>-142.30880496589964</c:v>
                </c:pt>
                <c:pt idx="382">
                  <c:v>-22.195069743338049</c:v>
                </c:pt>
                <c:pt idx="383">
                  <c:v>-297.03450279927</c:v>
                </c:pt>
                <c:pt idx="384">
                  <c:v>-126.7596159416937</c:v>
                </c:pt>
                <c:pt idx="385">
                  <c:v>-31.762007688880821</c:v>
                </c:pt>
                <c:pt idx="386">
                  <c:v>-29.772327364394297</c:v>
                </c:pt>
                <c:pt idx="387">
                  <c:v>-215.77034637305459</c:v>
                </c:pt>
                <c:pt idx="388">
                  <c:v>-33.257709233092534</c:v>
                </c:pt>
                <c:pt idx="389">
                  <c:v>-36.423185440625673</c:v>
                </c:pt>
                <c:pt idx="390">
                  <c:v>-195.86875136307702</c:v>
                </c:pt>
                <c:pt idx="391">
                  <c:v>-98.779952471603778</c:v>
                </c:pt>
                <c:pt idx="392">
                  <c:v>-27.161428818244978</c:v>
                </c:pt>
                <c:pt idx="393">
                  <c:v>-141.92410987336871</c:v>
                </c:pt>
                <c:pt idx="394">
                  <c:v>-184.10534748973618</c:v>
                </c:pt>
                <c:pt idx="395">
                  <c:v>-47.684260893956143</c:v>
                </c:pt>
                <c:pt idx="396">
                  <c:v>-61.249357699199784</c:v>
                </c:pt>
                <c:pt idx="397">
                  <c:v>-98.833468081244746</c:v>
                </c:pt>
                <c:pt idx="398">
                  <c:v>-42.650335645880652</c:v>
                </c:pt>
                <c:pt idx="399">
                  <c:v>-200.24908653365719</c:v>
                </c:pt>
                <c:pt idx="400">
                  <c:v>-64.377792722668886</c:v>
                </c:pt>
                <c:pt idx="401">
                  <c:v>-181.12637927737819</c:v>
                </c:pt>
                <c:pt idx="402">
                  <c:v>-159.03673097257473</c:v>
                </c:pt>
                <c:pt idx="403">
                  <c:v>-165.32760080707934</c:v>
                </c:pt>
                <c:pt idx="404">
                  <c:v>-31.527968855271123</c:v>
                </c:pt>
                <c:pt idx="405">
                  <c:v>-68.700802397330861</c:v>
                </c:pt>
                <c:pt idx="406">
                  <c:v>-23.800881086343161</c:v>
                </c:pt>
                <c:pt idx="407">
                  <c:v>-204.84171843987392</c:v>
                </c:pt>
                <c:pt idx="408">
                  <c:v>-29.06001656730918</c:v>
                </c:pt>
                <c:pt idx="409">
                  <c:v>-33.673622291254851</c:v>
                </c:pt>
                <c:pt idx="410">
                  <c:v>-43.526112558527075</c:v>
                </c:pt>
                <c:pt idx="411">
                  <c:v>-207.24808373289181</c:v>
                </c:pt>
                <c:pt idx="412">
                  <c:v>-164.51340784273918</c:v>
                </c:pt>
                <c:pt idx="413">
                  <c:v>-35.863064572870904</c:v>
                </c:pt>
                <c:pt idx="414">
                  <c:v>-149.31113700430828</c:v>
                </c:pt>
                <c:pt idx="415">
                  <c:v>-74.488151160224731</c:v>
                </c:pt>
                <c:pt idx="416">
                  <c:v>-50.444750168433799</c:v>
                </c:pt>
                <c:pt idx="417">
                  <c:v>-169.0647297090778</c:v>
                </c:pt>
                <c:pt idx="418">
                  <c:v>-20.694989167581411</c:v>
                </c:pt>
                <c:pt idx="419">
                  <c:v>-127.45156377303574</c:v>
                </c:pt>
                <c:pt idx="420">
                  <c:v>-72.322783476101691</c:v>
                </c:pt>
                <c:pt idx="421">
                  <c:v>-47.930812470337322</c:v>
                </c:pt>
                <c:pt idx="422">
                  <c:v>-45.10251100129063</c:v>
                </c:pt>
                <c:pt idx="423">
                  <c:v>-48.094420092115968</c:v>
                </c:pt>
                <c:pt idx="424">
                  <c:v>-59.2753312323659</c:v>
                </c:pt>
                <c:pt idx="425">
                  <c:v>-81.187299658574702</c:v>
                </c:pt>
                <c:pt idx="426">
                  <c:v>-30.937020476182621</c:v>
                </c:pt>
                <c:pt idx="427">
                  <c:v>-180.2377823122271</c:v>
                </c:pt>
                <c:pt idx="428">
                  <c:v>-38.514208623873763</c:v>
                </c:pt>
                <c:pt idx="429">
                  <c:v>-116.43097616519779</c:v>
                </c:pt>
                <c:pt idx="430">
                  <c:v>-49.393817873258094</c:v>
                </c:pt>
                <c:pt idx="431">
                  <c:v>-51.670837846138788</c:v>
                </c:pt>
                <c:pt idx="432">
                  <c:v>-34.154470605705612</c:v>
                </c:pt>
                <c:pt idx="433">
                  <c:v>-40.490289750450792</c:v>
                </c:pt>
                <c:pt idx="434">
                  <c:v>-192.79220559046956</c:v>
                </c:pt>
                <c:pt idx="435">
                  <c:v>-271.53437095518171</c:v>
                </c:pt>
                <c:pt idx="436">
                  <c:v>-89.705073913735006</c:v>
                </c:pt>
                <c:pt idx="437">
                  <c:v>-159.1881143049597</c:v>
                </c:pt>
                <c:pt idx="438">
                  <c:v>-181.80893507526747</c:v>
                </c:pt>
                <c:pt idx="439">
                  <c:v>-126.88546639113831</c:v>
                </c:pt>
                <c:pt idx="440">
                  <c:v>-34.318169906595799</c:v>
                </c:pt>
                <c:pt idx="441">
                  <c:v>-36.034420543463384</c:v>
                </c:pt>
                <c:pt idx="442">
                  <c:v>-32.050753213325194</c:v>
                </c:pt>
                <c:pt idx="443">
                  <c:v>-27.491272592438026</c:v>
                </c:pt>
                <c:pt idx="444">
                  <c:v>-43.657479095424037</c:v>
                </c:pt>
                <c:pt idx="445">
                  <c:v>-149.68867021485781</c:v>
                </c:pt>
                <c:pt idx="446">
                  <c:v>-27.897615904616814</c:v>
                </c:pt>
                <c:pt idx="447">
                  <c:v>-54.245364258977133</c:v>
                </c:pt>
                <c:pt idx="448">
                  <c:v>-80.675550026365613</c:v>
                </c:pt>
                <c:pt idx="449">
                  <c:v>-39.278594532191939</c:v>
                </c:pt>
                <c:pt idx="450">
                  <c:v>-56.487610865694094</c:v>
                </c:pt>
                <c:pt idx="451">
                  <c:v>-130.74183313369596</c:v>
                </c:pt>
                <c:pt idx="452">
                  <c:v>-205.69656637935296</c:v>
                </c:pt>
                <c:pt idx="453">
                  <c:v>-398.55400717863819</c:v>
                </c:pt>
                <c:pt idx="454">
                  <c:v>-80.642500041249363</c:v>
                </c:pt>
                <c:pt idx="455">
                  <c:v>-69.587671391093437</c:v>
                </c:pt>
                <c:pt idx="456">
                  <c:v>-34.685536578209671</c:v>
                </c:pt>
                <c:pt idx="457">
                  <c:v>-267.33105251934296</c:v>
                </c:pt>
                <c:pt idx="458">
                  <c:v>-79.345388285765665</c:v>
                </c:pt>
                <c:pt idx="459">
                  <c:v>-78.475739552099725</c:v>
                </c:pt>
                <c:pt idx="460">
                  <c:v>-233.41677746876042</c:v>
                </c:pt>
                <c:pt idx="461">
                  <c:v>-114.50133732888477</c:v>
                </c:pt>
                <c:pt idx="462">
                  <c:v>-24.062516990708563</c:v>
                </c:pt>
                <c:pt idx="463">
                  <c:v>-161.77874357555015</c:v>
                </c:pt>
                <c:pt idx="464">
                  <c:v>-38.402817619545523</c:v>
                </c:pt>
                <c:pt idx="465">
                  <c:v>-481.5659633975593</c:v>
                </c:pt>
                <c:pt idx="466">
                  <c:v>-120.92743279122013</c:v>
                </c:pt>
                <c:pt idx="467">
                  <c:v>-93.718195641454713</c:v>
                </c:pt>
                <c:pt idx="468">
                  <c:v>-46.897853672215795</c:v>
                </c:pt>
                <c:pt idx="469">
                  <c:v>-127.60282853999954</c:v>
                </c:pt>
                <c:pt idx="470">
                  <c:v>-126.3019853597188</c:v>
                </c:pt>
                <c:pt idx="471">
                  <c:v>-47.436764730146677</c:v>
                </c:pt>
                <c:pt idx="472">
                  <c:v>-70.149730702978246</c:v>
                </c:pt>
                <c:pt idx="473">
                  <c:v>-424.50785151189962</c:v>
                </c:pt>
                <c:pt idx="474">
                  <c:v>-231.87524914255491</c:v>
                </c:pt>
                <c:pt idx="475">
                  <c:v>-139.38856144389538</c:v>
                </c:pt>
                <c:pt idx="476">
                  <c:v>-100.80017516096011</c:v>
                </c:pt>
                <c:pt idx="477">
                  <c:v>-126.23628493518366</c:v>
                </c:pt>
                <c:pt idx="478">
                  <c:v>-82.23545209749885</c:v>
                </c:pt>
                <c:pt idx="479">
                  <c:v>-43.806820994274588</c:v>
                </c:pt>
                <c:pt idx="480">
                  <c:v>-121.47412579193895</c:v>
                </c:pt>
                <c:pt idx="481">
                  <c:v>-306.59496064424991</c:v>
                </c:pt>
                <c:pt idx="482">
                  <c:v>-323.89803705346884</c:v>
                </c:pt>
                <c:pt idx="483">
                  <c:v>-68.967431870905571</c:v>
                </c:pt>
                <c:pt idx="484">
                  <c:v>-133.20493035848901</c:v>
                </c:pt>
                <c:pt idx="485">
                  <c:v>-57.278586882462747</c:v>
                </c:pt>
                <c:pt idx="486">
                  <c:v>-64.369603079511876</c:v>
                </c:pt>
                <c:pt idx="487">
                  <c:v>-37.226489390205614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DA-4C92-9653-BEBE59E429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57218431"/>
        <c:axId val="1357218911"/>
      </c:barChart>
      <c:catAx>
        <c:axId val="135721843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3175" cap="flat" cmpd="sng" algn="ctr">
            <a:solidFill>
              <a:srgbClr val="000000"/>
            </a:solidFill>
            <a:rou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US"/>
          </a:p>
        </c:txPr>
        <c:crossAx val="1357218911"/>
        <c:crosses val="autoZero"/>
        <c:auto val="1"/>
        <c:lblAlgn val="ctr"/>
        <c:lblOffset val="100"/>
        <c:tickMarkSkip val="1"/>
        <c:noMultiLvlLbl val="0"/>
      </c:catAx>
      <c:valAx>
        <c:axId val="1357218911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rgbClr val="E5E5E5"/>
              </a:solidFill>
              <a:prstDash val="solid"/>
              <a:round/>
            </a:ln>
            <a:effectLst/>
          </c:spPr>
        </c:majorGridlines>
        <c:numFmt formatCode="_(* #,##0.0_);_(* \(#,##0.0\);_(* &quot;-&quot;??_);_(@_)" sourceLinked="1"/>
        <c:majorTickMark val="out"/>
        <c:minorTickMark val="none"/>
        <c:tickLblPos val="nextTo"/>
        <c:spPr>
          <a:noFill/>
          <a:ln w="3175">
            <a:solidFill>
              <a:srgbClr val="000000"/>
            </a:solidFill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US"/>
          </a:p>
        </c:txPr>
        <c:crossAx val="1357218431"/>
        <c:crosses val="autoZero"/>
        <c:crossBetween val="between"/>
      </c:valAx>
      <c:spPr>
        <a:solidFill>
          <a:srgbClr val="FFFFFF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25400" cap="flat" cmpd="sng" algn="ctr">
      <a:noFill/>
      <a:round/>
    </a:ln>
    <a:effectLst/>
  </c:spPr>
  <c:txPr>
    <a:bodyPr/>
    <a:lstStyle/>
    <a:p>
      <a:pPr>
        <a:defRPr sz="900" b="0">
          <a:solidFill>
            <a:srgbClr val="000000"/>
          </a:solidFill>
          <a:latin typeface="Source Sans Pro" panose="020B0503030403020204" pitchFamily="34" charset="0"/>
          <a:ea typeface="Source Sans Pro"/>
          <a:cs typeface="Source Sans Pro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r>
              <a:rPr lang="en-GB"/>
              <a:t>Market share change (y/y)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spc="0" baseline="0">
              <a:solidFill>
                <a:srgbClr val="000000"/>
              </a:solidFill>
              <a:latin typeface="Source Sans Pro"/>
              <a:ea typeface="Source Sans Pro"/>
              <a:cs typeface="Source Sans Pro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6362777811675806E-2"/>
          <c:y val="2.0241754512745267E-2"/>
          <c:w val="0.92652076139702666"/>
          <c:h val="0.4993583733067849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2E3E80"/>
            </a:solidFill>
            <a:ln w="3175">
              <a:solidFill>
                <a:srgbClr val="2E3E80"/>
              </a:solidFill>
              <a:prstDash val="solid"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'Technomic Top 500 Chains'!$A$2:$A$495</c15:sqref>
                  </c15:fullRef>
                </c:ext>
              </c:extLst>
              <c:f>('Technomic Top 500 Chains'!$A$2:$A$169,'Technomic Top 500 Chains'!$A$171:$A$178,'Technomic Top 500 Chains'!$A$180:$A$207,'Technomic Top 500 Chains'!$A$209:$A$226,'Technomic Top 500 Chains'!$A$228:$A$256,'Technomic Top 500 Chains'!$A$258:$A$259,'Technomic Top 500 Chains'!$A$261:$A$495)</c:f>
              <c:strCache>
                <c:ptCount val="488"/>
                <c:pt idx="0">
                  <c:v>McDonald's</c:v>
                </c:pt>
                <c:pt idx="1">
                  <c:v>Starbucks</c:v>
                </c:pt>
                <c:pt idx="2">
                  <c:v>Chick-fil-A</c:v>
                </c:pt>
                <c:pt idx="3">
                  <c:v>Taco Bell</c:v>
                </c:pt>
                <c:pt idx="4">
                  <c:v>Wendy's</c:v>
                </c:pt>
                <c:pt idx="5">
                  <c:v>Dunkin'</c:v>
                </c:pt>
                <c:pt idx="6">
                  <c:v>Chipotle Mexican Grill</c:v>
                </c:pt>
                <c:pt idx="7">
                  <c:v>Burger King</c:v>
                </c:pt>
                <c:pt idx="8">
                  <c:v>Subway</c:v>
                </c:pt>
                <c:pt idx="9">
                  <c:v>Domino's</c:v>
                </c:pt>
                <c:pt idx="10">
                  <c:v>Panda Express</c:v>
                </c:pt>
                <c:pt idx="11">
                  <c:v>Panera Bread</c:v>
                </c:pt>
                <c:pt idx="12">
                  <c:v>Popeyes</c:v>
                </c:pt>
                <c:pt idx="13">
                  <c:v>Pizza Hut</c:v>
                </c:pt>
                <c:pt idx="14">
                  <c:v>Texas Roadhouse</c:v>
                </c:pt>
                <c:pt idx="15">
                  <c:v>Sonic Drive-In</c:v>
                </c:pt>
                <c:pt idx="16">
                  <c:v>Olive Garden</c:v>
                </c:pt>
                <c:pt idx="17">
                  <c:v>Raising Cane's</c:v>
                </c:pt>
                <c:pt idx="18">
                  <c:v>Dairy Queen</c:v>
                </c:pt>
                <c:pt idx="19">
                  <c:v>KFC</c:v>
                </c:pt>
                <c:pt idx="20">
                  <c:v>Chili's Grill &amp; Bar</c:v>
                </c:pt>
                <c:pt idx="21">
                  <c:v>Little Caesars</c:v>
                </c:pt>
                <c:pt idx="22">
                  <c:v>Jack in the Box</c:v>
                </c:pt>
                <c:pt idx="23">
                  <c:v>Wingstop</c:v>
                </c:pt>
                <c:pt idx="24">
                  <c:v>Arby's</c:v>
                </c:pt>
                <c:pt idx="25">
                  <c:v>Whataburger</c:v>
                </c:pt>
                <c:pt idx="26">
                  <c:v>Applebee's</c:v>
                </c:pt>
                <c:pt idx="27">
                  <c:v>Buffalo Wild Wings</c:v>
                </c:pt>
                <c:pt idx="28">
                  <c:v>Culver's</c:v>
                </c:pt>
                <c:pt idx="29">
                  <c:v>Jersey Mike's Subs</c:v>
                </c:pt>
                <c:pt idx="30">
                  <c:v>Papa Johns</c:v>
                </c:pt>
                <c:pt idx="31">
                  <c:v>IHOP</c:v>
                </c:pt>
                <c:pt idx="32">
                  <c:v>LongHorn Steakhouse</c:v>
                </c:pt>
                <c:pt idx="33">
                  <c:v>Cracker Barrel</c:v>
                </c:pt>
                <c:pt idx="34">
                  <c:v>Outback Steakhouse</c:v>
                </c:pt>
                <c:pt idx="35">
                  <c:v>Denny's</c:v>
                </c:pt>
                <c:pt idx="36">
                  <c:v>Cheesecake Factory, The</c:v>
                </c:pt>
                <c:pt idx="37">
                  <c:v>Jimmy John's</c:v>
                </c:pt>
                <c:pt idx="38">
                  <c:v>Zaxby's</c:v>
                </c:pt>
                <c:pt idx="39">
                  <c:v>Five Guys</c:v>
                </c:pt>
                <c:pt idx="40">
                  <c:v>Bojangles</c:v>
                </c:pt>
                <c:pt idx="41">
                  <c:v>In-N-Out Burger</c:v>
                </c:pt>
                <c:pt idx="42">
                  <c:v>Hardee's</c:v>
                </c:pt>
                <c:pt idx="43">
                  <c:v>Dutch Bros Coffee</c:v>
                </c:pt>
                <c:pt idx="44">
                  <c:v>Red Lobster</c:v>
                </c:pt>
                <c:pt idx="45">
                  <c:v>Golden Corral</c:v>
                </c:pt>
                <c:pt idx="46">
                  <c:v>Carl's Jr.</c:v>
                </c:pt>
                <c:pt idx="47">
                  <c:v>Red Robin</c:v>
                </c:pt>
                <c:pt idx="48">
                  <c:v>Tropical Smoothie Cafe</c:v>
                </c:pt>
                <c:pt idx="49">
                  <c:v>Waffle House</c:v>
                </c:pt>
                <c:pt idx="50">
                  <c:v>BJ's Restaurant &amp; Brewhouse</c:v>
                </c:pt>
                <c:pt idx="51">
                  <c:v>Shake Shack</c:v>
                </c:pt>
                <c:pt idx="52">
                  <c:v>Crumbl</c:v>
                </c:pt>
                <c:pt idx="53">
                  <c:v>Qdoba Mexican Eats</c:v>
                </c:pt>
                <c:pt idx="54">
                  <c:v>First Watch</c:v>
                </c:pt>
                <c:pt idx="55">
                  <c:v>Firehouse Subs</c:v>
                </c:pt>
                <c:pt idx="56">
                  <c:v>El Pollo Loco</c:v>
                </c:pt>
                <c:pt idx="57">
                  <c:v>Marco's Pizza</c:v>
                </c:pt>
                <c:pt idx="58">
                  <c:v>McAlister's Deli</c:v>
                </c:pt>
                <c:pt idx="59">
                  <c:v>Freddy's Frozen Custard &amp; Steakburgers</c:v>
                </c:pt>
                <c:pt idx="60">
                  <c:v>P.F. Chang's</c:v>
                </c:pt>
                <c:pt idx="61">
                  <c:v>Del Taco</c:v>
                </c:pt>
                <c:pt idx="62">
                  <c:v>Cava</c:v>
                </c:pt>
                <c:pt idx="63">
                  <c:v>Nothing Bundt Cakes</c:v>
                </c:pt>
                <c:pt idx="64">
                  <c:v>Yard House</c:v>
                </c:pt>
                <c:pt idx="65">
                  <c:v>Church's Texas Chicken</c:v>
                </c:pt>
                <c:pt idx="66">
                  <c:v>Ruth's Chris Steak House</c:v>
                </c:pt>
                <c:pt idx="67">
                  <c:v>Auntie Anne's</c:v>
                </c:pt>
                <c:pt idx="68">
                  <c:v>Tim Hortons</c:v>
                </c:pt>
                <c:pt idx="69">
                  <c:v>Cheddar's Scratch Kitchen</c:v>
                </c:pt>
                <c:pt idx="70">
                  <c:v>Smoothie King</c:v>
                </c:pt>
                <c:pt idx="71">
                  <c:v>Bob Evans</c:v>
                </c:pt>
                <c:pt idx="72">
                  <c:v>Steak 'n Shake</c:v>
                </c:pt>
                <c:pt idx="73">
                  <c:v>Krispy Kreme</c:v>
                </c:pt>
                <c:pt idx="74">
                  <c:v>Charleys Cheesesteaks</c:v>
                </c:pt>
                <c:pt idx="75">
                  <c:v>Carrabba's Italian Grill</c:v>
                </c:pt>
                <c:pt idx="76">
                  <c:v>Papa Murphy's Pizza</c:v>
                </c:pt>
                <c:pt idx="77">
                  <c:v>Scooter's Coffee</c:v>
                </c:pt>
                <c:pt idx="78">
                  <c:v>Moe's Southwest Grill</c:v>
                </c:pt>
                <c:pt idx="79">
                  <c:v>Habit Burger &amp; Grill</c:v>
                </c:pt>
                <c:pt idx="80">
                  <c:v>Portillo's</c:v>
                </c:pt>
                <c:pt idx="81">
                  <c:v>Baskin-Robbins</c:v>
                </c:pt>
                <c:pt idx="82">
                  <c:v>Hooters</c:v>
                </c:pt>
                <c:pt idx="83">
                  <c:v>Sweetgreen</c:v>
                </c:pt>
                <c:pt idx="84">
                  <c:v>Jason's Deli</c:v>
                </c:pt>
                <c:pt idx="85">
                  <c:v>Fogo de Chao</c:v>
                </c:pt>
                <c:pt idx="86">
                  <c:v>White Castle</c:v>
                </c:pt>
                <c:pt idx="87">
                  <c:v>Einstein Bros. Bagels</c:v>
                </c:pt>
                <c:pt idx="88">
                  <c:v>Dave's Hot Chicken</c:v>
                </c:pt>
                <c:pt idx="89">
                  <c:v>Cooper's Hawk Winery &amp; Restaurants</c:v>
                </c:pt>
                <c:pt idx="90">
                  <c:v>Noodles &amp; Company</c:v>
                </c:pt>
                <c:pt idx="91">
                  <c:v>Dave &amp; Buster's</c:v>
                </c:pt>
                <c:pt idx="92">
                  <c:v>Miller's Ale House</c:v>
                </c:pt>
                <c:pt idx="93">
                  <c:v>Jack's Family Restaurants</c:v>
                </c:pt>
                <c:pt idx="94">
                  <c:v>MOD Pizza</c:v>
                </c:pt>
                <c:pt idx="95">
                  <c:v>Capital Grille, The</c:v>
                </c:pt>
                <c:pt idx="96">
                  <c:v>Twin Peaks</c:v>
                </c:pt>
                <c:pt idx="97">
                  <c:v>Cold Stone Creamery</c:v>
                </c:pt>
                <c:pt idx="98">
                  <c:v>Potbelly Sandwich Shop</c:v>
                </c:pt>
                <c:pt idx="99">
                  <c:v>Jet's Pizza</c:v>
                </c:pt>
                <c:pt idx="100">
                  <c:v>Checkers</c:v>
                </c:pt>
                <c:pt idx="101">
                  <c:v>Captain D's Seafood Kitchen</c:v>
                </c:pt>
                <c:pt idx="102">
                  <c:v>Bonefish Grill</c:v>
                </c:pt>
                <c:pt idx="103">
                  <c:v>Torchy's Tacos</c:v>
                </c:pt>
                <c:pt idx="104">
                  <c:v>Benihana</c:v>
                </c:pt>
                <c:pt idx="105">
                  <c:v>Maggiano's Little Italy</c:v>
                </c:pt>
                <c:pt idx="106">
                  <c:v>Perkins American Food Co.</c:v>
                </c:pt>
                <c:pt idx="107">
                  <c:v>7 Brew Drive Thru Coffee</c:v>
                </c:pt>
                <c:pt idx="108">
                  <c:v>Saltgrass Steak House</c:v>
                </c:pt>
                <c:pt idx="109">
                  <c:v>Chuy's</c:v>
                </c:pt>
                <c:pt idx="110">
                  <c:v>Jamba</c:v>
                </c:pt>
                <c:pt idx="111">
                  <c:v>Paris Baguette</c:v>
                </c:pt>
                <c:pt idx="112">
                  <c:v>Slim Chickens</c:v>
                </c:pt>
                <c:pt idx="113">
                  <c:v>Topgolf</c:v>
                </c:pt>
                <c:pt idx="114">
                  <c:v>Black Bear Diner</c:v>
                </c:pt>
                <c:pt idx="115">
                  <c:v>Hungry Howie's Pizza</c:v>
                </c:pt>
                <c:pt idx="116">
                  <c:v>Round Table Pizza</c:v>
                </c:pt>
                <c:pt idx="117">
                  <c:v>Taco John's</c:v>
                </c:pt>
                <c:pt idx="118">
                  <c:v>Din Tai Fung</c:v>
                </c:pt>
                <c:pt idx="119">
                  <c:v>Chuck E. Cheese</c:v>
                </c:pt>
                <c:pt idx="120">
                  <c:v>Texas de Brazil</c:v>
                </c:pt>
                <c:pt idx="121">
                  <c:v>TGI Fridays</c:v>
                </c:pt>
                <c:pt idx="122">
                  <c:v>California Pizza Kitchen</c:v>
                </c:pt>
                <c:pt idx="123">
                  <c:v>Lazy Dog Restaurant &amp; Bar</c:v>
                </c:pt>
                <c:pt idx="124">
                  <c:v>Honey Baked Ham Co.</c:v>
                </c:pt>
                <c:pt idx="125">
                  <c:v>KPOT Korean BBQ &amp; Hot Pot</c:v>
                </c:pt>
                <c:pt idx="126">
                  <c:v>Chicken Salad Chick</c:v>
                </c:pt>
                <c:pt idx="127">
                  <c:v>Caribou Coffee</c:v>
                </c:pt>
                <c:pt idx="128">
                  <c:v>Cafe Rio Mexican Grill</c:v>
                </c:pt>
                <c:pt idx="129">
                  <c:v>Mellow Mushroom</c:v>
                </c:pt>
                <c:pt idx="130">
                  <c:v>Firebirds Wood Fired Grill</c:v>
                </c:pt>
                <c:pt idx="131">
                  <c:v>Logan's Roadhouse</c:v>
                </c:pt>
                <c:pt idx="132">
                  <c:v>Cook Out</c:v>
                </c:pt>
                <c:pt idx="133">
                  <c:v>Fleming's Prime Steakhouse &amp; Wine Bar</c:v>
                </c:pt>
                <c:pt idx="134">
                  <c:v>Pizza Ranch</c:v>
                </c:pt>
                <c:pt idx="135">
                  <c:v>Mountain Mike's Pizza</c:v>
                </c:pt>
                <c:pt idx="136">
                  <c:v>Blaze Pizza</c:v>
                </c:pt>
                <c:pt idx="137">
                  <c:v>Wienerschnitzel</c:v>
                </c:pt>
                <c:pt idx="138">
                  <c:v>Walk-On's Sports Bistreaux</c:v>
                </c:pt>
                <c:pt idx="139">
                  <c:v>Schlotzsky's</c:v>
                </c:pt>
                <c:pt idx="140">
                  <c:v>Pollo Tropical</c:v>
                </c:pt>
                <c:pt idx="141">
                  <c:v>Pollo Campero</c:v>
                </c:pt>
                <c:pt idx="142">
                  <c:v>Jollibee</c:v>
                </c:pt>
                <c:pt idx="143">
                  <c:v>Mastro's Restaurants</c:v>
                </c:pt>
                <c:pt idx="144">
                  <c:v>True Food Kitchen</c:v>
                </c:pt>
                <c:pt idx="145">
                  <c:v>Biggby Coffee</c:v>
                </c:pt>
                <c:pt idx="146">
                  <c:v>Shipley Do-Nuts</c:v>
                </c:pt>
                <c:pt idx="147">
                  <c:v>Rally's</c:v>
                </c:pt>
                <c:pt idx="148">
                  <c:v>Golden Chick</c:v>
                </c:pt>
                <c:pt idx="149">
                  <c:v>Seasons 52</c:v>
                </c:pt>
                <c:pt idx="150">
                  <c:v>Peet's Coffee</c:v>
                </c:pt>
                <c:pt idx="151">
                  <c:v>North Italia</c:v>
                </c:pt>
                <c:pt idx="152">
                  <c:v>Bubba's 33</c:v>
                </c:pt>
                <c:pt idx="153">
                  <c:v>Playa Bowls</c:v>
                </c:pt>
                <c:pt idx="154">
                  <c:v>Ninety Nine Restaurant &amp; Pub</c:v>
                </c:pt>
                <c:pt idx="155">
                  <c:v>Famous Dave's</c:v>
                </c:pt>
                <c:pt idx="156">
                  <c:v>Krystal Company</c:v>
                </c:pt>
                <c:pt idx="157">
                  <c:v>Perry's Steakhouse &amp; Grille</c:v>
                </c:pt>
                <c:pt idx="158">
                  <c:v>Ruby Tuesday</c:v>
                </c:pt>
                <c:pt idx="159">
                  <c:v>Wetzel's Pretzels</c:v>
                </c:pt>
                <c:pt idx="160">
                  <c:v>Cinnabon</c:v>
                </c:pt>
                <c:pt idx="161">
                  <c:v>Braum's Ice Cream &amp; Dairy Stores</c:v>
                </c:pt>
                <c:pt idx="162">
                  <c:v>Eddie V's Prime Seafood</c:v>
                </c:pt>
                <c:pt idx="163">
                  <c:v>Long John Silver's</c:v>
                </c:pt>
                <c:pt idx="164">
                  <c:v>Fazoli's</c:v>
                </c:pt>
                <c:pt idx="165">
                  <c:v>Mendocino Farms</c:v>
                </c:pt>
                <c:pt idx="166">
                  <c:v>J. Alexander's</c:v>
                </c:pt>
                <c:pt idx="167">
                  <c:v>Dickey's Barbecue Pit</c:v>
                </c:pt>
                <c:pt idx="168">
                  <c:v>Godfather's Pizza</c:v>
                </c:pt>
                <c:pt idx="169">
                  <c:v>Penn Station East Coast Subs</c:v>
                </c:pt>
                <c:pt idx="170">
                  <c:v>A&amp;W All American Food</c:v>
                </c:pt>
                <c:pt idx="171">
                  <c:v>Morton's The Steakhouse</c:v>
                </c:pt>
                <c:pt idx="172">
                  <c:v>Sbarro</c:v>
                </c:pt>
                <c:pt idx="173">
                  <c:v>Salad and Go</c:v>
                </c:pt>
                <c:pt idx="174">
                  <c:v>Cicis</c:v>
                </c:pt>
                <c:pt idx="175">
                  <c:v>Bahama Breeze Island Grille</c:v>
                </c:pt>
                <c:pt idx="176">
                  <c:v>bb.q Chicken</c:v>
                </c:pt>
                <c:pt idx="177">
                  <c:v>Ono Hawaiian BBQ</c:v>
                </c:pt>
                <c:pt idx="178">
                  <c:v>Farmer Boys</c:v>
                </c:pt>
                <c:pt idx="179">
                  <c:v>Kura Sushi</c:v>
                </c:pt>
                <c:pt idx="180">
                  <c:v>L&amp;L Hawaiian Barbecue</c:v>
                </c:pt>
                <c:pt idx="181">
                  <c:v>Del Frisco's Double Eagle Steak House</c:v>
                </c:pt>
                <c:pt idx="182">
                  <c:v>City Barbeque</c:v>
                </c:pt>
                <c:pt idx="183">
                  <c:v>Nobu Restaurants</c:v>
                </c:pt>
                <c:pt idx="184">
                  <c:v>Smashburger</c:v>
                </c:pt>
                <c:pt idx="185">
                  <c:v>Lee's Famous Recipe Chicken</c:v>
                </c:pt>
                <c:pt idx="186">
                  <c:v>Ocean Prime</c:v>
                </c:pt>
                <c:pt idx="187">
                  <c:v>Donatos Pizza</c:v>
                </c:pt>
                <c:pt idx="188">
                  <c:v>On The Border</c:v>
                </c:pt>
                <c:pt idx="189">
                  <c:v>Coffee Bean &amp; Tea Leaf</c:v>
                </c:pt>
                <c:pt idx="190">
                  <c:v>Hook &amp; Reel</c:v>
                </c:pt>
                <c:pt idx="191">
                  <c:v>Pappadeaux Seafood Kitchen</c:v>
                </c:pt>
                <c:pt idx="192">
                  <c:v>Tous Les Jours</c:v>
                </c:pt>
                <c:pt idx="193">
                  <c:v>STK</c:v>
                </c:pt>
                <c:pt idx="194">
                  <c:v>Beef 'O' Brady's</c:v>
                </c:pt>
                <c:pt idx="195">
                  <c:v>Newk's Eatery</c:v>
                </c:pt>
                <c:pt idx="196">
                  <c:v>Taco Cabana</c:v>
                </c:pt>
                <c:pt idx="197">
                  <c:v>Kung Fu Tea</c:v>
                </c:pt>
                <c:pt idx="198">
                  <c:v>Pei Wei</c:v>
                </c:pt>
                <c:pt idx="199">
                  <c:v>Huddle House</c:v>
                </c:pt>
                <c:pt idx="200">
                  <c:v>Corner Bakery</c:v>
                </c:pt>
                <c:pt idx="201">
                  <c:v>Andy's Frozen Custard</c:v>
                </c:pt>
                <c:pt idx="202">
                  <c:v>Gen Korean BBQ</c:v>
                </c:pt>
                <c:pt idx="203">
                  <c:v>Bonchon</c:v>
                </c:pt>
                <c:pt idx="204">
                  <c:v>Snooze, an A.M. Eatery</c:v>
                </c:pt>
                <c:pt idx="205">
                  <c:v>Another Broken Egg Cafe</c:v>
                </c:pt>
                <c:pt idx="206">
                  <c:v>Original Pancake House, The</c:v>
                </c:pt>
                <c:pt idx="207">
                  <c:v>Rita's Ice</c:v>
                </c:pt>
                <c:pt idx="208">
                  <c:v>Melting Pot</c:v>
                </c:pt>
                <c:pt idx="209">
                  <c:v>La Madeleine</c:v>
                </c:pt>
                <c:pt idx="210">
                  <c:v>Costa Vida Fresh Mexican Grill</c:v>
                </c:pt>
                <c:pt idx="211">
                  <c:v>Lupe Tortilla</c:v>
                </c:pt>
                <c:pt idx="212">
                  <c:v>Fuzzy's Taco Shop</c:v>
                </c:pt>
                <c:pt idx="213">
                  <c:v>Panini Kabob Grill</c:v>
                </c:pt>
                <c:pt idx="214">
                  <c:v>Just Salad</c:v>
                </c:pt>
                <c:pt idx="215">
                  <c:v>Wayback Burgers</c:v>
                </c:pt>
                <c:pt idx="216">
                  <c:v>54th Street Restaurant &amp; Drafthouse</c:v>
                </c:pt>
                <c:pt idx="217">
                  <c:v>Taziki's Mediterranean Cafe</c:v>
                </c:pt>
                <c:pt idx="218">
                  <c:v>Bruegger's Bagels</c:v>
                </c:pt>
                <c:pt idx="219">
                  <c:v>Sonny's BBQ</c:v>
                </c:pt>
                <c:pt idx="220">
                  <c:v>Chopt</c:v>
                </c:pt>
                <c:pt idx="221">
                  <c:v>Bartaco</c:v>
                </c:pt>
                <c:pt idx="222">
                  <c:v>WaBa Grill</c:v>
                </c:pt>
                <c:pt idx="223">
                  <c:v>Condado Tacos</c:v>
                </c:pt>
                <c:pt idx="224">
                  <c:v>Mission BBQ</c:v>
                </c:pt>
                <c:pt idx="225">
                  <c:v>Bill Miller Bar-B-Q</c:v>
                </c:pt>
                <c:pt idx="226">
                  <c:v>Jinya Ramen Bar</c:v>
                </c:pt>
                <c:pt idx="227">
                  <c:v>Bar Louie</c:v>
                </c:pt>
                <c:pt idx="228">
                  <c:v>Rubio's</c:v>
                </c:pt>
                <c:pt idx="229">
                  <c:v>Boiling Crab</c:v>
                </c:pt>
                <c:pt idx="230">
                  <c:v>Village Inn</c:v>
                </c:pt>
                <c:pt idx="231">
                  <c:v>LaRosa's Pizzeria</c:v>
                </c:pt>
                <c:pt idx="232">
                  <c:v>Black Rock Coffee Bar</c:v>
                </c:pt>
                <c:pt idx="233">
                  <c:v>Pret A Manger</c:v>
                </c:pt>
                <c:pt idx="234">
                  <c:v>Nekter Juice Bar</c:v>
                </c:pt>
                <c:pt idx="235">
                  <c:v>Metro Diner</c:v>
                </c:pt>
                <c:pt idx="236">
                  <c:v>Carvel Ice Cream</c:v>
                </c:pt>
                <c:pt idx="237">
                  <c:v>Roosters Wings</c:v>
                </c:pt>
                <c:pt idx="238">
                  <c:v>Teriyaki Madness</c:v>
                </c:pt>
                <c:pt idx="239">
                  <c:v>Great American Cookies</c:v>
                </c:pt>
                <c:pt idx="240">
                  <c:v>Buca di Beppo</c:v>
                </c:pt>
                <c:pt idx="241">
                  <c:v>Smokey Bones</c:v>
                </c:pt>
                <c:pt idx="242">
                  <c:v>Old Chicago Pizza + Taproom</c:v>
                </c:pt>
                <c:pt idx="243">
                  <c:v>Runza</c:v>
                </c:pt>
                <c:pt idx="244">
                  <c:v>Human Bean, The</c:v>
                </c:pt>
                <c:pt idx="245">
                  <c:v>O'Charley's</c:v>
                </c:pt>
                <c:pt idx="246">
                  <c:v>Hopdoddy Burger Bar</c:v>
                </c:pt>
                <c:pt idx="247">
                  <c:v>PDQ Chicken</c:v>
                </c:pt>
                <c:pt idx="248">
                  <c:v>American Deli</c:v>
                </c:pt>
                <c:pt idx="249">
                  <c:v>BurgerFi</c:v>
                </c:pt>
                <c:pt idx="250">
                  <c:v>Aroma Joe's</c:v>
                </c:pt>
                <c:pt idx="251">
                  <c:v>Burgerville</c:v>
                </c:pt>
                <c:pt idx="252">
                  <c:v>Philz Coffee</c:v>
                </c:pt>
                <c:pt idx="253">
                  <c:v>PJ's Coffee of New Orleans</c:v>
                </c:pt>
                <c:pt idx="254">
                  <c:v>Mooyah</c:v>
                </c:pt>
                <c:pt idx="255">
                  <c:v>Ziggi's Coffee</c:v>
                </c:pt>
                <c:pt idx="256">
                  <c:v>Bluestone Lane</c:v>
                </c:pt>
                <c:pt idx="257">
                  <c:v>Au Bon Pain</c:v>
                </c:pt>
                <c:pt idx="258">
                  <c:v>Hat Creek Burger Co.</c:v>
                </c:pt>
                <c:pt idx="259">
                  <c:v>Fuddruckers</c:v>
                </c:pt>
                <c:pt idx="260">
                  <c:v>Wahlburgers</c:v>
                </c:pt>
                <c:pt idx="261">
                  <c:v>Hawaiian Bros Island Grill</c:v>
                </c:pt>
                <c:pt idx="262">
                  <c:v>Johnny's New York Style Pizza</c:v>
                </c:pt>
                <c:pt idx="263">
                  <c:v>HTeaO</c:v>
                </c:pt>
                <c:pt idx="264">
                  <c:v>Crisp &amp; Green</c:v>
                </c:pt>
                <c:pt idx="265">
                  <c:v>Nick the Greek</c:v>
                </c:pt>
                <c:pt idx="266">
                  <c:v>Huey Magoo's</c:v>
                </c:pt>
                <c:pt idx="267">
                  <c:v>Crafty Crab</c:v>
                </c:pt>
                <c:pt idx="268">
                  <c:v>Jeremiah's Italian Ice</c:v>
                </c:pt>
                <c:pt idx="269">
                  <c:v>Huckleberry's</c:v>
                </c:pt>
                <c:pt idx="270">
                  <c:v>Super Chix</c:v>
                </c:pt>
                <c:pt idx="271">
                  <c:v>Bubbakoo's Burritos</c:v>
                </c:pt>
                <c:pt idx="272">
                  <c:v>Barrio Tacos</c:v>
                </c:pt>
                <c:pt idx="273">
                  <c:v>Swig</c:v>
                </c:pt>
                <c:pt idx="274">
                  <c:v>Handel's Homemade Ice Cream</c:v>
                </c:pt>
                <c:pt idx="275">
                  <c:v>Gong Cha</c:v>
                </c:pt>
                <c:pt idx="276">
                  <c:v>WNB Factory</c:v>
                </c:pt>
                <c:pt idx="277">
                  <c:v>Cheba Hut</c:v>
                </c:pt>
                <c:pt idx="278">
                  <c:v>Hawkers Asian Street Food</c:v>
                </c:pt>
                <c:pt idx="279">
                  <c:v>Eggs Up Grill</c:v>
                </c:pt>
                <c:pt idx="280">
                  <c:v>Toasted Yolk Cafe, The</c:v>
                </c:pt>
                <c:pt idx="281">
                  <c:v>Emmy Squared Pizza</c:v>
                </c:pt>
                <c:pt idx="282">
                  <c:v>Clean Eatz</c:v>
                </c:pt>
                <c:pt idx="283">
                  <c:v>Sharetea</c:v>
                </c:pt>
                <c:pt idx="284">
                  <c:v>Ruby Slipper Cafe</c:v>
                </c:pt>
                <c:pt idx="285">
                  <c:v>Ford's Garage</c:v>
                </c:pt>
                <c:pt idx="286">
                  <c:v>Clean Juice</c:v>
                </c:pt>
                <c:pt idx="287">
                  <c:v>Mo'Bettahs</c:v>
                </c:pt>
                <c:pt idx="288">
                  <c:v>Capriotti's Sandwich Shop</c:v>
                </c:pt>
                <c:pt idx="289">
                  <c:v>Rock N Roll Sushi</c:v>
                </c:pt>
                <c:pt idx="290">
                  <c:v>Postino WineCafe</c:v>
                </c:pt>
                <c:pt idx="291">
                  <c:v>Maple Street Biscuit Company</c:v>
                </c:pt>
                <c:pt idx="292">
                  <c:v>Hampton Social, The</c:v>
                </c:pt>
                <c:pt idx="293">
                  <c:v>Honeygrow</c:v>
                </c:pt>
                <c:pt idx="294">
                  <c:v>Velvet Taco</c:v>
                </c:pt>
                <c:pt idx="295">
                  <c:v>Tupelo Honey Southern Kitchen &amp; Bar</c:v>
                </c:pt>
                <c:pt idx="296">
                  <c:v>Board &amp; Brew</c:v>
                </c:pt>
                <c:pt idx="297">
                  <c:v>Bombshells</c:v>
                </c:pt>
                <c:pt idx="298">
                  <c:v>110 Grill</c:v>
                </c:pt>
                <c:pt idx="299">
                  <c:v>California Fish Grill</c:v>
                </c:pt>
                <c:pt idx="300">
                  <c:v>Pokeworks</c:v>
                </c:pt>
                <c:pt idx="301">
                  <c:v>Dog Haus</c:v>
                </c:pt>
                <c:pt idx="302">
                  <c:v>Juicy Crab, The</c:v>
                </c:pt>
                <c:pt idx="303">
                  <c:v>Ike's Love &amp; Sandwiches</c:v>
                </c:pt>
                <c:pt idx="304">
                  <c:v>Bruster's Real Ice Cream</c:v>
                </c:pt>
                <c:pt idx="305">
                  <c:v>Gus's Fried Chicken</c:v>
                </c:pt>
                <c:pt idx="306">
                  <c:v>Jeni's Splendid Ice Creams</c:v>
                </c:pt>
                <c:pt idx="307">
                  <c:v>Bibibop Asian Grill</c:v>
                </c:pt>
                <c:pt idx="308">
                  <c:v>Angry Crab Shack</c:v>
                </c:pt>
                <c:pt idx="309">
                  <c:v>Main Event</c:v>
                </c:pt>
                <c:pt idx="310">
                  <c:v>Pancheros Mexican Grill</c:v>
                </c:pt>
                <c:pt idx="311">
                  <c:v>Epic Wings</c:v>
                </c:pt>
                <c:pt idx="312">
                  <c:v>Blue Sushi Sake Grill</c:v>
                </c:pt>
                <c:pt idx="313">
                  <c:v>&amp;pizza</c:v>
                </c:pt>
                <c:pt idx="314">
                  <c:v>Culinary Dropout</c:v>
                </c:pt>
                <c:pt idx="315">
                  <c:v>Lou Malnati's</c:v>
                </c:pt>
                <c:pt idx="316">
                  <c:v>Flower Child</c:v>
                </c:pt>
                <c:pt idx="317">
                  <c:v>Pizza Guys</c:v>
                </c:pt>
                <c:pt idx="318">
                  <c:v>Ojos Locos Sports Cantina</c:v>
                </c:pt>
                <c:pt idx="319">
                  <c:v>Piada Italian Street Food</c:v>
                </c:pt>
                <c:pt idx="320">
                  <c:v>Dion's Pizza</c:v>
                </c:pt>
                <c:pt idx="321">
                  <c:v>Flanigan's</c:v>
                </c:pt>
                <c:pt idx="322">
                  <c:v>Red Ribbon Bakeshop</c:v>
                </c:pt>
                <c:pt idx="323">
                  <c:v>Thirsty Lion Gastropub</c:v>
                </c:pt>
                <c:pt idx="324">
                  <c:v>Pinstripes</c:v>
                </c:pt>
                <c:pt idx="325">
                  <c:v>Silver Diner</c:v>
                </c:pt>
                <c:pt idx="326">
                  <c:v>Cousins Subs</c:v>
                </c:pt>
                <c:pt idx="327">
                  <c:v>Bricktown Brewery</c:v>
                </c:pt>
                <c:pt idx="328">
                  <c:v>Toppers Pizza</c:v>
                </c:pt>
                <c:pt idx="329">
                  <c:v>Barcelona Wine Bar</c:v>
                </c:pt>
                <c:pt idx="330">
                  <c:v>Duck Donuts</c:v>
                </c:pt>
                <c:pt idx="331">
                  <c:v>Mr. Gatti's Pizza</c:v>
                </c:pt>
                <c:pt idx="332">
                  <c:v>Brass Tap, The</c:v>
                </c:pt>
                <c:pt idx="333">
                  <c:v>Kolache Factory</c:v>
                </c:pt>
                <c:pt idx="334">
                  <c:v>Nathan's Famous</c:v>
                </c:pt>
                <c:pt idx="335">
                  <c:v>Broken Yolk Cafe</c:v>
                </c:pt>
                <c:pt idx="336">
                  <c:v>Cafe Zupas</c:v>
                </c:pt>
                <c:pt idx="337">
                  <c:v>Glory Days Grill</c:v>
                </c:pt>
                <c:pt idx="338">
                  <c:v>Kilwins</c:v>
                </c:pt>
                <c:pt idx="339">
                  <c:v>Mr. Pickle's Sandwich Shop</c:v>
                </c:pt>
                <c:pt idx="340">
                  <c:v>Bahama Buck's</c:v>
                </c:pt>
                <c:pt idx="341">
                  <c:v>Urban Plates</c:v>
                </c:pt>
                <c:pt idx="342">
                  <c:v>Halal Guys, The</c:v>
                </c:pt>
                <c:pt idx="343">
                  <c:v>P.J. Whelihan's Pub &amp; Restaurant</c:v>
                </c:pt>
                <c:pt idx="344">
                  <c:v>PrimoHoagies</c:v>
                </c:pt>
                <c:pt idx="345">
                  <c:v>Noah's Bagels</c:v>
                </c:pt>
                <c:pt idx="346">
                  <c:v>Salata</c:v>
                </c:pt>
                <c:pt idx="347">
                  <c:v>Gyu-Kaku</c:v>
                </c:pt>
                <c:pt idx="348">
                  <c:v>Biscuitville Fresh Southern</c:v>
                </c:pt>
                <c:pt idx="349">
                  <c:v>Wings Etc. Grill &amp; Pub</c:v>
                </c:pt>
                <c:pt idx="350">
                  <c:v>Iron Hill Brewery &amp; Restaurant</c:v>
                </c:pt>
                <c:pt idx="351">
                  <c:v>Rudy's Texas Bar-B-Q</c:v>
                </c:pt>
                <c:pt idx="352">
                  <c:v>Grimaldi's Pizzeria</c:v>
                </c:pt>
                <c:pt idx="353">
                  <c:v>Burtons Grill &amp; Bar</c:v>
                </c:pt>
                <c:pt idx="354">
                  <c:v>Bad Daddy's Burger Bar</c:v>
                </c:pt>
                <c:pt idx="355">
                  <c:v>Yum Yum Donut Shops</c:v>
                </c:pt>
                <c:pt idx="356">
                  <c:v>Keke's Breakfast Cafe</c:v>
                </c:pt>
                <c:pt idx="357">
                  <c:v>Pluckers Wing Bar</c:v>
                </c:pt>
                <c:pt idx="358">
                  <c:v>Ledo Pizza</c:v>
                </c:pt>
                <c:pt idx="359">
                  <c:v>Plaza Azteca</c:v>
                </c:pt>
                <c:pt idx="360">
                  <c:v>Simple Simon's Pizza</c:v>
                </c:pt>
                <c:pt idx="361">
                  <c:v>Jefferson's Restaurant</c:v>
                </c:pt>
                <c:pt idx="362">
                  <c:v>Rodizio Grill</c:v>
                </c:pt>
                <c:pt idx="363">
                  <c:v>Primanti Bros.</c:v>
                </c:pt>
                <c:pt idx="364">
                  <c:v>Elmer's Restaurants</c:v>
                </c:pt>
                <c:pt idx="365">
                  <c:v>Sullivan's Steakhouse</c:v>
                </c:pt>
                <c:pt idx="366">
                  <c:v>Pal's Sudden Service</c:v>
                </c:pt>
                <c:pt idx="367">
                  <c:v>Eureka! Restaurants</c:v>
                </c:pt>
                <c:pt idx="368">
                  <c:v>Hot Head Burritos</c:v>
                </c:pt>
                <c:pt idx="369">
                  <c:v>Kona Grill</c:v>
                </c:pt>
                <c:pt idx="370">
                  <c:v>Taco Casa</c:v>
                </c:pt>
                <c:pt idx="371">
                  <c:v>Pizza Factory</c:v>
                </c:pt>
                <c:pt idx="372">
                  <c:v>Rosa's Cafe Tortilla Factory</c:v>
                </c:pt>
                <c:pt idx="373">
                  <c:v>Jim 'N Nick's Bar-B-Q</c:v>
                </c:pt>
                <c:pt idx="374">
                  <c:v>Marble Slab Creamery</c:v>
                </c:pt>
                <c:pt idx="375">
                  <c:v>Pizza Inn</c:v>
                </c:pt>
                <c:pt idx="376">
                  <c:v>Rosati's Pizza</c:v>
                </c:pt>
                <c:pt idx="377">
                  <c:v>Fatburger</c:v>
                </c:pt>
                <c:pt idx="378">
                  <c:v>Port of Subs</c:v>
                </c:pt>
                <c:pt idx="379">
                  <c:v>Rusty Bucket Restaurant and Tavern</c:v>
                </c:pt>
                <c:pt idx="380">
                  <c:v>Rib &amp; Chop House</c:v>
                </c:pt>
                <c:pt idx="381">
                  <c:v>Wings and Rings</c:v>
                </c:pt>
                <c:pt idx="382">
                  <c:v>Buona</c:v>
                </c:pt>
                <c:pt idx="383">
                  <c:v>Skyline Chili</c:v>
                </c:pt>
                <c:pt idx="384">
                  <c:v>Red Crab Juicy Seafood</c:v>
                </c:pt>
                <c:pt idx="385">
                  <c:v>Mi Cocina</c:v>
                </c:pt>
                <c:pt idx="386">
                  <c:v>Nando's</c:v>
                </c:pt>
                <c:pt idx="387">
                  <c:v>Saladworks</c:v>
                </c:pt>
                <c:pt idx="388">
                  <c:v>Chicken Express</c:v>
                </c:pt>
                <c:pt idx="389">
                  <c:v>Gloria's Latin Cuisine</c:v>
                </c:pt>
                <c:pt idx="390">
                  <c:v>Boiling Point</c:v>
                </c:pt>
                <c:pt idx="391">
                  <c:v>Serafina</c:v>
                </c:pt>
                <c:pt idx="392">
                  <c:v>Peter Piper Pizza</c:v>
                </c:pt>
                <c:pt idx="393">
                  <c:v>Truluck's</c:v>
                </c:pt>
                <c:pt idx="394">
                  <c:v>Luna Grill</c:v>
                </c:pt>
                <c:pt idx="395">
                  <c:v>Freebirds World Burrito</c:v>
                </c:pt>
                <c:pt idx="396">
                  <c:v>Bob's Steak &amp; Chop House</c:v>
                </c:pt>
                <c:pt idx="397">
                  <c:v>Uncle Julio's</c:v>
                </c:pt>
                <c:pt idx="398">
                  <c:v>Wood Ranch BBQ &amp; Grill</c:v>
                </c:pt>
                <c:pt idx="399">
                  <c:v>Anthony's Restaurants</c:v>
                </c:pt>
                <c:pt idx="400">
                  <c:v>Gator's Dockside</c:v>
                </c:pt>
                <c:pt idx="401">
                  <c:v>Haagen-Dazs</c:v>
                </c:pt>
                <c:pt idx="402">
                  <c:v>Yoshinoya</c:v>
                </c:pt>
                <c:pt idx="403">
                  <c:v>Old Spaghetti Factory, The</c:v>
                </c:pt>
                <c:pt idx="404">
                  <c:v>Hillstone</c:v>
                </c:pt>
                <c:pt idx="405">
                  <c:v>Fricker's</c:v>
                </c:pt>
                <c:pt idx="406">
                  <c:v>Margaritas Mexican Restaurant</c:v>
                </c:pt>
                <c:pt idx="407">
                  <c:v>Moe's Original BBQ</c:v>
                </c:pt>
                <c:pt idx="408">
                  <c:v>Imo's Pizza</c:v>
                </c:pt>
                <c:pt idx="409">
                  <c:v>Margaritaville Restaurants</c:v>
                </c:pt>
                <c:pt idx="410">
                  <c:v>Tommy Bahama Restaurants</c:v>
                </c:pt>
                <c:pt idx="411">
                  <c:v>Chart House</c:v>
                </c:pt>
                <c:pt idx="412">
                  <c:v>Daylight Donuts</c:v>
                </c:pt>
                <c:pt idx="413">
                  <c:v>Razzoo's Cajun Cafe</c:v>
                </c:pt>
                <c:pt idx="414">
                  <c:v>Ben &amp; Jerry's Scoop Shops</c:v>
                </c:pt>
                <c:pt idx="415">
                  <c:v>Colton's Steak House &amp; Grill</c:v>
                </c:pt>
                <c:pt idx="416">
                  <c:v>Cotton Patch Cafe</c:v>
                </c:pt>
                <c:pt idx="417">
                  <c:v>Duffy's Sports Grill</c:v>
                </c:pt>
                <c:pt idx="418">
                  <c:v>Modern Market Eatery</c:v>
                </c:pt>
                <c:pt idx="419">
                  <c:v>Philly Pretzel Factory</c:v>
                </c:pt>
                <c:pt idx="420">
                  <c:v>East Coast Wings + Grill</c:v>
                </c:pt>
                <c:pt idx="421">
                  <c:v>Eddie Merlot's</c:v>
                </c:pt>
                <c:pt idx="422">
                  <c:v>Rock &amp; Brews</c:v>
                </c:pt>
                <c:pt idx="423">
                  <c:v>Great Harvest Bakery Cafe</c:v>
                </c:pt>
                <c:pt idx="424">
                  <c:v>Pappasito's Cantina</c:v>
                </c:pt>
                <c:pt idx="425">
                  <c:v>Smith &amp; Wollensky</c:v>
                </c:pt>
                <c:pt idx="426">
                  <c:v>TacoTime</c:v>
                </c:pt>
                <c:pt idx="427">
                  <c:v>Giordano's</c:v>
                </c:pt>
                <c:pt idx="428">
                  <c:v>Fox's Pizza Den</c:v>
                </c:pt>
                <c:pt idx="429">
                  <c:v>Il Fornaio</c:v>
                </c:pt>
                <c:pt idx="430">
                  <c:v>Ted's Montana Grill</c:v>
                </c:pt>
                <c:pt idx="431">
                  <c:v>Lucille's Smokehouse Bar-B-Que</c:v>
                </c:pt>
                <c:pt idx="432">
                  <c:v>Salsarita's Fresh Mexican Grill</c:v>
                </c:pt>
                <c:pt idx="433">
                  <c:v>Mazzio's Italian Eatery</c:v>
                </c:pt>
                <c:pt idx="434">
                  <c:v>Gold Star Chili</c:v>
                </c:pt>
                <c:pt idx="435">
                  <c:v>RibCrib BBQ</c:v>
                </c:pt>
                <c:pt idx="436">
                  <c:v>Eat'n Park</c:v>
                </c:pt>
                <c:pt idx="437">
                  <c:v>Anthony's Coal Fired Pizza</c:v>
                </c:pt>
                <c:pt idx="438">
                  <c:v>Smallcakes Cupcakery</c:v>
                </c:pt>
                <c:pt idx="439">
                  <c:v>Frisch's Big Boy</c:v>
                </c:pt>
                <c:pt idx="440">
                  <c:v>Kneaders Bakery &amp; Cafe</c:v>
                </c:pt>
                <c:pt idx="441">
                  <c:v>Shakey's Pizza Parlor</c:v>
                </c:pt>
                <c:pt idx="442">
                  <c:v>El Torito</c:v>
                </c:pt>
                <c:pt idx="443">
                  <c:v>Roy Rogers Restaurants</c:v>
                </c:pt>
                <c:pt idx="444">
                  <c:v>Houston's</c:v>
                </c:pt>
                <c:pt idx="445">
                  <c:v>Pretzelmaker</c:v>
                </c:pt>
                <c:pt idx="446">
                  <c:v>Papa Gino's Pizzeria</c:v>
                </c:pt>
                <c:pt idx="447">
                  <c:v>Pieology Pizzeria</c:v>
                </c:pt>
                <c:pt idx="448">
                  <c:v>Big Boy Restaurants</c:v>
                </c:pt>
                <c:pt idx="449">
                  <c:v>Bareburger</c:v>
                </c:pt>
                <c:pt idx="450">
                  <c:v>Rainforest Cafe</c:v>
                </c:pt>
                <c:pt idx="451">
                  <c:v>Carolina Ale House</c:v>
                </c:pt>
                <c:pt idx="452">
                  <c:v>Yogurtland</c:v>
                </c:pt>
                <c:pt idx="453">
                  <c:v>Bubba Gump Shrimp Co.</c:v>
                </c:pt>
                <c:pt idx="454">
                  <c:v>Taco Bueno</c:v>
                </c:pt>
                <c:pt idx="455">
                  <c:v>Tijuana Flats</c:v>
                </c:pt>
                <c:pt idx="456">
                  <c:v>Togo's Sandwiches</c:v>
                </c:pt>
                <c:pt idx="457">
                  <c:v>Tender Greens</c:v>
                </c:pt>
                <c:pt idx="458">
                  <c:v>Johnny Rockets</c:v>
                </c:pt>
                <c:pt idx="459">
                  <c:v>Palm Restaurant, The</c:v>
                </c:pt>
                <c:pt idx="460">
                  <c:v>Menchie's Frozen Yogurt</c:v>
                </c:pt>
                <c:pt idx="461">
                  <c:v>Hurricane Grill &amp; Wings</c:v>
                </c:pt>
                <c:pt idx="462">
                  <c:v>Lemonade</c:v>
                </c:pt>
                <c:pt idx="463">
                  <c:v>Flame Broiler</c:v>
                </c:pt>
                <c:pt idx="464">
                  <c:v>Marlow's Tavern</c:v>
                </c:pt>
                <c:pt idx="465">
                  <c:v>Sarku Japan</c:v>
                </c:pt>
                <c:pt idx="466">
                  <c:v>Greene Turtle Sports Bar &amp; Grille</c:v>
                </c:pt>
                <c:pt idx="467">
                  <c:v>Shari's Cafe and Pies</c:v>
                </c:pt>
                <c:pt idx="468">
                  <c:v>Del Frisco's Grille</c:v>
                </c:pt>
                <c:pt idx="469">
                  <c:v>Black Angus Steakhouse</c:v>
                </c:pt>
                <c:pt idx="470">
                  <c:v>Quaker Steak &amp; Lube</c:v>
                </c:pt>
                <c:pt idx="471">
                  <c:v>Abuelo's Mexican Restaurant</c:v>
                </c:pt>
                <c:pt idx="472">
                  <c:v>Islands Fine Burgers &amp; Drinks</c:v>
                </c:pt>
                <c:pt idx="473">
                  <c:v>HuHot Mongolian Grill</c:v>
                </c:pt>
                <c:pt idx="474">
                  <c:v>Uno Pizzeria &amp; Grill</c:v>
                </c:pt>
                <c:pt idx="475">
                  <c:v>SweetFrog</c:v>
                </c:pt>
                <c:pt idx="476">
                  <c:v>Shoney's</c:v>
                </c:pt>
                <c:pt idx="477">
                  <c:v>Friendly's</c:v>
                </c:pt>
                <c:pt idx="478">
                  <c:v>Hard Rock Cafe</c:v>
                </c:pt>
                <c:pt idx="479">
                  <c:v>Baja Fresh Mexican Grill</c:v>
                </c:pt>
                <c:pt idx="480">
                  <c:v>Johnny Carino's</c:v>
                </c:pt>
                <c:pt idx="481">
                  <c:v>McCormick &amp; Schmick's</c:v>
                </c:pt>
                <c:pt idx="482">
                  <c:v>Joe's Crab Shack</c:v>
                </c:pt>
                <c:pt idx="483">
                  <c:v>Grand Lux Cafe</c:v>
                </c:pt>
                <c:pt idx="484">
                  <c:v>Bravo! Italian Kitchen</c:v>
                </c:pt>
                <c:pt idx="485">
                  <c:v>Which Wich</c:v>
                </c:pt>
                <c:pt idx="486">
                  <c:v>Houlihan's</c:v>
                </c:pt>
                <c:pt idx="487">
                  <c:v>Quiznos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'Technomic Top 500 Chains'!$L$2:$L$495</c15:sqref>
                  </c15:fullRef>
                </c:ext>
              </c:extLst>
              <c:f>('Technomic Top 500 Chains'!$L$2:$L$169,'Technomic Top 500 Chains'!$L$171:$L$178,'Technomic Top 500 Chains'!$L$180:$L$207,'Technomic Top 500 Chains'!$L$209:$L$226,'Technomic Top 500 Chains'!$L$228:$L$256,'Technomic Top 500 Chains'!$L$258:$L$259,'Technomic Top 500 Chains'!$L$261:$L$495)</c:f>
              <c:numCache>
                <c:formatCode>#,##0.0_);\(#,##0.0\);#,##0.0_);@_)</c:formatCode>
                <c:ptCount val="488"/>
                <c:pt idx="0">
                  <c:v>-3.7213929810153701</c:v>
                </c:pt>
                <c:pt idx="1">
                  <c:v>-225.88303206274696</c:v>
                </c:pt>
                <c:pt idx="2">
                  <c:v>-76.383108727509637</c:v>
                </c:pt>
                <c:pt idx="3">
                  <c:v>283.59396789166766</c:v>
                </c:pt>
                <c:pt idx="4">
                  <c:v>16.486815306696045</c:v>
                </c:pt>
                <c:pt idx="5">
                  <c:v>36.252003669641489</c:v>
                </c:pt>
                <c:pt idx="6">
                  <c:v>377.59113575454251</c:v>
                </c:pt>
                <c:pt idx="7">
                  <c:v>-4.944990535402094</c:v>
                </c:pt>
                <c:pt idx="8">
                  <c:v>80.435273342296384</c:v>
                </c:pt>
                <c:pt idx="9">
                  <c:v>277.54668474345436</c:v>
                </c:pt>
                <c:pt idx="10">
                  <c:v>800.99604233296645</c:v>
                </c:pt>
                <c:pt idx="11">
                  <c:v>44.796490653241094</c:v>
                </c:pt>
                <c:pt idx="12">
                  <c:v>-34.963941737933688</c:v>
                </c:pt>
                <c:pt idx="13">
                  <c:v>62.67288674921906</c:v>
                </c:pt>
                <c:pt idx="14">
                  <c:v>384.08393074378819</c:v>
                </c:pt>
                <c:pt idx="15">
                  <c:v>-17.117437181495276</c:v>
                </c:pt>
                <c:pt idx="16">
                  <c:v>1139.209082672299</c:v>
                </c:pt>
                <c:pt idx="17">
                  <c:v>177.08485739212063</c:v>
                </c:pt>
                <c:pt idx="18">
                  <c:v>854.46379403483206</c:v>
                </c:pt>
                <c:pt idx="19">
                  <c:v>-122.49525185346138</c:v>
                </c:pt>
                <c:pt idx="20">
                  <c:v>529.64141084740402</c:v>
                </c:pt>
                <c:pt idx="21">
                  <c:v>46.737888176130724</c:v>
                </c:pt>
                <c:pt idx="22">
                  <c:v>-4.9886082703475694</c:v>
                </c:pt>
                <c:pt idx="23">
                  <c:v>180.6608091195576</c:v>
                </c:pt>
                <c:pt idx="24">
                  <c:v>16.095701168782341</c:v>
                </c:pt>
                <c:pt idx="25">
                  <c:v>29.588245214280107</c:v>
                </c:pt>
                <c:pt idx="26">
                  <c:v>167.4450267163574</c:v>
                </c:pt>
                <c:pt idx="27">
                  <c:v>1020.0176966588015</c:v>
                </c:pt>
                <c:pt idx="28">
                  <c:v>44.360540247403577</c:v>
                </c:pt>
                <c:pt idx="29">
                  <c:v>183.5429744825509</c:v>
                </c:pt>
                <c:pt idx="30">
                  <c:v>-3.0202826631015034</c:v>
                </c:pt>
                <c:pt idx="31">
                  <c:v>141.12241267763059</c:v>
                </c:pt>
                <c:pt idx="32">
                  <c:v>95.669665321293223</c:v>
                </c:pt>
                <c:pt idx="33">
                  <c:v>185.80393873966651</c:v>
                </c:pt>
                <c:pt idx="34">
                  <c:v>-98.010436298288653</c:v>
                </c:pt>
                <c:pt idx="35">
                  <c:v>110.60768957827565</c:v>
                </c:pt>
                <c:pt idx="36">
                  <c:v>184.73810989935794</c:v>
                </c:pt>
                <c:pt idx="37">
                  <c:v>68.791941282630304</c:v>
                </c:pt>
                <c:pt idx="38">
                  <c:v>-12.469820879339871</c:v>
                </c:pt>
                <c:pt idx="39">
                  <c:v>-8.453155839571874</c:v>
                </c:pt>
                <c:pt idx="40">
                  <c:v>-5.3667836899956578</c:v>
                </c:pt>
                <c:pt idx="41">
                  <c:v>-26.813606868319635</c:v>
                </c:pt>
                <c:pt idx="42">
                  <c:v>-10.473179259332214</c:v>
                </c:pt>
                <c:pt idx="43">
                  <c:v>65.336581301427387</c:v>
                </c:pt>
                <c:pt idx="44">
                  <c:v>585.2990010405274</c:v>
                </c:pt>
                <c:pt idx="45">
                  <c:v>77.710554572010821</c:v>
                </c:pt>
                <c:pt idx="46">
                  <c:v>-9.3164858044345387</c:v>
                </c:pt>
                <c:pt idx="47">
                  <c:v>72.451906342382856</c:v>
                </c:pt>
                <c:pt idx="48">
                  <c:v>215.8761226928743</c:v>
                </c:pt>
                <c:pt idx="49">
                  <c:v>91.15023767020628</c:v>
                </c:pt>
                <c:pt idx="50">
                  <c:v>99.685687595109997</c:v>
                </c:pt>
                <c:pt idx="51">
                  <c:v>15.12743936215033</c:v>
                </c:pt>
                <c:pt idx="52">
                  <c:v>345.80349872543883</c:v>
                </c:pt>
                <c:pt idx="53">
                  <c:v>57.700181189967445</c:v>
                </c:pt>
                <c:pt idx="54">
                  <c:v>106.40661222635461</c:v>
                </c:pt>
                <c:pt idx="55">
                  <c:v>28.865020844935536</c:v>
                </c:pt>
                <c:pt idx="56">
                  <c:v>-5.7464467531374162</c:v>
                </c:pt>
                <c:pt idx="57">
                  <c:v>16.713671890752693</c:v>
                </c:pt>
                <c:pt idx="58">
                  <c:v>20.964209556314785</c:v>
                </c:pt>
                <c:pt idx="59">
                  <c:v>5.1115552838171263</c:v>
                </c:pt>
                <c:pt idx="60">
                  <c:v>69.822564839321359</c:v>
                </c:pt>
                <c:pt idx="61">
                  <c:v>-10.246742797831999</c:v>
                </c:pt>
                <c:pt idx="62">
                  <c:v>799.40248003772524</c:v>
                </c:pt>
                <c:pt idx="63">
                  <c:v>157.53311527367197</c:v>
                </c:pt>
                <c:pt idx="64">
                  <c:v>70.645562724156449</c:v>
                </c:pt>
                <c:pt idx="65">
                  <c:v>-2.6821063991878598</c:v>
                </c:pt>
                <c:pt idx="66">
                  <c:v>-26.514410304594172</c:v>
                </c:pt>
                <c:pt idx="67">
                  <c:v>36.798029975758098</c:v>
                </c:pt>
                <c:pt idx="68">
                  <c:v>0.37751724069869097</c:v>
                </c:pt>
                <c:pt idx="69">
                  <c:v>54.521952473214895</c:v>
                </c:pt>
                <c:pt idx="70">
                  <c:v>57.365156185101988</c:v>
                </c:pt>
                <c:pt idx="71">
                  <c:v>26.416552809603935</c:v>
                </c:pt>
                <c:pt idx="72">
                  <c:v>1.3201717781005391</c:v>
                </c:pt>
                <c:pt idx="73">
                  <c:v>-157.15117236172222</c:v>
                </c:pt>
                <c:pt idx="74">
                  <c:v>37.741701870959361</c:v>
                </c:pt>
                <c:pt idx="75">
                  <c:v>121.53382116690648</c:v>
                </c:pt>
                <c:pt idx="76">
                  <c:v>-0.6368108564849817</c:v>
                </c:pt>
                <c:pt idx="77">
                  <c:v>28.581296080785382</c:v>
                </c:pt>
                <c:pt idx="78">
                  <c:v>-6.914602986905841</c:v>
                </c:pt>
                <c:pt idx="79">
                  <c:v>1.0952256381067949</c:v>
                </c:pt>
                <c:pt idx="80">
                  <c:v>23.583284394921716</c:v>
                </c:pt>
                <c:pt idx="81">
                  <c:v>128.8097597942546</c:v>
                </c:pt>
                <c:pt idx="82">
                  <c:v>26.517072564721801</c:v>
                </c:pt>
                <c:pt idx="83">
                  <c:v>422.63155001972501</c:v>
                </c:pt>
                <c:pt idx="84">
                  <c:v>14.590998952355056</c:v>
                </c:pt>
                <c:pt idx="85">
                  <c:v>27.455723955838312</c:v>
                </c:pt>
                <c:pt idx="86">
                  <c:v>-3.4292572840331945</c:v>
                </c:pt>
                <c:pt idx="87">
                  <c:v>31.552631991817389</c:v>
                </c:pt>
                <c:pt idx="88">
                  <c:v>34.540875421805985</c:v>
                </c:pt>
                <c:pt idx="89">
                  <c:v>31.593373475387391</c:v>
                </c:pt>
                <c:pt idx="90">
                  <c:v>22.195150813124343</c:v>
                </c:pt>
                <c:pt idx="91">
                  <c:v>111.20724183753886</c:v>
                </c:pt>
                <c:pt idx="92">
                  <c:v>127.73180108023863</c:v>
                </c:pt>
                <c:pt idx="93">
                  <c:v>3.6768239860147673</c:v>
                </c:pt>
                <c:pt idx="94">
                  <c:v>-21.460000775695779</c:v>
                </c:pt>
                <c:pt idx="95">
                  <c:v>0.85320318628352709</c:v>
                </c:pt>
                <c:pt idx="96">
                  <c:v>160.60536888878477</c:v>
                </c:pt>
                <c:pt idx="97">
                  <c:v>132.0284131352123</c:v>
                </c:pt>
                <c:pt idx="98">
                  <c:v>12.173218345928118</c:v>
                </c:pt>
                <c:pt idx="99">
                  <c:v>52.787156312573828</c:v>
                </c:pt>
                <c:pt idx="100">
                  <c:v>-2.9006280736738801</c:v>
                </c:pt>
                <c:pt idx="101">
                  <c:v>158.51724360736688</c:v>
                </c:pt>
                <c:pt idx="102">
                  <c:v>396.29218022854724</c:v>
                </c:pt>
                <c:pt idx="103">
                  <c:v>3.2587885918486381</c:v>
                </c:pt>
                <c:pt idx="104">
                  <c:v>33.96661682568358</c:v>
                </c:pt>
                <c:pt idx="105">
                  <c:v>122.59177640159345</c:v>
                </c:pt>
                <c:pt idx="106">
                  <c:v>18.776512951342063</c:v>
                </c:pt>
                <c:pt idx="107">
                  <c:v>60.384096485289753</c:v>
                </c:pt>
                <c:pt idx="108">
                  <c:v>16.579282697221711</c:v>
                </c:pt>
                <c:pt idx="109">
                  <c:v>5.5291860806104545</c:v>
                </c:pt>
                <c:pt idx="110">
                  <c:v>-30.424854814190827</c:v>
                </c:pt>
                <c:pt idx="111">
                  <c:v>19.320864361889672</c:v>
                </c:pt>
                <c:pt idx="112">
                  <c:v>8.3640626538183422</c:v>
                </c:pt>
                <c:pt idx="113">
                  <c:v>97.554797525156303</c:v>
                </c:pt>
                <c:pt idx="114">
                  <c:v>26.70234804115594</c:v>
                </c:pt>
                <c:pt idx="115">
                  <c:v>-4.9469175712722917</c:v>
                </c:pt>
                <c:pt idx="116">
                  <c:v>7.7165490585289103</c:v>
                </c:pt>
                <c:pt idx="117">
                  <c:v>-6.5109009135027973</c:v>
                </c:pt>
                <c:pt idx="118">
                  <c:v>859.39393494068929</c:v>
                </c:pt>
                <c:pt idx="119">
                  <c:v>18.763397576704676</c:v>
                </c:pt>
                <c:pt idx="120">
                  <c:v>14.590446593612388</c:v>
                </c:pt>
                <c:pt idx="121">
                  <c:v>-104.12104091564075</c:v>
                </c:pt>
                <c:pt idx="122">
                  <c:v>37.619960194514647</c:v>
                </c:pt>
                <c:pt idx="123">
                  <c:v>29.896318266591575</c:v>
                </c:pt>
                <c:pt idx="124">
                  <c:v>15.615885543507172</c:v>
                </c:pt>
                <c:pt idx="125">
                  <c:v>347.99422945941501</c:v>
                </c:pt>
                <c:pt idx="126">
                  <c:v>3.8143717798121926</c:v>
                </c:pt>
                <c:pt idx="127">
                  <c:v>1.4970393954586574</c:v>
                </c:pt>
                <c:pt idx="128">
                  <c:v>1.7313529055097352</c:v>
                </c:pt>
                <c:pt idx="129">
                  <c:v>66.839258173494386</c:v>
                </c:pt>
                <c:pt idx="130">
                  <c:v>40.121272921766916</c:v>
                </c:pt>
                <c:pt idx="131">
                  <c:v>-22.116870356995687</c:v>
                </c:pt>
                <c:pt idx="132">
                  <c:v>3.3247691128329486</c:v>
                </c:pt>
                <c:pt idx="133">
                  <c:v>-12.426799939300182</c:v>
                </c:pt>
                <c:pt idx="134">
                  <c:v>7.3265192431474713</c:v>
                </c:pt>
                <c:pt idx="135">
                  <c:v>25.30276611722438</c:v>
                </c:pt>
                <c:pt idx="136">
                  <c:v>-8.7893537081341027</c:v>
                </c:pt>
                <c:pt idx="137">
                  <c:v>-10.788757578387864</c:v>
                </c:pt>
                <c:pt idx="138">
                  <c:v>93.753026774094224</c:v>
                </c:pt>
                <c:pt idx="139">
                  <c:v>3.0327076091604503</c:v>
                </c:pt>
                <c:pt idx="140">
                  <c:v>-10.242498381081971</c:v>
                </c:pt>
                <c:pt idx="141">
                  <c:v>7.4806229193843512</c:v>
                </c:pt>
                <c:pt idx="142">
                  <c:v>5.0041284996340565</c:v>
                </c:pt>
                <c:pt idx="143">
                  <c:v>15.587009576245766</c:v>
                </c:pt>
                <c:pt idx="144">
                  <c:v>32.856431235730021</c:v>
                </c:pt>
                <c:pt idx="145">
                  <c:v>11.780838150353897</c:v>
                </c:pt>
                <c:pt idx="146">
                  <c:v>29.178768893637837</c:v>
                </c:pt>
                <c:pt idx="147">
                  <c:v>-6.1275161400797633E-2</c:v>
                </c:pt>
                <c:pt idx="148">
                  <c:v>-1.8026891670662373</c:v>
                </c:pt>
                <c:pt idx="149">
                  <c:v>22.114197626590911</c:v>
                </c:pt>
                <c:pt idx="150">
                  <c:v>-2.0069837529722649</c:v>
                </c:pt>
                <c:pt idx="151">
                  <c:v>106.7272825169081</c:v>
                </c:pt>
                <c:pt idx="152">
                  <c:v>119.87699121141553</c:v>
                </c:pt>
                <c:pt idx="153">
                  <c:v>243.14746613060336</c:v>
                </c:pt>
                <c:pt idx="154">
                  <c:v>12.995184047545107</c:v>
                </c:pt>
                <c:pt idx="155">
                  <c:v>7.5648693927316168</c:v>
                </c:pt>
                <c:pt idx="156">
                  <c:v>-0.26172795336184584</c:v>
                </c:pt>
                <c:pt idx="157">
                  <c:v>18.893956256993519</c:v>
                </c:pt>
                <c:pt idx="158">
                  <c:v>13.261526643180698</c:v>
                </c:pt>
                <c:pt idx="159">
                  <c:v>30.913376621832452</c:v>
                </c:pt>
                <c:pt idx="160">
                  <c:v>0.95692232306807123</c:v>
                </c:pt>
                <c:pt idx="161">
                  <c:v>69.014174775828408</c:v>
                </c:pt>
                <c:pt idx="162">
                  <c:v>261.3009806205182</c:v>
                </c:pt>
                <c:pt idx="163">
                  <c:v>38.008725845939253</c:v>
                </c:pt>
                <c:pt idx="164">
                  <c:v>-4.764083569031019E-3</c:v>
                </c:pt>
                <c:pt idx="165">
                  <c:v>17.502998527827604</c:v>
                </c:pt>
                <c:pt idx="166">
                  <c:v>44.032212132286624</c:v>
                </c:pt>
                <c:pt idx="167">
                  <c:v>-16.5359540783417</c:v>
                </c:pt>
                <c:pt idx="168">
                  <c:v>-0.34322439697469231</c:v>
                </c:pt>
                <c:pt idx="169">
                  <c:v>4.2045057398184316</c:v>
                </c:pt>
                <c:pt idx="170">
                  <c:v>1.6410175054787715</c:v>
                </c:pt>
                <c:pt idx="171">
                  <c:v>3.5248941779595331</c:v>
                </c:pt>
                <c:pt idx="172">
                  <c:v>3.3945980042640254</c:v>
                </c:pt>
                <c:pt idx="173">
                  <c:v>187.80593668879951</c:v>
                </c:pt>
                <c:pt idx="174">
                  <c:v>-0.62287285106968693</c:v>
                </c:pt>
                <c:pt idx="175">
                  <c:v>7.9771899969663735</c:v>
                </c:pt>
                <c:pt idx="176">
                  <c:v>9.2022730394871601</c:v>
                </c:pt>
                <c:pt idx="177">
                  <c:v>34.589871831305111</c:v>
                </c:pt>
                <c:pt idx="178">
                  <c:v>-1.5701177728292843</c:v>
                </c:pt>
                <c:pt idx="179">
                  <c:v>180.36279938368773</c:v>
                </c:pt>
                <c:pt idx="180">
                  <c:v>35.945734520775702</c:v>
                </c:pt>
                <c:pt idx="181">
                  <c:v>6.1436435526260151</c:v>
                </c:pt>
                <c:pt idx="182">
                  <c:v>143.54403993080453</c:v>
                </c:pt>
                <c:pt idx="183">
                  <c:v>159.89643999357941</c:v>
                </c:pt>
                <c:pt idx="184">
                  <c:v>-1.5743920893953982</c:v>
                </c:pt>
                <c:pt idx="185">
                  <c:v>-1.8717367001638927</c:v>
                </c:pt>
                <c:pt idx="186">
                  <c:v>202.66068165163526</c:v>
                </c:pt>
                <c:pt idx="187">
                  <c:v>7.4752948575267446</c:v>
                </c:pt>
                <c:pt idx="188">
                  <c:v>-21.401304846069028</c:v>
                </c:pt>
                <c:pt idx="189">
                  <c:v>-1.8832287358792192</c:v>
                </c:pt>
                <c:pt idx="190">
                  <c:v>242.63478182047626</c:v>
                </c:pt>
                <c:pt idx="191">
                  <c:v>157.76201209696998</c:v>
                </c:pt>
                <c:pt idx="192">
                  <c:v>8.2811264299773342</c:v>
                </c:pt>
                <c:pt idx="193">
                  <c:v>11.072748343742296</c:v>
                </c:pt>
                <c:pt idx="194">
                  <c:v>43.14491870327241</c:v>
                </c:pt>
                <c:pt idx="195">
                  <c:v>5.235749615215644</c:v>
                </c:pt>
                <c:pt idx="196">
                  <c:v>-22.292715961431806</c:v>
                </c:pt>
                <c:pt idx="197">
                  <c:v>26.07633528190302</c:v>
                </c:pt>
                <c:pt idx="198">
                  <c:v>7.7834094363162309</c:v>
                </c:pt>
                <c:pt idx="199">
                  <c:v>11.072508986121557</c:v>
                </c:pt>
                <c:pt idx="200">
                  <c:v>15.494790435326067</c:v>
                </c:pt>
                <c:pt idx="201">
                  <c:v>55.434476850474041</c:v>
                </c:pt>
                <c:pt idx="202">
                  <c:v>109.07038437515337</c:v>
                </c:pt>
                <c:pt idx="203">
                  <c:v>34.98146485646614</c:v>
                </c:pt>
                <c:pt idx="204">
                  <c:v>15.959010054840736</c:v>
                </c:pt>
                <c:pt idx="205">
                  <c:v>19.592687337237521</c:v>
                </c:pt>
                <c:pt idx="206">
                  <c:v>11.548343761223004</c:v>
                </c:pt>
                <c:pt idx="207">
                  <c:v>55.432049039814551</c:v>
                </c:pt>
                <c:pt idx="208">
                  <c:v>10.23890869067885</c:v>
                </c:pt>
                <c:pt idx="209">
                  <c:v>5.4101347255032346</c:v>
                </c:pt>
                <c:pt idx="210">
                  <c:v>1.2830957228881883</c:v>
                </c:pt>
                <c:pt idx="211">
                  <c:v>1.0794627317202605</c:v>
                </c:pt>
                <c:pt idx="212">
                  <c:v>-12.657548525067041</c:v>
                </c:pt>
                <c:pt idx="213">
                  <c:v>21.560220942340255</c:v>
                </c:pt>
                <c:pt idx="214">
                  <c:v>124.82006230811953</c:v>
                </c:pt>
                <c:pt idx="215">
                  <c:v>0.87944166635348919</c:v>
                </c:pt>
                <c:pt idx="216">
                  <c:v>11.086650007955216</c:v>
                </c:pt>
                <c:pt idx="217">
                  <c:v>86.911730101652822</c:v>
                </c:pt>
                <c:pt idx="218">
                  <c:v>5.4483169200882084</c:v>
                </c:pt>
                <c:pt idx="219">
                  <c:v>10.133190679255259</c:v>
                </c:pt>
                <c:pt idx="220">
                  <c:v>97.212383664500678</c:v>
                </c:pt>
                <c:pt idx="221">
                  <c:v>7.3959830367463768</c:v>
                </c:pt>
                <c:pt idx="222">
                  <c:v>16.643368778419369</c:v>
                </c:pt>
                <c:pt idx="223">
                  <c:v>5.51281295343869</c:v>
                </c:pt>
                <c:pt idx="224">
                  <c:v>93.4879296807337</c:v>
                </c:pt>
                <c:pt idx="225">
                  <c:v>6.9047112786058129</c:v>
                </c:pt>
                <c:pt idx="226">
                  <c:v>73.991026536659803</c:v>
                </c:pt>
                <c:pt idx="227">
                  <c:v>3.4445127892258376</c:v>
                </c:pt>
                <c:pt idx="228">
                  <c:v>-16.381090044019498</c:v>
                </c:pt>
                <c:pt idx="229">
                  <c:v>183.01147437177943</c:v>
                </c:pt>
                <c:pt idx="230">
                  <c:v>3.7381081240502394</c:v>
                </c:pt>
                <c:pt idx="231">
                  <c:v>18.881817851014031</c:v>
                </c:pt>
                <c:pt idx="232">
                  <c:v>2.7810680035722384</c:v>
                </c:pt>
                <c:pt idx="233">
                  <c:v>7.1679508723369869</c:v>
                </c:pt>
                <c:pt idx="234">
                  <c:v>21.384124708682013</c:v>
                </c:pt>
                <c:pt idx="235">
                  <c:v>15.713508401223995</c:v>
                </c:pt>
                <c:pt idx="236">
                  <c:v>89.800240434000131</c:v>
                </c:pt>
                <c:pt idx="237">
                  <c:v>32.389168626139679</c:v>
                </c:pt>
                <c:pt idx="238">
                  <c:v>44.403385790006276</c:v>
                </c:pt>
                <c:pt idx="239">
                  <c:v>0.44861172018743206</c:v>
                </c:pt>
                <c:pt idx="240">
                  <c:v>25.07773361643477</c:v>
                </c:pt>
                <c:pt idx="241">
                  <c:v>3.4157990798326567</c:v>
                </c:pt>
                <c:pt idx="242">
                  <c:v>-7.1326466456368696</c:v>
                </c:pt>
                <c:pt idx="243">
                  <c:v>4.8179856064350197</c:v>
                </c:pt>
                <c:pt idx="244">
                  <c:v>1.4412663051242403</c:v>
                </c:pt>
                <c:pt idx="245">
                  <c:v>1.8436233612141844</c:v>
                </c:pt>
                <c:pt idx="246">
                  <c:v>0.50307051055347107</c:v>
                </c:pt>
                <c:pt idx="247">
                  <c:v>-2.9321329706619723</c:v>
                </c:pt>
                <c:pt idx="248">
                  <c:v>3.6017957672478333</c:v>
                </c:pt>
                <c:pt idx="249">
                  <c:v>-4.199565930487867</c:v>
                </c:pt>
                <c:pt idx="250">
                  <c:v>-7.6224881172095096E-2</c:v>
                </c:pt>
                <c:pt idx="251">
                  <c:v>0.12092413166064626</c:v>
                </c:pt>
                <c:pt idx="252">
                  <c:v>-0.48194298769057553</c:v>
                </c:pt>
                <c:pt idx="253">
                  <c:v>0.6387836456611109</c:v>
                </c:pt>
                <c:pt idx="254">
                  <c:v>0.30465046284360919</c:v>
                </c:pt>
                <c:pt idx="255">
                  <c:v>3.2201769598136298</c:v>
                </c:pt>
                <c:pt idx="256">
                  <c:v>-1.518519239704383</c:v>
                </c:pt>
                <c:pt idx="257">
                  <c:v>-7.8138699338036863</c:v>
                </c:pt>
                <c:pt idx="258">
                  <c:v>0.24368480497831824</c:v>
                </c:pt>
                <c:pt idx="259">
                  <c:v>-2.5164872052948848</c:v>
                </c:pt>
                <c:pt idx="260">
                  <c:v>-6.1421274502298244</c:v>
                </c:pt>
                <c:pt idx="261">
                  <c:v>-134.85005130559853</c:v>
                </c:pt>
                <c:pt idx="262">
                  <c:v>-69.823079139517446</c:v>
                </c:pt>
                <c:pt idx="263">
                  <c:v>-83.803294393903997</c:v>
                </c:pt>
                <c:pt idx="264">
                  <c:v>-105.24671214658655</c:v>
                </c:pt>
                <c:pt idx="265">
                  <c:v>-159.1765127819919</c:v>
                </c:pt>
                <c:pt idx="266">
                  <c:v>-19.027119688504001</c:v>
                </c:pt>
                <c:pt idx="267">
                  <c:v>-178.98905582009832</c:v>
                </c:pt>
                <c:pt idx="268">
                  <c:v>-71.190105509548701</c:v>
                </c:pt>
                <c:pt idx="269">
                  <c:v>-41.599179901881932</c:v>
                </c:pt>
                <c:pt idx="270">
                  <c:v>-12.922925711183511</c:v>
                </c:pt>
                <c:pt idx="271">
                  <c:v>-28.740804604718132</c:v>
                </c:pt>
                <c:pt idx="272">
                  <c:v>-31.128316238548557</c:v>
                </c:pt>
                <c:pt idx="273">
                  <c:v>-67.912691347331005</c:v>
                </c:pt>
                <c:pt idx="274">
                  <c:v>-130.60146654427388</c:v>
                </c:pt>
                <c:pt idx="275">
                  <c:v>-116.73249082121308</c:v>
                </c:pt>
                <c:pt idx="276">
                  <c:v>-16.189384026806518</c:v>
                </c:pt>
                <c:pt idx="277">
                  <c:v>-32.635413920948523</c:v>
                </c:pt>
                <c:pt idx="278">
                  <c:v>-186.57000778457007</c:v>
                </c:pt>
                <c:pt idx="279">
                  <c:v>-46.231660004417051</c:v>
                </c:pt>
                <c:pt idx="280">
                  <c:v>-36.39928241414669</c:v>
                </c:pt>
                <c:pt idx="281">
                  <c:v>-67.637856096402885</c:v>
                </c:pt>
                <c:pt idx="282">
                  <c:v>-20.88907946459992</c:v>
                </c:pt>
                <c:pt idx="283">
                  <c:v>-76.73409075721564</c:v>
                </c:pt>
                <c:pt idx="284">
                  <c:v>-36.113573760974425</c:v>
                </c:pt>
                <c:pt idx="285">
                  <c:v>-57.632056397036386</c:v>
                </c:pt>
                <c:pt idx="286">
                  <c:v>-93.772684137951714</c:v>
                </c:pt>
                <c:pt idx="287">
                  <c:v>-96.387199489293153</c:v>
                </c:pt>
                <c:pt idx="288">
                  <c:v>-35.026935528093404</c:v>
                </c:pt>
                <c:pt idx="289">
                  <c:v>-191.15099299840301</c:v>
                </c:pt>
                <c:pt idx="290">
                  <c:v>-40.667113106724521</c:v>
                </c:pt>
                <c:pt idx="291">
                  <c:v>-20.571374833959617</c:v>
                </c:pt>
                <c:pt idx="292">
                  <c:v>-111.9410381676185</c:v>
                </c:pt>
                <c:pt idx="293">
                  <c:v>-115.03497426485993</c:v>
                </c:pt>
                <c:pt idx="294">
                  <c:v>-36.598437829982821</c:v>
                </c:pt>
                <c:pt idx="295">
                  <c:v>-36.068122762116957</c:v>
                </c:pt>
                <c:pt idx="296">
                  <c:v>-17.616721769004798</c:v>
                </c:pt>
                <c:pt idx="297">
                  <c:v>-57.14649050524028</c:v>
                </c:pt>
                <c:pt idx="298">
                  <c:v>-56.295555146719565</c:v>
                </c:pt>
                <c:pt idx="299">
                  <c:v>-256.86354792631266</c:v>
                </c:pt>
                <c:pt idx="300">
                  <c:v>-71.140049874321264</c:v>
                </c:pt>
                <c:pt idx="301">
                  <c:v>-20.644182145148019</c:v>
                </c:pt>
                <c:pt idx="302">
                  <c:v>-175.87958253766445</c:v>
                </c:pt>
                <c:pt idx="303">
                  <c:v>-24.913338119377091</c:v>
                </c:pt>
                <c:pt idx="304">
                  <c:v>-160.28188136510681</c:v>
                </c:pt>
                <c:pt idx="305">
                  <c:v>-14.596985597940304</c:v>
                </c:pt>
                <c:pt idx="306">
                  <c:v>-94.28418461065192</c:v>
                </c:pt>
                <c:pt idx="307">
                  <c:v>-89.848369373185335</c:v>
                </c:pt>
                <c:pt idx="308">
                  <c:v>-105.43057848252262</c:v>
                </c:pt>
                <c:pt idx="309">
                  <c:v>-150.85779217416228</c:v>
                </c:pt>
                <c:pt idx="310">
                  <c:v>-33.999374532395272</c:v>
                </c:pt>
                <c:pt idx="311">
                  <c:v>-12.596279879621211</c:v>
                </c:pt>
                <c:pt idx="312">
                  <c:v>-224.39206685133615</c:v>
                </c:pt>
                <c:pt idx="313">
                  <c:v>-24.257878335249575</c:v>
                </c:pt>
                <c:pt idx="314">
                  <c:v>-26.613951696755493</c:v>
                </c:pt>
                <c:pt idx="315">
                  <c:v>-106.76375439216824</c:v>
                </c:pt>
                <c:pt idx="316">
                  <c:v>-33.75611700553219</c:v>
                </c:pt>
                <c:pt idx="317">
                  <c:v>-28.888154059591951</c:v>
                </c:pt>
                <c:pt idx="318">
                  <c:v>-73.839300044457417</c:v>
                </c:pt>
                <c:pt idx="319">
                  <c:v>-129.49001329918235</c:v>
                </c:pt>
                <c:pt idx="320">
                  <c:v>-109.26115215572773</c:v>
                </c:pt>
                <c:pt idx="321">
                  <c:v>-264.76776315763902</c:v>
                </c:pt>
                <c:pt idx="322">
                  <c:v>-81.571359502115385</c:v>
                </c:pt>
                <c:pt idx="323">
                  <c:v>-68.646961487164518</c:v>
                </c:pt>
                <c:pt idx="324">
                  <c:v>-94.757358419551835</c:v>
                </c:pt>
                <c:pt idx="325">
                  <c:v>-41.427754709978572</c:v>
                </c:pt>
                <c:pt idx="326">
                  <c:v>-22.557028775461511</c:v>
                </c:pt>
                <c:pt idx="327">
                  <c:v>-30.635062778664036</c:v>
                </c:pt>
                <c:pt idx="328">
                  <c:v>-26.287552365999201</c:v>
                </c:pt>
                <c:pt idx="329">
                  <c:v>-41.703481942267949</c:v>
                </c:pt>
                <c:pt idx="330">
                  <c:v>-80.457204672538182</c:v>
                </c:pt>
                <c:pt idx="331">
                  <c:v>-40.141387092982022</c:v>
                </c:pt>
                <c:pt idx="332">
                  <c:v>-66.557924623406748</c:v>
                </c:pt>
                <c:pt idx="333">
                  <c:v>-14.921527485739563</c:v>
                </c:pt>
                <c:pt idx="334">
                  <c:v>-25.098665820583935</c:v>
                </c:pt>
                <c:pt idx="335">
                  <c:v>-58.170281785873357</c:v>
                </c:pt>
                <c:pt idx="336">
                  <c:v>-18.718097821891181</c:v>
                </c:pt>
                <c:pt idx="337">
                  <c:v>-143.57641675311163</c:v>
                </c:pt>
                <c:pt idx="338">
                  <c:v>-151.22443727747699</c:v>
                </c:pt>
                <c:pt idx="339">
                  <c:v>-17.115277960310856</c:v>
                </c:pt>
                <c:pt idx="340">
                  <c:v>-78.385282891992972</c:v>
                </c:pt>
                <c:pt idx="341">
                  <c:v>-20.756702535166461</c:v>
                </c:pt>
                <c:pt idx="342">
                  <c:v>-222.23026056546152</c:v>
                </c:pt>
                <c:pt idx="343">
                  <c:v>-136.27760705288381</c:v>
                </c:pt>
                <c:pt idx="344">
                  <c:v>-25.548747380657698</c:v>
                </c:pt>
                <c:pt idx="345">
                  <c:v>-21.26105863630794</c:v>
                </c:pt>
                <c:pt idx="346">
                  <c:v>-229.30314747315535</c:v>
                </c:pt>
                <c:pt idx="347">
                  <c:v>-510.03328905706218</c:v>
                </c:pt>
                <c:pt idx="348">
                  <c:v>-20.862604078713229</c:v>
                </c:pt>
                <c:pt idx="349">
                  <c:v>-123.16805465749077</c:v>
                </c:pt>
                <c:pt idx="350">
                  <c:v>-44.688224188633058</c:v>
                </c:pt>
                <c:pt idx="351">
                  <c:v>-197.9869594128657</c:v>
                </c:pt>
                <c:pt idx="352">
                  <c:v>-130.73877292233936</c:v>
                </c:pt>
                <c:pt idx="353">
                  <c:v>-45.641683517333014</c:v>
                </c:pt>
                <c:pt idx="354">
                  <c:v>-45.231696005992035</c:v>
                </c:pt>
                <c:pt idx="355">
                  <c:v>-76.854931845022278</c:v>
                </c:pt>
                <c:pt idx="356">
                  <c:v>-57.881716046169373</c:v>
                </c:pt>
                <c:pt idx="357">
                  <c:v>-68.711570874703426</c:v>
                </c:pt>
                <c:pt idx="358">
                  <c:v>-45.012932133560284</c:v>
                </c:pt>
                <c:pt idx="359">
                  <c:v>-32.367404554840292</c:v>
                </c:pt>
                <c:pt idx="360">
                  <c:v>-26.582182467237054</c:v>
                </c:pt>
                <c:pt idx="361">
                  <c:v>-66.250260873221507</c:v>
                </c:pt>
                <c:pt idx="362">
                  <c:v>-44.483718836138699</c:v>
                </c:pt>
                <c:pt idx="363">
                  <c:v>-50.367525407411101</c:v>
                </c:pt>
                <c:pt idx="364">
                  <c:v>-40.342061827923963</c:v>
                </c:pt>
                <c:pt idx="365">
                  <c:v>-39.022454321962307</c:v>
                </c:pt>
                <c:pt idx="366">
                  <c:v>-7.3618695655918787</c:v>
                </c:pt>
                <c:pt idx="367">
                  <c:v>-40.376929832772355</c:v>
                </c:pt>
                <c:pt idx="368">
                  <c:v>-20.117656573315166</c:v>
                </c:pt>
                <c:pt idx="369">
                  <c:v>-371.77390537598234</c:v>
                </c:pt>
                <c:pt idx="370">
                  <c:v>-18.918763073137278</c:v>
                </c:pt>
                <c:pt idx="371">
                  <c:v>-30.805213918312887</c:v>
                </c:pt>
                <c:pt idx="372">
                  <c:v>-29.949671254758854</c:v>
                </c:pt>
                <c:pt idx="373">
                  <c:v>-48.419151996589434</c:v>
                </c:pt>
                <c:pt idx="374">
                  <c:v>-94.980531856469156</c:v>
                </c:pt>
                <c:pt idx="375">
                  <c:v>-33.554440129641172</c:v>
                </c:pt>
                <c:pt idx="376">
                  <c:v>-41.411897562875453</c:v>
                </c:pt>
                <c:pt idx="377">
                  <c:v>-9.1558457459614822</c:v>
                </c:pt>
                <c:pt idx="378">
                  <c:v>-19.547571661721239</c:v>
                </c:pt>
                <c:pt idx="379">
                  <c:v>-28.728144121264108</c:v>
                </c:pt>
                <c:pt idx="380">
                  <c:v>-33.937634351084462</c:v>
                </c:pt>
                <c:pt idx="381">
                  <c:v>-139.33270809222324</c:v>
                </c:pt>
                <c:pt idx="382">
                  <c:v>-21.365636410560374</c:v>
                </c:pt>
                <c:pt idx="383">
                  <c:v>-226.6556250615703</c:v>
                </c:pt>
                <c:pt idx="384">
                  <c:v>-140.31498186982734</c:v>
                </c:pt>
                <c:pt idx="385">
                  <c:v>-25.718637979616332</c:v>
                </c:pt>
                <c:pt idx="386">
                  <c:v>-20.456195201589068</c:v>
                </c:pt>
                <c:pt idx="387">
                  <c:v>-162.39163629199092</c:v>
                </c:pt>
                <c:pt idx="388">
                  <c:v>-22.803962115943104</c:v>
                </c:pt>
                <c:pt idx="389">
                  <c:v>-28.922134602224244</c:v>
                </c:pt>
                <c:pt idx="390">
                  <c:v>-157.49782805414537</c:v>
                </c:pt>
                <c:pt idx="391">
                  <c:v>-100.10402702267628</c:v>
                </c:pt>
                <c:pt idx="392">
                  <c:v>-24.421561724826159</c:v>
                </c:pt>
                <c:pt idx="393">
                  <c:v>-150.61511211788945</c:v>
                </c:pt>
                <c:pt idx="394">
                  <c:v>-133.14574918727217</c:v>
                </c:pt>
                <c:pt idx="395">
                  <c:v>-36.175334502468566</c:v>
                </c:pt>
                <c:pt idx="396">
                  <c:v>-49.733272442436707</c:v>
                </c:pt>
                <c:pt idx="397">
                  <c:v>-74.798623971269592</c:v>
                </c:pt>
                <c:pt idx="398">
                  <c:v>-41.662027188846217</c:v>
                </c:pt>
                <c:pt idx="399">
                  <c:v>-206.19694704139448</c:v>
                </c:pt>
                <c:pt idx="400">
                  <c:v>-58.148448785010217</c:v>
                </c:pt>
                <c:pt idx="401">
                  <c:v>-145.18531957038948</c:v>
                </c:pt>
                <c:pt idx="402">
                  <c:v>-114.91388481826532</c:v>
                </c:pt>
                <c:pt idx="403">
                  <c:v>-160.35374806854901</c:v>
                </c:pt>
                <c:pt idx="404">
                  <c:v>-30.469243764977083</c:v>
                </c:pt>
                <c:pt idx="405">
                  <c:v>-61.019977120072447</c:v>
                </c:pt>
                <c:pt idx="406">
                  <c:v>-17.589009758092487</c:v>
                </c:pt>
                <c:pt idx="407">
                  <c:v>-140.84203526746134</c:v>
                </c:pt>
                <c:pt idx="408">
                  <c:v>-24.519771758572109</c:v>
                </c:pt>
                <c:pt idx="409">
                  <c:v>-31.671431614207474</c:v>
                </c:pt>
                <c:pt idx="410">
                  <c:v>-40.459839339615833</c:v>
                </c:pt>
                <c:pt idx="411">
                  <c:v>-203.28181583911274</c:v>
                </c:pt>
                <c:pt idx="412">
                  <c:v>-94.497730664791533</c:v>
                </c:pt>
                <c:pt idx="413">
                  <c:v>-33.13063893465263</c:v>
                </c:pt>
                <c:pt idx="414">
                  <c:v>-113.88050533365016</c:v>
                </c:pt>
                <c:pt idx="415">
                  <c:v>-54.932090594479845</c:v>
                </c:pt>
                <c:pt idx="416">
                  <c:v>-44.31513140783742</c:v>
                </c:pt>
                <c:pt idx="417">
                  <c:v>-137.628250916197</c:v>
                </c:pt>
                <c:pt idx="418">
                  <c:v>-16.529377670638361</c:v>
                </c:pt>
                <c:pt idx="419">
                  <c:v>-68.637737874170824</c:v>
                </c:pt>
                <c:pt idx="420">
                  <c:v>-58.045894201615127</c:v>
                </c:pt>
                <c:pt idx="421">
                  <c:v>-34.387363439417825</c:v>
                </c:pt>
                <c:pt idx="422">
                  <c:v>-38.967468216433275</c:v>
                </c:pt>
                <c:pt idx="423">
                  <c:v>-37.674474116762589</c:v>
                </c:pt>
                <c:pt idx="424">
                  <c:v>-39.167279461319353</c:v>
                </c:pt>
                <c:pt idx="425">
                  <c:v>-57.374908762307342</c:v>
                </c:pt>
                <c:pt idx="426">
                  <c:v>-20.308959720684104</c:v>
                </c:pt>
                <c:pt idx="427">
                  <c:v>-153.17372949831545</c:v>
                </c:pt>
                <c:pt idx="428">
                  <c:v>-28.939223277139842</c:v>
                </c:pt>
                <c:pt idx="429">
                  <c:v>-97.398512778820148</c:v>
                </c:pt>
                <c:pt idx="430">
                  <c:v>-41.164570147785362</c:v>
                </c:pt>
                <c:pt idx="431">
                  <c:v>-42.988579298341818</c:v>
                </c:pt>
                <c:pt idx="432">
                  <c:v>-21.967222547877469</c:v>
                </c:pt>
                <c:pt idx="433">
                  <c:v>-29.888586936684021</c:v>
                </c:pt>
                <c:pt idx="434">
                  <c:v>-115.6366983548419</c:v>
                </c:pt>
                <c:pt idx="435">
                  <c:v>-162.19922913998622</c:v>
                </c:pt>
                <c:pt idx="436">
                  <c:v>-75.19851751494042</c:v>
                </c:pt>
                <c:pt idx="437">
                  <c:v>-130.78663971280758</c:v>
                </c:pt>
                <c:pt idx="438">
                  <c:v>-91.235021294012284</c:v>
                </c:pt>
                <c:pt idx="439">
                  <c:v>-104.96935917549055</c:v>
                </c:pt>
                <c:pt idx="440">
                  <c:v>-24.966288891150477</c:v>
                </c:pt>
                <c:pt idx="441">
                  <c:v>-25.305452028539705</c:v>
                </c:pt>
                <c:pt idx="442">
                  <c:v>-19.492974731906621</c:v>
                </c:pt>
                <c:pt idx="443">
                  <c:v>-19.565310170265327</c:v>
                </c:pt>
                <c:pt idx="444">
                  <c:v>-33.909988298981297</c:v>
                </c:pt>
                <c:pt idx="445">
                  <c:v>-72.07566682226971</c:v>
                </c:pt>
                <c:pt idx="446">
                  <c:v>-19.281903292121456</c:v>
                </c:pt>
                <c:pt idx="447">
                  <c:v>-37.319812823460886</c:v>
                </c:pt>
                <c:pt idx="448">
                  <c:v>-63.541604465511966</c:v>
                </c:pt>
                <c:pt idx="449">
                  <c:v>-30.220515244446659</c:v>
                </c:pt>
                <c:pt idx="450">
                  <c:v>-43.403126832559195</c:v>
                </c:pt>
                <c:pt idx="451">
                  <c:v>-92.401679638966854</c:v>
                </c:pt>
                <c:pt idx="452">
                  <c:v>-129.16317055158589</c:v>
                </c:pt>
                <c:pt idx="453">
                  <c:v>-318.91535352962143</c:v>
                </c:pt>
                <c:pt idx="454">
                  <c:v>-47.266686016592182</c:v>
                </c:pt>
                <c:pt idx="455">
                  <c:v>-40.497032776364136</c:v>
                </c:pt>
                <c:pt idx="456">
                  <c:v>-23.748421140362648</c:v>
                </c:pt>
                <c:pt idx="457">
                  <c:v>-144.6901783075559</c:v>
                </c:pt>
                <c:pt idx="458">
                  <c:v>-59.158005870490541</c:v>
                </c:pt>
                <c:pt idx="459">
                  <c:v>-47.666272454274981</c:v>
                </c:pt>
                <c:pt idx="460">
                  <c:v>-140.37867486474843</c:v>
                </c:pt>
                <c:pt idx="461">
                  <c:v>-76.984649117184517</c:v>
                </c:pt>
                <c:pt idx="462">
                  <c:v>-15.858756146128457</c:v>
                </c:pt>
                <c:pt idx="463">
                  <c:v>-86.821133208320589</c:v>
                </c:pt>
                <c:pt idx="464">
                  <c:v>-27.608865778877195</c:v>
                </c:pt>
                <c:pt idx="465">
                  <c:v>-253.56130116907016</c:v>
                </c:pt>
                <c:pt idx="466">
                  <c:v>-78.736281401572469</c:v>
                </c:pt>
                <c:pt idx="467">
                  <c:v>-67.084391764848064</c:v>
                </c:pt>
                <c:pt idx="468">
                  <c:v>-32.749255203172645</c:v>
                </c:pt>
                <c:pt idx="469">
                  <c:v>-73.84827230432353</c:v>
                </c:pt>
                <c:pt idx="470">
                  <c:v>-80.71045713192774</c:v>
                </c:pt>
                <c:pt idx="471">
                  <c:v>-25.083982988344957</c:v>
                </c:pt>
                <c:pt idx="472">
                  <c:v>-47.838785448685108</c:v>
                </c:pt>
                <c:pt idx="473">
                  <c:v>-228.06137108915675</c:v>
                </c:pt>
                <c:pt idx="474">
                  <c:v>-154.4224283800952</c:v>
                </c:pt>
                <c:pt idx="475">
                  <c:v>-75.427347688521536</c:v>
                </c:pt>
                <c:pt idx="476">
                  <c:v>-66.855824842310255</c:v>
                </c:pt>
                <c:pt idx="477">
                  <c:v>-79.484147312524414</c:v>
                </c:pt>
                <c:pt idx="478">
                  <c:v>-48.833699530806804</c:v>
                </c:pt>
                <c:pt idx="479">
                  <c:v>-19.462753065655601</c:v>
                </c:pt>
                <c:pt idx="480">
                  <c:v>-68.262205537292758</c:v>
                </c:pt>
                <c:pt idx="481">
                  <c:v>-177.62866125903349</c:v>
                </c:pt>
                <c:pt idx="482">
                  <c:v>-187.54010734679139</c:v>
                </c:pt>
                <c:pt idx="483">
                  <c:v>-37.475097093250724</c:v>
                </c:pt>
                <c:pt idx="484">
                  <c:v>-71.800185702335369</c:v>
                </c:pt>
                <c:pt idx="485">
                  <c:v>-28.010958268120046</c:v>
                </c:pt>
                <c:pt idx="486">
                  <c:v>-34.448900093463884</c:v>
                </c:pt>
                <c:pt idx="487">
                  <c:v>-18.162114718270654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B1-4988-B0E2-3DC3F509DC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57218431"/>
        <c:axId val="1357218911"/>
      </c:barChart>
      <c:catAx>
        <c:axId val="135721843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3175" cap="flat" cmpd="sng" algn="ctr">
            <a:solidFill>
              <a:srgbClr val="000000"/>
            </a:solidFill>
            <a:prstDash val="solid"/>
            <a:rou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US"/>
          </a:p>
        </c:txPr>
        <c:crossAx val="1357218911"/>
        <c:crosses val="autoZero"/>
        <c:auto val="1"/>
        <c:lblAlgn val="ctr"/>
        <c:lblOffset val="100"/>
        <c:tickMarkSkip val="1"/>
        <c:noMultiLvlLbl val="0"/>
      </c:catAx>
      <c:valAx>
        <c:axId val="1357218911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rgbClr val="E5E5E5"/>
              </a:solidFill>
              <a:prstDash val="solid"/>
              <a:round/>
            </a:ln>
            <a:effectLst/>
          </c:spPr>
        </c:majorGridlines>
        <c:numFmt formatCode="#,##0.0_);\(#,##0.0\);#,##0.0_);@_)" sourceLinked="1"/>
        <c:majorTickMark val="out"/>
        <c:minorTickMark val="none"/>
        <c:tickLblPos val="nextTo"/>
        <c:spPr>
          <a:noFill/>
          <a:ln w="3175">
            <a:solidFill>
              <a:srgbClr val="000000"/>
            </a:solidFill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US"/>
          </a:p>
        </c:txPr>
        <c:crossAx val="1357218431"/>
        <c:crosses val="autoZero"/>
        <c:crossBetween val="between"/>
      </c:valAx>
      <c:spPr>
        <a:pattFill>
          <a:fgClr>
            <a:srgbClr val="FFFFFF"/>
          </a:fgClr>
          <a:bgClr>
            <a:srgbClr val="FFFFFF"/>
          </a:bgClr>
        </a:pattFill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>
      <a:fgClr>
        <a:srgbClr val="FFFFFF"/>
      </a:fgClr>
      <a:bgClr>
        <a:srgbClr val="FFFFFF"/>
      </a:bgClr>
    </a:pattFill>
    <a:ln w="25400" cap="flat" cmpd="sng" algn="ctr">
      <a:noFill/>
      <a:round/>
    </a:ln>
    <a:effectLst/>
  </c:spPr>
  <c:txPr>
    <a:bodyPr/>
    <a:lstStyle/>
    <a:p>
      <a:pPr>
        <a:defRPr sz="900" b="0">
          <a:solidFill>
            <a:srgbClr val="000000"/>
          </a:solidFill>
          <a:latin typeface="Source Sans Pro" panose="020B0503030403020204" pitchFamily="34" charset="0"/>
          <a:ea typeface="Source Sans Pro"/>
          <a:cs typeface="Source Sans Pro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125015</xdr:colOff>
      <xdr:row>504</xdr:row>
      <xdr:rowOff>35719</xdr:rowOff>
    </xdr:from>
    <xdr:to>
      <xdr:col>9</xdr:col>
      <xdr:colOff>1500186</xdr:colOff>
      <xdr:row>526</xdr:row>
      <xdr:rowOff>35719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4BAD92-37F4-4201-AE3E-DC78D25E44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47625</xdr:colOff>
      <xdr:row>506</xdr:row>
      <xdr:rowOff>59530</xdr:rowOff>
    </xdr:from>
    <xdr:to>
      <xdr:col>14</xdr:col>
      <xdr:colOff>1398984</xdr:colOff>
      <xdr:row>524</xdr:row>
      <xdr:rowOff>190499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B7EC687-7571-4723-A76E-29307F8419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0.00622</cdr:x>
      <cdr:y>0.01612</cdr:y>
    </cdr:from>
    <cdr:to>
      <cdr:x>0.00622</cdr:x>
      <cdr:y>0.01612</cdr:y>
    </cdr:to>
    <cdr:sp macro="" textlink="">
      <cdr:nvSpPr>
        <cdr:cNvPr id="2" name="#UpSlide#ChartHasBeenCopiedWithUpSlideActive#" hidden="1">
          <a:extLst xmlns:a="http://schemas.openxmlformats.org/drawingml/2006/main">
            <a:ext uri="{FF2B5EF4-FFF2-40B4-BE49-F238E27FC236}">
              <a16:creationId xmlns:a16="http://schemas.microsoft.com/office/drawing/2014/main" id="{EFE8E272-BD1B-30EA-394A-77F0745C1302}"/>
            </a:ext>
          </a:extLst>
        </cdr:cNvPr>
        <cdr:cNvSpPr/>
      </cdr:nvSpPr>
      <cdr:spPr>
        <a:xfrm xmlns:a="http://schemas.openxmlformats.org/drawingml/2006/main">
          <a:off x="50800" y="50800"/>
          <a:ext cx="0" cy="0"/>
        </a:xfrm>
        <a:prstGeom xmlns:a="http://schemas.openxmlformats.org/drawingml/2006/main" prst="rect">
          <a:avLst/>
        </a:prstGeom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GB" kern="1200"/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H:\Travel%20and%20Leisure\Restaurants\Data\Industry%20data\Technomic\Top%20500%20chains%202024%20-%20Technomic.xlsx" TargetMode="External"/><Relationship Id="rId1" Type="http://schemas.openxmlformats.org/officeDocument/2006/relationships/externalLinkPath" Target="Top%20500%20chains%202024%20-%20Technomi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chnomic Top 500 Chains"/>
      <sheetName val="HHI"/>
      <sheetName val="Summary"/>
      <sheetName val="Category Leaders"/>
      <sheetName val="Top 20 Private companies"/>
      <sheetName val="Industry forecasts"/>
      <sheetName val="Total FSDP"/>
      <sheetName val="FSDP Units"/>
      <sheetName val="FSR vs LSR"/>
      <sheetName val="Detailed View "/>
      <sheetName val="Category gains &amp; losses"/>
      <sheetName val="Top 500 Chains segmentation"/>
      <sheetName val="Concentration"/>
      <sheetName val="Growth by type"/>
      <sheetName val="Top 20 Burger"/>
      <sheetName val="Top 20 Chicken"/>
      <sheetName val="Top 20 Pizza"/>
      <sheetName val="Top 20 Mexican"/>
      <sheetName val="Top 20 Coffee"/>
      <sheetName val="Top 20 Sandwich"/>
    </sheetNames>
    <sheetDataSet>
      <sheetData sheetId="0">
        <row r="2">
          <cell r="A2" t="str">
            <v>McDonald's</v>
          </cell>
          <cell r="L2">
            <v>-3.7213929810153701</v>
          </cell>
          <cell r="N2">
            <v>177.9244301899885</v>
          </cell>
        </row>
        <row r="3">
          <cell r="A3" t="str">
            <v>Starbucks</v>
          </cell>
          <cell r="L3">
            <v>-225.88303206274696</v>
          </cell>
          <cell r="N3">
            <v>-138.27881150955457</v>
          </cell>
        </row>
        <row r="4">
          <cell r="A4" t="str">
            <v>Chick-fil-A</v>
          </cell>
          <cell r="L4">
            <v>-76.383108727509637</v>
          </cell>
          <cell r="N4">
            <v>369.70826254555669</v>
          </cell>
        </row>
        <row r="5">
          <cell r="A5" t="str">
            <v>Taco Bell</v>
          </cell>
          <cell r="L5">
            <v>283.59396789166766</v>
          </cell>
          <cell r="N5">
            <v>152.50927579376238</v>
          </cell>
        </row>
        <row r="6">
          <cell r="A6" t="str">
            <v>Wendy's</v>
          </cell>
          <cell r="L6">
            <v>16.486815306696045</v>
          </cell>
          <cell r="N6">
            <v>-42.320020019244595</v>
          </cell>
        </row>
        <row r="7">
          <cell r="A7" t="str">
            <v>Dunkin'</v>
          </cell>
          <cell r="L7">
            <v>36.252003669641489</v>
          </cell>
          <cell r="N7">
            <v>-170.40091462073471</v>
          </cell>
        </row>
        <row r="8">
          <cell r="A8" t="str">
            <v>Chipotle Mexican Grill</v>
          </cell>
          <cell r="L8">
            <v>377.59113575454251</v>
          </cell>
          <cell r="N8">
            <v>1046.6689751933179</v>
          </cell>
        </row>
        <row r="9">
          <cell r="A9" t="str">
            <v>Burger King</v>
          </cell>
          <cell r="L9">
            <v>-4.944990535402094</v>
          </cell>
          <cell r="N9">
            <v>-183.68938399138946</v>
          </cell>
        </row>
        <row r="10">
          <cell r="A10" t="str">
            <v>Subway</v>
          </cell>
          <cell r="L10">
            <v>80.435273342296384</v>
          </cell>
          <cell r="N10">
            <v>-399.19661307892818</v>
          </cell>
        </row>
        <row r="11">
          <cell r="A11" t="str">
            <v>Domino's</v>
          </cell>
          <cell r="L11">
            <v>277.54668474345436</v>
          </cell>
          <cell r="N11">
            <v>502.92022730113905</v>
          </cell>
        </row>
        <row r="12">
          <cell r="A12" t="str">
            <v>Panda Express</v>
          </cell>
          <cell r="L12">
            <v>800.99604233296645</v>
          </cell>
          <cell r="N12">
            <v>1163.2932299818399</v>
          </cell>
        </row>
        <row r="13">
          <cell r="A13" t="str">
            <v>Panera Bread</v>
          </cell>
          <cell r="L13">
            <v>44.796490653241094</v>
          </cell>
          <cell r="N13">
            <v>-97.995469801799572</v>
          </cell>
        </row>
        <row r="14">
          <cell r="A14" t="str">
            <v>Popeyes</v>
          </cell>
          <cell r="L14">
            <v>-34.963941737933688</v>
          </cell>
          <cell r="N14">
            <v>-151.5812134521878</v>
          </cell>
        </row>
        <row r="15">
          <cell r="A15" t="str">
            <v>Pizza Hut</v>
          </cell>
          <cell r="L15">
            <v>62.67288674921906</v>
          </cell>
          <cell r="N15">
            <v>-265.14354699496812</v>
          </cell>
        </row>
        <row r="16">
          <cell r="A16" t="str">
            <v>Texas Roadhouse</v>
          </cell>
          <cell r="L16">
            <v>384.08393074378819</v>
          </cell>
          <cell r="N16">
            <v>974.90067681206517</v>
          </cell>
        </row>
        <row r="17">
          <cell r="A17" t="str">
            <v>Sonic Drive-In</v>
          </cell>
          <cell r="L17">
            <v>-17.117437181495276</v>
          </cell>
          <cell r="N17">
            <v>-53.524467988730898</v>
          </cell>
        </row>
        <row r="18">
          <cell r="A18" t="str">
            <v>Olive Garden</v>
          </cell>
          <cell r="L18">
            <v>1139.209082672299</v>
          </cell>
          <cell r="N18">
            <v>1658.2233747321113</v>
          </cell>
        </row>
        <row r="19">
          <cell r="A19" t="str">
            <v>Raising Cane's</v>
          </cell>
          <cell r="L19">
            <v>177.08485739212063</v>
          </cell>
          <cell r="N19">
            <v>466.71061805725583</v>
          </cell>
        </row>
        <row r="20">
          <cell r="A20" t="str">
            <v>Dairy Queen</v>
          </cell>
          <cell r="L20">
            <v>854.46379403483206</v>
          </cell>
          <cell r="N20">
            <v>1054.366603625052</v>
          </cell>
        </row>
        <row r="21">
          <cell r="A21" t="str">
            <v>KFC</v>
          </cell>
          <cell r="L21">
            <v>-122.49525185346138</v>
          </cell>
          <cell r="N21">
            <v>-546.59467601130643</v>
          </cell>
        </row>
        <row r="22">
          <cell r="A22" t="str">
            <v>Chili's Grill &amp; Bar</v>
          </cell>
          <cell r="L22">
            <v>529.64141084740402</v>
          </cell>
          <cell r="N22">
            <v>714.36230369745749</v>
          </cell>
        </row>
        <row r="23">
          <cell r="A23" t="str">
            <v>Little Caesars</v>
          </cell>
          <cell r="L23">
            <v>46.737888176130724</v>
          </cell>
          <cell r="N23">
            <v>26.19167975065173</v>
          </cell>
        </row>
        <row r="24">
          <cell r="A24" t="str">
            <v>Jack in the Box</v>
          </cell>
          <cell r="L24">
            <v>-4.9886082703475694</v>
          </cell>
          <cell r="N24">
            <v>-6.4289301872354212</v>
          </cell>
        </row>
        <row r="25">
          <cell r="A25" t="str">
            <v>Wingstop</v>
          </cell>
          <cell r="L25">
            <v>180.6608091195576</v>
          </cell>
          <cell r="N25">
            <v>387.58542773950842</v>
          </cell>
        </row>
        <row r="26">
          <cell r="A26" t="str">
            <v>Arby's</v>
          </cell>
          <cell r="L26">
            <v>16.095701168782341</v>
          </cell>
          <cell r="N26">
            <v>49.165786560241841</v>
          </cell>
        </row>
        <row r="27">
          <cell r="A27" t="str">
            <v>Whataburger</v>
          </cell>
          <cell r="L27">
            <v>29.588245214280107</v>
          </cell>
          <cell r="N27">
            <v>78.377852467315165</v>
          </cell>
        </row>
        <row r="28">
          <cell r="A28" t="str">
            <v>Applebee's</v>
          </cell>
          <cell r="L28">
            <v>167.4450267163574</v>
          </cell>
          <cell r="N28">
            <v>184.46952597930027</v>
          </cell>
        </row>
        <row r="29">
          <cell r="A29" t="str">
            <v>Buffalo Wild Wings</v>
          </cell>
          <cell r="L29">
            <v>1020.0176966588015</v>
          </cell>
          <cell r="N29">
            <v>792.11980718505436</v>
          </cell>
        </row>
        <row r="30">
          <cell r="A30" t="str">
            <v>Culver's</v>
          </cell>
          <cell r="L30">
            <v>44.360540247403577</v>
          </cell>
          <cell r="N30">
            <v>139.19724991481735</v>
          </cell>
        </row>
        <row r="31">
          <cell r="A31" t="str">
            <v>Jersey Mike's Subs</v>
          </cell>
          <cell r="L31">
            <v>183.5429744825509</v>
          </cell>
          <cell r="N31">
            <v>659.96108753837461</v>
          </cell>
        </row>
        <row r="32">
          <cell r="A32" t="str">
            <v>Papa Johns</v>
          </cell>
          <cell r="L32">
            <v>-3.0202826631015034</v>
          </cell>
          <cell r="N32">
            <v>174.18266871835689</v>
          </cell>
        </row>
        <row r="33">
          <cell r="A33" t="str">
            <v>IHOP</v>
          </cell>
          <cell r="L33">
            <v>141.12241267763059</v>
          </cell>
          <cell r="N33">
            <v>153.59318390419375</v>
          </cell>
        </row>
        <row r="34">
          <cell r="A34" t="str">
            <v>LongHorn Steakhouse</v>
          </cell>
          <cell r="L34">
            <v>95.669665321293223</v>
          </cell>
          <cell r="N34">
            <v>320.56453372021872</v>
          </cell>
        </row>
        <row r="35">
          <cell r="A35" t="str">
            <v>Cracker Barrel</v>
          </cell>
          <cell r="L35">
            <v>185.80393873966651</v>
          </cell>
          <cell r="N35">
            <v>235.76553111623738</v>
          </cell>
        </row>
        <row r="36">
          <cell r="A36" t="str">
            <v>Outback Steakhouse</v>
          </cell>
          <cell r="L36">
            <v>-98.010436298288653</v>
          </cell>
          <cell r="N36">
            <v>-427.19807450683322</v>
          </cell>
        </row>
        <row r="37">
          <cell r="A37" t="str">
            <v>Denny's</v>
          </cell>
          <cell r="L37">
            <v>110.60768957827565</v>
          </cell>
          <cell r="N37">
            <v>61.617921877133163</v>
          </cell>
        </row>
        <row r="38">
          <cell r="A38" t="str">
            <v>Cheesecake Factory, The</v>
          </cell>
          <cell r="L38">
            <v>184.73810989935794</v>
          </cell>
          <cell r="N38">
            <v>305.53326892763033</v>
          </cell>
        </row>
        <row r="39">
          <cell r="A39" t="str">
            <v>Jimmy John's</v>
          </cell>
          <cell r="L39">
            <v>68.791941282630304</v>
          </cell>
          <cell r="N39">
            <v>99.712844560679031</v>
          </cell>
        </row>
        <row r="40">
          <cell r="A40" t="str">
            <v>Zaxby's</v>
          </cell>
          <cell r="L40">
            <v>-12.469820879339871</v>
          </cell>
          <cell r="N40">
            <v>-128.95997246270295</v>
          </cell>
        </row>
        <row r="41">
          <cell r="A41" t="str">
            <v>Five Guys</v>
          </cell>
          <cell r="L41">
            <v>-8.453155839571874</v>
          </cell>
          <cell r="N41">
            <v>13.799471429311247</v>
          </cell>
        </row>
        <row r="42">
          <cell r="A42" t="str">
            <v>Bojangles</v>
          </cell>
          <cell r="L42">
            <v>-5.3667836899956578</v>
          </cell>
          <cell r="N42">
            <v>-75.650014071527508</v>
          </cell>
        </row>
        <row r="43">
          <cell r="A43" t="str">
            <v>In-N-Out Burger</v>
          </cell>
          <cell r="L43">
            <v>-26.813606868319635</v>
          </cell>
          <cell r="N43">
            <v>10.335025211348579</v>
          </cell>
        </row>
        <row r="44">
          <cell r="A44" t="str">
            <v>Hardee's</v>
          </cell>
          <cell r="L44">
            <v>-10.473179259332214</v>
          </cell>
          <cell r="N44">
            <v>-62.825491783473076</v>
          </cell>
        </row>
        <row r="45">
          <cell r="A45" t="str">
            <v>Dutch Bros Coffee</v>
          </cell>
          <cell r="L45">
            <v>65.336581301427387</v>
          </cell>
          <cell r="N45">
            <v>200.87108862226188</v>
          </cell>
        </row>
        <row r="46">
          <cell r="A46" t="str">
            <v>Red Lobster</v>
          </cell>
          <cell r="L46">
            <v>585.2990010405274</v>
          </cell>
          <cell r="N46">
            <v>-32.815076646818262</v>
          </cell>
        </row>
        <row r="47">
          <cell r="A47" t="str">
            <v>Golden Corral</v>
          </cell>
          <cell r="L47">
            <v>77.710554572010821</v>
          </cell>
          <cell r="N47">
            <v>-15.745955355532249</v>
          </cell>
        </row>
        <row r="48">
          <cell r="A48" t="str">
            <v>Carl's Jr.</v>
          </cell>
          <cell r="L48">
            <v>-9.3164858044345387</v>
          </cell>
          <cell r="N48">
            <v>-24.535281955474463</v>
          </cell>
        </row>
        <row r="49">
          <cell r="A49" t="str">
            <v>Red Robin</v>
          </cell>
          <cell r="L49">
            <v>72.451906342382856</v>
          </cell>
          <cell r="N49">
            <v>40.98256212783383</v>
          </cell>
        </row>
        <row r="50">
          <cell r="A50" t="str">
            <v>Tropical Smoothie Cafe</v>
          </cell>
          <cell r="L50">
            <v>215.8761226928743</v>
          </cell>
          <cell r="N50">
            <v>541.94508096946686</v>
          </cell>
        </row>
        <row r="51">
          <cell r="A51" t="str">
            <v>Waffle House</v>
          </cell>
          <cell r="L51">
            <v>91.15023767020628</v>
          </cell>
          <cell r="N51">
            <v>34.44464206206213</v>
          </cell>
        </row>
        <row r="52">
          <cell r="A52" t="str">
            <v>BJ's Restaurant &amp; Brewhouse</v>
          </cell>
          <cell r="L52">
            <v>99.685687595109997</v>
          </cell>
          <cell r="N52">
            <v>143.78693449561476</v>
          </cell>
        </row>
        <row r="53">
          <cell r="A53" t="str">
            <v>Shake Shack</v>
          </cell>
          <cell r="L53">
            <v>15.12743936215033</v>
          </cell>
          <cell r="N53">
            <v>47.12793719470011</v>
          </cell>
        </row>
        <row r="54">
          <cell r="A54" t="str">
            <v>Crumbl</v>
          </cell>
          <cell r="L54">
            <v>345.80349872543883</v>
          </cell>
          <cell r="N54">
            <v>1395.27549696203</v>
          </cell>
        </row>
        <row r="55">
          <cell r="A55" t="str">
            <v>Qdoba Mexican Eats</v>
          </cell>
          <cell r="L55">
            <v>57.700181189967445</v>
          </cell>
          <cell r="N55">
            <v>-14.720374352909655</v>
          </cell>
        </row>
        <row r="56">
          <cell r="A56" t="str">
            <v>First Watch</v>
          </cell>
          <cell r="L56">
            <v>106.40661222635461</v>
          </cell>
          <cell r="N56">
            <v>407.18441411853365</v>
          </cell>
        </row>
        <row r="57">
          <cell r="A57" t="str">
            <v>Firehouse Subs</v>
          </cell>
          <cell r="L57">
            <v>28.865020844935536</v>
          </cell>
          <cell r="N57">
            <v>75.321836303737413</v>
          </cell>
        </row>
        <row r="58">
          <cell r="A58" t="str">
            <v>El Pollo Loco</v>
          </cell>
          <cell r="L58">
            <v>-5.7464467531374162</v>
          </cell>
          <cell r="N58">
            <v>-82.72098381669521</v>
          </cell>
        </row>
        <row r="59">
          <cell r="A59" t="str">
            <v>Marco's Pizza</v>
          </cell>
          <cell r="L59">
            <v>16.713671890752693</v>
          </cell>
          <cell r="N59">
            <v>114.22815107374227</v>
          </cell>
        </row>
        <row r="60">
          <cell r="A60" t="str">
            <v>McAlister's Deli</v>
          </cell>
          <cell r="L60">
            <v>20.964209556314785</v>
          </cell>
          <cell r="N60">
            <v>71.512847544736061</v>
          </cell>
        </row>
        <row r="61">
          <cell r="A61" t="str">
            <v>Freddy's Frozen Custard &amp; Steakburgers</v>
          </cell>
          <cell r="L61">
            <v>5.1115552838171263</v>
          </cell>
          <cell r="N61">
            <v>27.659853032759887</v>
          </cell>
        </row>
        <row r="62">
          <cell r="A62" t="str">
            <v>P.F. Chang's</v>
          </cell>
          <cell r="L62">
            <v>69.822564839321359</v>
          </cell>
          <cell r="N62">
            <v>-449.98054557709276</v>
          </cell>
        </row>
        <row r="63">
          <cell r="A63" t="str">
            <v>Del Taco</v>
          </cell>
          <cell r="L63">
            <v>-10.246742797831999</v>
          </cell>
          <cell r="N63">
            <v>-66.627080496065588</v>
          </cell>
        </row>
        <row r="64">
          <cell r="A64" t="str">
            <v>Cava</v>
          </cell>
          <cell r="L64">
            <v>799.40248003772524</v>
          </cell>
          <cell r="N64">
            <v>1708.3055393888949</v>
          </cell>
        </row>
        <row r="65">
          <cell r="A65" t="str">
            <v>Nothing Bundt Cakes</v>
          </cell>
          <cell r="L65">
            <v>157.53311527367197</v>
          </cell>
          <cell r="N65">
            <v>227.37457638156101</v>
          </cell>
        </row>
        <row r="66">
          <cell r="A66" t="str">
            <v>Yard House</v>
          </cell>
          <cell r="L66">
            <v>70.645562724156449</v>
          </cell>
          <cell r="N66">
            <v>140.77969391388604</v>
          </cell>
        </row>
        <row r="67">
          <cell r="A67" t="str">
            <v>Church's Texas Chicken</v>
          </cell>
          <cell r="L67">
            <v>-2.6821063991878598</v>
          </cell>
          <cell r="N67">
            <v>-125.62276962017046</v>
          </cell>
        </row>
        <row r="68">
          <cell r="A68" t="str">
            <v>Ruth's Chris Steak House</v>
          </cell>
          <cell r="L68">
            <v>-26.514410304594172</v>
          </cell>
          <cell r="N68">
            <v>-66.665007705442179</v>
          </cell>
        </row>
        <row r="69">
          <cell r="A69" t="str">
            <v>Auntie Anne's</v>
          </cell>
          <cell r="L69">
            <v>36.798029975758098</v>
          </cell>
          <cell r="N69">
            <v>-201.77923199601557</v>
          </cell>
        </row>
        <row r="70">
          <cell r="A70" t="str">
            <v>Tim Hortons</v>
          </cell>
          <cell r="L70">
            <v>0.37751724069869097</v>
          </cell>
          <cell r="N70">
            <v>-50.000176625060853</v>
          </cell>
        </row>
        <row r="71">
          <cell r="A71" t="str">
            <v>Cheddar's Scratch Kitchen</v>
          </cell>
          <cell r="L71">
            <v>54.521952473214895</v>
          </cell>
          <cell r="N71">
            <v>42.812825629514883</v>
          </cell>
        </row>
        <row r="72">
          <cell r="A72" t="str">
            <v>Smoothie King</v>
          </cell>
          <cell r="L72">
            <v>57.365156185101988</v>
          </cell>
          <cell r="N72">
            <v>-20.999772776888609</v>
          </cell>
        </row>
        <row r="73">
          <cell r="A73" t="str">
            <v>Bob Evans</v>
          </cell>
          <cell r="L73">
            <v>26.416552809603935</v>
          </cell>
          <cell r="N73">
            <v>11.410410804036097</v>
          </cell>
        </row>
        <row r="74">
          <cell r="A74" t="str">
            <v>Steak 'n Shake</v>
          </cell>
          <cell r="L74">
            <v>1.3201717781005391</v>
          </cell>
          <cell r="N74">
            <v>-42.182917551267884</v>
          </cell>
        </row>
        <row r="75">
          <cell r="A75" t="str">
            <v>Krispy Kreme</v>
          </cell>
          <cell r="L75">
            <v>-157.15117236172222</v>
          </cell>
          <cell r="N75">
            <v>-331.51722815470367</v>
          </cell>
        </row>
        <row r="76">
          <cell r="A76" t="str">
            <v>Charleys Cheesesteaks</v>
          </cell>
          <cell r="L76">
            <v>37.741701870959361</v>
          </cell>
          <cell r="N76">
            <v>74.033264751240665</v>
          </cell>
        </row>
        <row r="77">
          <cell r="A77" t="str">
            <v>Carrabba's Italian Grill</v>
          </cell>
          <cell r="L77">
            <v>121.53382116690648</v>
          </cell>
          <cell r="N77">
            <v>206.78411279392586</v>
          </cell>
        </row>
        <row r="78">
          <cell r="A78" t="str">
            <v>Papa Murphy's Pizza</v>
          </cell>
          <cell r="L78">
            <v>-0.6368108564849817</v>
          </cell>
          <cell r="N78">
            <v>-42.258319800058779</v>
          </cell>
        </row>
        <row r="79">
          <cell r="A79" t="str">
            <v>Scooter's Coffee</v>
          </cell>
          <cell r="L79">
            <v>28.581296080785382</v>
          </cell>
          <cell r="N79">
            <v>97.118727991783445</v>
          </cell>
        </row>
        <row r="80">
          <cell r="A80" t="str">
            <v>Moe's Southwest Grill</v>
          </cell>
          <cell r="L80">
            <v>-6.914602986905841</v>
          </cell>
          <cell r="N80">
            <v>-87.354842019908318</v>
          </cell>
        </row>
        <row r="81">
          <cell r="A81" t="str">
            <v>Habit Burger &amp; Grill</v>
          </cell>
          <cell r="L81">
            <v>1.0952256381067949</v>
          </cell>
          <cell r="N81">
            <v>5.8747329789752678</v>
          </cell>
        </row>
        <row r="82">
          <cell r="A82" t="str">
            <v>Portillo's</v>
          </cell>
          <cell r="L82">
            <v>23.583284394921716</v>
          </cell>
          <cell r="N82">
            <v>56.822567136911637</v>
          </cell>
        </row>
        <row r="83">
          <cell r="A83" t="str">
            <v>Baskin-Robbins</v>
          </cell>
          <cell r="L83">
            <v>128.8097597942546</v>
          </cell>
          <cell r="N83">
            <v>32.884887179359531</v>
          </cell>
        </row>
        <row r="84">
          <cell r="A84" t="str">
            <v>Hooters</v>
          </cell>
          <cell r="L84">
            <v>26.517072564721801</v>
          </cell>
          <cell r="N84">
            <v>-303.32392163272851</v>
          </cell>
        </row>
        <row r="85">
          <cell r="A85" t="str">
            <v>Sweetgreen</v>
          </cell>
          <cell r="L85">
            <v>422.63155001972501</v>
          </cell>
          <cell r="N85">
            <v>778.13890299058028</v>
          </cell>
        </row>
        <row r="86">
          <cell r="A86" t="str">
            <v>Jason's Deli</v>
          </cell>
          <cell r="L86">
            <v>14.590998952355056</v>
          </cell>
          <cell r="N86">
            <v>-7.490890298411899</v>
          </cell>
        </row>
        <row r="87">
          <cell r="A87" t="str">
            <v>Fogo de Chao</v>
          </cell>
          <cell r="L87">
            <v>27.455723955838312</v>
          </cell>
          <cell r="N87">
            <v>145.61475916530114</v>
          </cell>
        </row>
        <row r="88">
          <cell r="A88" t="str">
            <v>White Castle</v>
          </cell>
          <cell r="L88">
            <v>-3.4292572840331945</v>
          </cell>
          <cell r="N88">
            <v>-7.9821090865742157</v>
          </cell>
        </row>
        <row r="89">
          <cell r="A89" t="str">
            <v>Einstein Bros. Bagels</v>
          </cell>
          <cell r="L89">
            <v>31.552631991817389</v>
          </cell>
          <cell r="N89">
            <v>34.084364472966833</v>
          </cell>
        </row>
        <row r="90">
          <cell r="A90" t="str">
            <v>Dave's Hot Chicken</v>
          </cell>
          <cell r="L90">
            <v>34.540875421805985</v>
          </cell>
          <cell r="N90">
            <v>115.54378998881563</v>
          </cell>
        </row>
        <row r="91">
          <cell r="A91" t="str">
            <v>Cooper's Hawk Winery &amp; Restaurants</v>
          </cell>
          <cell r="L91">
            <v>31.593373475387391</v>
          </cell>
          <cell r="N91">
            <v>142.59419305221573</v>
          </cell>
        </row>
        <row r="92">
          <cell r="A92" t="str">
            <v>Noodles &amp; Company</v>
          </cell>
          <cell r="L92">
            <v>22.195150813124343</v>
          </cell>
          <cell r="N92">
            <v>-149.79785568390565</v>
          </cell>
        </row>
        <row r="93">
          <cell r="A93" t="str">
            <v>Dave &amp; Buster's</v>
          </cell>
          <cell r="L93">
            <v>111.20724183753886</v>
          </cell>
          <cell r="N93">
            <v>92.061028125898915</v>
          </cell>
        </row>
        <row r="94">
          <cell r="A94" t="str">
            <v>Miller's Ale House</v>
          </cell>
          <cell r="L94">
            <v>127.73180108023863</v>
          </cell>
          <cell r="N94">
            <v>184.46405854066359</v>
          </cell>
        </row>
        <row r="95">
          <cell r="A95" t="str">
            <v>Jack's Family Restaurants</v>
          </cell>
          <cell r="L95">
            <v>3.6768239860147673</v>
          </cell>
          <cell r="N95">
            <v>16.000214105598324</v>
          </cell>
        </row>
        <row r="96">
          <cell r="A96" t="str">
            <v>MOD Pizza</v>
          </cell>
          <cell r="L96">
            <v>-21.460000775695779</v>
          </cell>
          <cell r="N96">
            <v>11.026551288401791</v>
          </cell>
        </row>
        <row r="97">
          <cell r="A97" t="str">
            <v>Capital Grille, The</v>
          </cell>
          <cell r="L97">
            <v>0.85320318628352709</v>
          </cell>
          <cell r="N97">
            <v>-21.350832708471184</v>
          </cell>
        </row>
        <row r="98">
          <cell r="A98" t="str">
            <v>Twin Peaks</v>
          </cell>
          <cell r="L98">
            <v>160.60536888878477</v>
          </cell>
          <cell r="N98">
            <v>328.11758921946836</v>
          </cell>
        </row>
        <row r="99">
          <cell r="A99" t="str">
            <v>Cold Stone Creamery</v>
          </cell>
          <cell r="L99">
            <v>132.0284131352123</v>
          </cell>
          <cell r="N99">
            <v>208.32230836130256</v>
          </cell>
        </row>
        <row r="100">
          <cell r="A100" t="str">
            <v>Potbelly Sandwich Shop</v>
          </cell>
          <cell r="L100">
            <v>12.173218345928118</v>
          </cell>
          <cell r="N100">
            <v>23.328681262178556</v>
          </cell>
        </row>
        <row r="101">
          <cell r="A101" t="str">
            <v>Jet's Pizza</v>
          </cell>
          <cell r="L101">
            <v>52.787156312573828</v>
          </cell>
          <cell r="N101">
            <v>58.266995673205912</v>
          </cell>
        </row>
        <row r="102">
          <cell r="A102" t="str">
            <v>Checkers</v>
          </cell>
          <cell r="L102">
            <v>-2.9006280736738801</v>
          </cell>
          <cell r="N102">
            <v>-25.714653952705032</v>
          </cell>
        </row>
        <row r="103">
          <cell r="A103" t="str">
            <v>Captain D's Seafood Kitchen</v>
          </cell>
          <cell r="L103">
            <v>158.51724360736688</v>
          </cell>
          <cell r="N103">
            <v>-323.09656973716267</v>
          </cell>
        </row>
        <row r="104">
          <cell r="A104" t="str">
            <v>Bonefish Grill</v>
          </cell>
          <cell r="L104">
            <v>396.29218022854724</v>
          </cell>
          <cell r="N104">
            <v>383.36638901756288</v>
          </cell>
        </row>
        <row r="105">
          <cell r="A105" t="str">
            <v>Torchy's Tacos</v>
          </cell>
          <cell r="L105">
            <v>3.2587885918486381</v>
          </cell>
          <cell r="N105">
            <v>45.221247211335907</v>
          </cell>
        </row>
        <row r="106">
          <cell r="A106" t="str">
            <v>Benihana</v>
          </cell>
          <cell r="L106">
            <v>33.96661682568358</v>
          </cell>
          <cell r="N106">
            <v>-603.22231636176116</v>
          </cell>
        </row>
        <row r="107">
          <cell r="A107" t="str">
            <v>Maggiano's Little Italy</v>
          </cell>
          <cell r="L107">
            <v>122.59177640159345</v>
          </cell>
          <cell r="N107">
            <v>200.44034170537557</v>
          </cell>
        </row>
        <row r="108">
          <cell r="A108" t="str">
            <v>Perkins American Food Co.</v>
          </cell>
          <cell r="L108">
            <v>18.776512951342063</v>
          </cell>
          <cell r="N108">
            <v>-48.68493016750908</v>
          </cell>
        </row>
        <row r="109">
          <cell r="A109" t="str">
            <v>7 Brew Drive Thru Coffee</v>
          </cell>
          <cell r="L109">
            <v>60.384096485289753</v>
          </cell>
          <cell r="N109">
            <v>95.857780292859829</v>
          </cell>
        </row>
        <row r="110">
          <cell r="A110" t="str">
            <v>Saltgrass Steak House</v>
          </cell>
          <cell r="L110">
            <v>16.579282697221711</v>
          </cell>
          <cell r="N110">
            <v>-16.39592311800747</v>
          </cell>
        </row>
        <row r="111">
          <cell r="A111" t="str">
            <v>Chuy's</v>
          </cell>
          <cell r="L111">
            <v>5.5291860806104545</v>
          </cell>
          <cell r="N111">
            <v>-30.924781859002234</v>
          </cell>
        </row>
        <row r="112">
          <cell r="A112" t="str">
            <v>Jamba</v>
          </cell>
          <cell r="L112">
            <v>-30.424854814190827</v>
          </cell>
          <cell r="N112">
            <v>-431.41147206477916</v>
          </cell>
        </row>
        <row r="113">
          <cell r="A113" t="str">
            <v>Paris Baguette</v>
          </cell>
          <cell r="L113">
            <v>19.320864361889672</v>
          </cell>
          <cell r="N113">
            <v>47.325187890332387</v>
          </cell>
        </row>
        <row r="114">
          <cell r="A114" t="str">
            <v>Slim Chickens</v>
          </cell>
          <cell r="L114">
            <v>8.3640626538183422</v>
          </cell>
          <cell r="N114">
            <v>46.891172564647235</v>
          </cell>
        </row>
        <row r="115">
          <cell r="A115" t="str">
            <v>Topgolf</v>
          </cell>
          <cell r="L115">
            <v>97.554797525156303</v>
          </cell>
          <cell r="N115">
            <v>264.54012400873967</v>
          </cell>
        </row>
        <row r="116">
          <cell r="A116" t="str">
            <v>Black Bear Diner</v>
          </cell>
          <cell r="L116">
            <v>26.70234804115594</v>
          </cell>
          <cell r="N116">
            <v>78.384255703040679</v>
          </cell>
        </row>
        <row r="117">
          <cell r="A117" t="str">
            <v>Hungry Howie's Pizza</v>
          </cell>
          <cell r="L117">
            <v>-4.9469175712722917</v>
          </cell>
          <cell r="N117">
            <v>-1.1981034885724662</v>
          </cell>
        </row>
        <row r="118">
          <cell r="A118" t="str">
            <v>Round Table Pizza</v>
          </cell>
          <cell r="L118">
            <v>7.7165490585289103</v>
          </cell>
          <cell r="N118">
            <v>-23.903617879978931</v>
          </cell>
        </row>
        <row r="119">
          <cell r="A119" t="str">
            <v>Taco John's</v>
          </cell>
          <cell r="L119">
            <v>-6.5109009135027973</v>
          </cell>
          <cell r="N119">
            <v>-29.458775269403901</v>
          </cell>
        </row>
        <row r="120">
          <cell r="A120" t="str">
            <v>Din Tai Fung</v>
          </cell>
          <cell r="L120">
            <v>859.39393494068929</v>
          </cell>
          <cell r="N120">
            <v>779.02643832330443</v>
          </cell>
        </row>
        <row r="121">
          <cell r="A121" t="str">
            <v>Chuck E. Cheese</v>
          </cell>
          <cell r="L121">
            <v>18.763397576704676</v>
          </cell>
          <cell r="N121">
            <v>-8.6422955487655901</v>
          </cell>
        </row>
        <row r="122">
          <cell r="A122" t="str">
            <v>Texas de Brazil</v>
          </cell>
          <cell r="L122">
            <v>14.590446593612388</v>
          </cell>
          <cell r="N122">
            <v>-24.762556595588659</v>
          </cell>
        </row>
        <row r="123">
          <cell r="A123" t="str">
            <v>TGI Fridays</v>
          </cell>
          <cell r="L123">
            <v>-104.12104091564075</v>
          </cell>
          <cell r="N123">
            <v>-280.89406173660655</v>
          </cell>
        </row>
        <row r="124">
          <cell r="A124" t="str">
            <v>California Pizza Kitchen</v>
          </cell>
          <cell r="L124">
            <v>37.619960194514647</v>
          </cell>
          <cell r="N124">
            <v>-204.49225042996588</v>
          </cell>
        </row>
        <row r="125">
          <cell r="A125" t="str">
            <v>Lazy Dog Restaurant &amp; Bar</v>
          </cell>
          <cell r="L125">
            <v>29.896318266591575</v>
          </cell>
          <cell r="N125">
            <v>101.28174084255184</v>
          </cell>
        </row>
        <row r="126">
          <cell r="A126" t="str">
            <v>Honey Baked Ham Co.</v>
          </cell>
          <cell r="L126">
            <v>15.615885543507172</v>
          </cell>
          <cell r="N126">
            <v>27.156681743474401</v>
          </cell>
        </row>
        <row r="127">
          <cell r="A127" t="str">
            <v>KPOT Korean BBQ &amp; Hot Pot</v>
          </cell>
          <cell r="L127">
            <v>347.99422945941501</v>
          </cell>
          <cell r="N127">
            <v>1146.3620290913384</v>
          </cell>
        </row>
        <row r="128">
          <cell r="A128" t="str">
            <v>Chicken Salad Chick</v>
          </cell>
          <cell r="L128">
            <v>3.8143717798121926</v>
          </cell>
          <cell r="N128">
            <v>25.836574286125046</v>
          </cell>
        </row>
        <row r="129">
          <cell r="A129" t="str">
            <v>Caribou Coffee</v>
          </cell>
          <cell r="L129">
            <v>1.4970393954586574</v>
          </cell>
          <cell r="N129">
            <v>-13.248044292767615</v>
          </cell>
        </row>
        <row r="130">
          <cell r="A130" t="str">
            <v>Cafe Rio Mexican Grill</v>
          </cell>
          <cell r="L130">
            <v>1.7313529055097352</v>
          </cell>
          <cell r="N130">
            <v>3.2838107796783098</v>
          </cell>
        </row>
        <row r="131">
          <cell r="A131" t="str">
            <v>Mellow Mushroom</v>
          </cell>
          <cell r="L131">
            <v>66.839258173494386</v>
          </cell>
          <cell r="N131">
            <v>-45.181865588980948</v>
          </cell>
        </row>
        <row r="132">
          <cell r="A132" t="str">
            <v>Firebirds Wood Fired Grill</v>
          </cell>
          <cell r="L132">
            <v>40.121272921766916</v>
          </cell>
          <cell r="N132">
            <v>95.883362611207616</v>
          </cell>
        </row>
        <row r="133">
          <cell r="A133" t="str">
            <v>Logan's Roadhouse</v>
          </cell>
          <cell r="L133">
            <v>-22.116870356995687</v>
          </cell>
          <cell r="N133">
            <v>-249.90648641222379</v>
          </cell>
        </row>
        <row r="134">
          <cell r="A134" t="str">
            <v>Cook Out</v>
          </cell>
          <cell r="L134">
            <v>3.3247691128329486</v>
          </cell>
          <cell r="N134">
            <v>8.5197289364729443</v>
          </cell>
        </row>
        <row r="135">
          <cell r="A135" t="str">
            <v>Fleming's Prime Steakhouse &amp; Wine Bar</v>
          </cell>
          <cell r="L135">
            <v>-12.426799939300182</v>
          </cell>
          <cell r="N135">
            <v>-17.695906409587668</v>
          </cell>
        </row>
        <row r="136">
          <cell r="A136" t="str">
            <v>Pizza Ranch</v>
          </cell>
          <cell r="L136">
            <v>7.3265192431474713</v>
          </cell>
          <cell r="N136">
            <v>18.66435266849993</v>
          </cell>
        </row>
        <row r="137">
          <cell r="A137" t="str">
            <v>Mountain Mike's Pizza</v>
          </cell>
          <cell r="L137">
            <v>25.30276611722438</v>
          </cell>
          <cell r="N137">
            <v>52.360354686473265</v>
          </cell>
        </row>
        <row r="138">
          <cell r="A138" t="str">
            <v>Blaze Pizza</v>
          </cell>
          <cell r="L138">
            <v>-8.7893537081341027</v>
          </cell>
          <cell r="N138">
            <v>-20.616932221066126</v>
          </cell>
        </row>
        <row r="139">
          <cell r="A139" t="str">
            <v>Wienerschnitzel</v>
          </cell>
          <cell r="L139">
            <v>-10.788757578387864</v>
          </cell>
          <cell r="N139">
            <v>11.953510630005812</v>
          </cell>
        </row>
        <row r="140">
          <cell r="A140" t="str">
            <v>Walk-On's Sports Bistreaux</v>
          </cell>
          <cell r="L140">
            <v>93.753026774094224</v>
          </cell>
          <cell r="N140">
            <v>282.07662706942443</v>
          </cell>
        </row>
        <row r="141">
          <cell r="A141" t="str">
            <v>Schlotzsky's</v>
          </cell>
          <cell r="L141">
            <v>3.0327076091604503</v>
          </cell>
          <cell r="N141">
            <v>0.41245689902004101</v>
          </cell>
        </row>
        <row r="142">
          <cell r="A142" t="str">
            <v>Pollo Tropical</v>
          </cell>
          <cell r="L142">
            <v>-10.242498381081971</v>
          </cell>
          <cell r="N142">
            <v>-52.706044583121255</v>
          </cell>
        </row>
        <row r="143">
          <cell r="A143" t="str">
            <v>Pollo Campero</v>
          </cell>
          <cell r="L143">
            <v>7.4806229193843512</v>
          </cell>
          <cell r="N143">
            <v>16.861615244303405</v>
          </cell>
        </row>
        <row r="144">
          <cell r="A144" t="str">
            <v>Jollibee</v>
          </cell>
          <cell r="L144">
            <v>5.0041284996340565</v>
          </cell>
          <cell r="N144">
            <v>22.17031901178515</v>
          </cell>
        </row>
        <row r="145">
          <cell r="A145" t="str">
            <v>Mastro's Restaurants</v>
          </cell>
          <cell r="L145">
            <v>15.587009576245766</v>
          </cell>
          <cell r="N145">
            <v>8.1108141828690332</v>
          </cell>
        </row>
        <row r="146">
          <cell r="A146" t="str">
            <v>True Food Kitchen</v>
          </cell>
          <cell r="L146">
            <v>32.856431235730021</v>
          </cell>
          <cell r="N146">
            <v>73.524427758471845</v>
          </cell>
        </row>
        <row r="147">
          <cell r="A147" t="str">
            <v>Biggby Coffee</v>
          </cell>
          <cell r="L147">
            <v>11.780838150353897</v>
          </cell>
          <cell r="N147">
            <v>15.965155792023474</v>
          </cell>
        </row>
        <row r="148">
          <cell r="A148" t="str">
            <v>Shipley Do-Nuts</v>
          </cell>
          <cell r="L148">
            <v>29.178768893637837</v>
          </cell>
          <cell r="N148">
            <v>-122.50846978814185</v>
          </cell>
        </row>
        <row r="149">
          <cell r="A149" t="str">
            <v>Rally's</v>
          </cell>
          <cell r="L149">
            <v>-6.1275161400797633E-2</v>
          </cell>
          <cell r="N149">
            <v>-6.4222559241785282</v>
          </cell>
        </row>
        <row r="150">
          <cell r="A150" t="str">
            <v>Golden Chick</v>
          </cell>
          <cell r="L150">
            <v>-1.8026891670662373</v>
          </cell>
          <cell r="N150">
            <v>-5.2897916142349146</v>
          </cell>
        </row>
        <row r="151">
          <cell r="A151" t="str">
            <v>Seasons 52</v>
          </cell>
          <cell r="L151">
            <v>22.114197626590911</v>
          </cell>
          <cell r="N151">
            <v>24.501406697841848</v>
          </cell>
        </row>
        <row r="152">
          <cell r="A152" t="str">
            <v>Peet's Coffee</v>
          </cell>
          <cell r="L152">
            <v>-2.0069837529722649</v>
          </cell>
          <cell r="N152">
            <v>-51.025215824677637</v>
          </cell>
        </row>
        <row r="153">
          <cell r="A153" t="str">
            <v>North Italia</v>
          </cell>
          <cell r="L153">
            <v>106.7272825169081</v>
          </cell>
          <cell r="N153">
            <v>253.86961184335169</v>
          </cell>
        </row>
        <row r="154">
          <cell r="A154" t="str">
            <v>Bubba's 33</v>
          </cell>
          <cell r="L154">
            <v>119.87699121141553</v>
          </cell>
          <cell r="N154">
            <v>235.97350503028966</v>
          </cell>
        </row>
        <row r="155">
          <cell r="A155" t="str">
            <v>Playa Bowls</v>
          </cell>
          <cell r="L155">
            <v>243.14746613060336</v>
          </cell>
          <cell r="N155">
            <v>477.43096038555996</v>
          </cell>
        </row>
        <row r="156">
          <cell r="A156" t="str">
            <v>Ninety Nine Restaurant &amp; Pub</v>
          </cell>
          <cell r="L156">
            <v>12.995184047545107</v>
          </cell>
          <cell r="N156">
            <v>4.0121733061085001</v>
          </cell>
        </row>
        <row r="157">
          <cell r="A157" t="str">
            <v>Famous Dave's</v>
          </cell>
          <cell r="L157">
            <v>7.5648693927316168</v>
          </cell>
          <cell r="N157">
            <v>-11.123768261024001</v>
          </cell>
        </row>
        <row r="158">
          <cell r="A158" t="str">
            <v>Krystal Company</v>
          </cell>
          <cell r="L158">
            <v>-0.26172795336184584</v>
          </cell>
          <cell r="N158">
            <v>-14.348541155771205</v>
          </cell>
        </row>
        <row r="159">
          <cell r="A159" t="str">
            <v>Perry's Steakhouse &amp; Grille</v>
          </cell>
          <cell r="L159">
            <v>18.893956256993519</v>
          </cell>
          <cell r="N159">
            <v>16.218782277948318</v>
          </cell>
        </row>
        <row r="160">
          <cell r="A160" t="str">
            <v>Ruby Tuesday</v>
          </cell>
          <cell r="L160">
            <v>13.261526643180698</v>
          </cell>
          <cell r="N160">
            <v>-155.45584990731055</v>
          </cell>
        </row>
        <row r="161">
          <cell r="A161" t="str">
            <v>Wetzel's Pretzels</v>
          </cell>
          <cell r="L161">
            <v>30.913376621832452</v>
          </cell>
          <cell r="N161">
            <v>-11.615732667739353</v>
          </cell>
        </row>
        <row r="162">
          <cell r="A162" t="str">
            <v>Cinnabon</v>
          </cell>
          <cell r="L162">
            <v>0.95692232306807123</v>
          </cell>
          <cell r="N162">
            <v>-68.589185884523346</v>
          </cell>
        </row>
        <row r="163">
          <cell r="A163" t="str">
            <v>Braum's Ice Cream &amp; Dairy Stores</v>
          </cell>
          <cell r="L163">
            <v>69.014174775828408</v>
          </cell>
          <cell r="N163">
            <v>42.953181792856832</v>
          </cell>
        </row>
        <row r="164">
          <cell r="A164" t="str">
            <v>Eddie V's Prime Seafood</v>
          </cell>
          <cell r="L164">
            <v>261.3009806205182</v>
          </cell>
          <cell r="N164">
            <v>487.2137508132364</v>
          </cell>
        </row>
        <row r="165">
          <cell r="A165" t="str">
            <v>Long John Silver's</v>
          </cell>
          <cell r="L165">
            <v>38.008725845939253</v>
          </cell>
          <cell r="N165">
            <v>-509.29369125372278</v>
          </cell>
        </row>
        <row r="166">
          <cell r="A166" t="str">
            <v>Fazoli's</v>
          </cell>
          <cell r="L166">
            <v>-4.764083569031019E-3</v>
          </cell>
          <cell r="N166">
            <v>3.1764030847512488</v>
          </cell>
        </row>
        <row r="167">
          <cell r="A167" t="str">
            <v>Mendocino Farms</v>
          </cell>
          <cell r="L167">
            <v>17.502998527827604</v>
          </cell>
          <cell r="N167">
            <v>47.13478235419786</v>
          </cell>
        </row>
        <row r="168">
          <cell r="A168" t="str">
            <v>J. Alexander's</v>
          </cell>
          <cell r="L168">
            <v>44.032212132286624</v>
          </cell>
          <cell r="N168">
            <v>34.828101596674209</v>
          </cell>
        </row>
        <row r="169">
          <cell r="A169" t="str">
            <v>Dickey's Barbecue Pit</v>
          </cell>
          <cell r="L169">
            <v>-16.5359540783417</v>
          </cell>
          <cell r="N169">
            <v>-379.16033246409796</v>
          </cell>
        </row>
        <row r="170">
          <cell r="A170" t="str">
            <v>85C Bakery Cafe</v>
          </cell>
          <cell r="L170">
            <v>237.80658453111079</v>
          </cell>
          <cell r="N170">
            <v>201.74314647999404</v>
          </cell>
        </row>
        <row r="171">
          <cell r="A171" t="str">
            <v>Godfather's Pizza</v>
          </cell>
          <cell r="L171">
            <v>-0.34322439697469231</v>
          </cell>
          <cell r="N171">
            <v>-6.7218083795176149</v>
          </cell>
        </row>
        <row r="172">
          <cell r="A172" t="str">
            <v>Penn Station East Coast Subs</v>
          </cell>
          <cell r="L172">
            <v>4.2045057398184316</v>
          </cell>
          <cell r="N172">
            <v>13.184278262752397</v>
          </cell>
        </row>
        <row r="173">
          <cell r="A173" t="str">
            <v>A&amp;W All American Food</v>
          </cell>
          <cell r="L173">
            <v>1.6410175054787715</v>
          </cell>
          <cell r="N173">
            <v>-2.5840055655487402</v>
          </cell>
        </row>
        <row r="174">
          <cell r="A174" t="str">
            <v>Morton's The Steakhouse</v>
          </cell>
          <cell r="L174">
            <v>3.5248941779595331</v>
          </cell>
          <cell r="N174">
            <v>-52.974735674481899</v>
          </cell>
        </row>
        <row r="175">
          <cell r="A175" t="str">
            <v>Sbarro</v>
          </cell>
          <cell r="L175">
            <v>3.3945980042640254</v>
          </cell>
          <cell r="N175">
            <v>-0.78150121362797331</v>
          </cell>
        </row>
        <row r="176">
          <cell r="A176" t="str">
            <v>Salad and Go</v>
          </cell>
          <cell r="L176">
            <v>187.80593668879951</v>
          </cell>
          <cell r="N176">
            <v>475.45561194274768</v>
          </cell>
        </row>
        <row r="177">
          <cell r="A177" t="str">
            <v>Cicis</v>
          </cell>
          <cell r="L177">
            <v>-0.62287285106968693</v>
          </cell>
          <cell r="N177">
            <v>-65.618052954404575</v>
          </cell>
        </row>
        <row r="178">
          <cell r="A178" t="str">
            <v>Bahama Breeze Island Grille</v>
          </cell>
          <cell r="L178">
            <v>7.9771899969663735</v>
          </cell>
          <cell r="N178">
            <v>2.2659617578751901</v>
          </cell>
        </row>
        <row r="179">
          <cell r="A179" t="str">
            <v>Insomnia Cookies</v>
          </cell>
          <cell r="L179">
            <v>31.720284375181819</v>
          </cell>
          <cell r="N179">
            <v>23.335322513745801</v>
          </cell>
        </row>
        <row r="180">
          <cell r="A180" t="str">
            <v>bb.q Chicken</v>
          </cell>
          <cell r="L180">
            <v>9.2022730394871601</v>
          </cell>
          <cell r="N180">
            <v>34.60649213893435</v>
          </cell>
        </row>
        <row r="181">
          <cell r="A181" t="str">
            <v>Ono Hawaiian BBQ</v>
          </cell>
          <cell r="L181">
            <v>34.589871831305111</v>
          </cell>
          <cell r="N181">
            <v>102.09821250100639</v>
          </cell>
        </row>
        <row r="182">
          <cell r="A182" t="str">
            <v>Farmer Boys</v>
          </cell>
          <cell r="L182">
            <v>-1.5701177728292843</v>
          </cell>
          <cell r="N182">
            <v>1.0816444740783908</v>
          </cell>
        </row>
        <row r="183">
          <cell r="A183" t="str">
            <v>Kura Sushi</v>
          </cell>
          <cell r="L183">
            <v>180.36279938368773</v>
          </cell>
          <cell r="N183">
            <v>467.39689608172893</v>
          </cell>
        </row>
        <row r="184">
          <cell r="A184" t="str">
            <v>L&amp;L Hawaiian Barbecue</v>
          </cell>
          <cell r="L184">
            <v>35.945734520775702</v>
          </cell>
          <cell r="N184">
            <v>62.059855969914778</v>
          </cell>
        </row>
        <row r="185">
          <cell r="A185" t="str">
            <v>Del Frisco's Double Eagle Steak House</v>
          </cell>
          <cell r="L185">
            <v>6.1436435526260151</v>
          </cell>
          <cell r="N185">
            <v>-20.328243937607382</v>
          </cell>
        </row>
        <row r="186">
          <cell r="A186" t="str">
            <v>City Barbeque</v>
          </cell>
          <cell r="L186">
            <v>143.54403993080453</v>
          </cell>
          <cell r="N186">
            <v>132.61101434662143</v>
          </cell>
        </row>
        <row r="187">
          <cell r="A187" t="str">
            <v>Nobu Restaurants</v>
          </cell>
          <cell r="L187">
            <v>159.89643999357941</v>
          </cell>
          <cell r="N187">
            <v>170.91360280629283</v>
          </cell>
        </row>
        <row r="188">
          <cell r="A188" t="str">
            <v>Smashburger</v>
          </cell>
          <cell r="L188">
            <v>-1.5743920893953982</v>
          </cell>
          <cell r="N188">
            <v>-13.546392006792864</v>
          </cell>
        </row>
        <row r="189">
          <cell r="A189" t="str">
            <v>Lee's Famous Recipe Chicken</v>
          </cell>
          <cell r="L189">
            <v>-1.8717367001638927</v>
          </cell>
          <cell r="N189">
            <v>-23.900231906021148</v>
          </cell>
        </row>
        <row r="190">
          <cell r="A190" t="str">
            <v>Ocean Prime</v>
          </cell>
          <cell r="L190">
            <v>202.66068165163526</v>
          </cell>
          <cell r="N190">
            <v>372.2140250740934</v>
          </cell>
        </row>
        <row r="191">
          <cell r="A191" t="str">
            <v>Donatos Pizza</v>
          </cell>
          <cell r="L191">
            <v>7.4752948575267446</v>
          </cell>
          <cell r="N191">
            <v>8.1549091774838374</v>
          </cell>
        </row>
        <row r="192">
          <cell r="A192" t="str">
            <v>On The Border</v>
          </cell>
          <cell r="L192">
            <v>-21.401304846069028</v>
          </cell>
          <cell r="N192">
            <v>-69.085544350194212</v>
          </cell>
        </row>
        <row r="193">
          <cell r="A193" t="str">
            <v>Coffee Bean &amp; Tea Leaf</v>
          </cell>
          <cell r="L193">
            <v>-1.8832287358792192</v>
          </cell>
          <cell r="N193">
            <v>-25.642351867952812</v>
          </cell>
        </row>
        <row r="194">
          <cell r="A194" t="str">
            <v>Hook &amp; Reel</v>
          </cell>
          <cell r="L194">
            <v>242.63478182047626</v>
          </cell>
          <cell r="N194">
            <v>513.11224042759432</v>
          </cell>
        </row>
        <row r="195">
          <cell r="A195" t="str">
            <v>Pappadeaux Seafood Kitchen</v>
          </cell>
          <cell r="L195">
            <v>157.76201209696998</v>
          </cell>
          <cell r="N195">
            <v>108.00390616115776</v>
          </cell>
        </row>
        <row r="196">
          <cell r="A196" t="str">
            <v>Tous Les Jours</v>
          </cell>
          <cell r="L196">
            <v>8.2811264299773342</v>
          </cell>
          <cell r="N196">
            <v>20.128013291769729</v>
          </cell>
        </row>
        <row r="197">
          <cell r="A197" t="str">
            <v>STK</v>
          </cell>
          <cell r="L197">
            <v>11.072748343742296</v>
          </cell>
          <cell r="N197">
            <v>30.2457149946014</v>
          </cell>
        </row>
        <row r="198">
          <cell r="A198" t="str">
            <v>Beef 'O' Brady's</v>
          </cell>
          <cell r="L198">
            <v>43.14491870327241</v>
          </cell>
          <cell r="N198">
            <v>-12.689614244920447</v>
          </cell>
        </row>
        <row r="199">
          <cell r="A199" t="str">
            <v>Newk's Eatery</v>
          </cell>
          <cell r="L199">
            <v>5.235749615215644</v>
          </cell>
          <cell r="N199">
            <v>-8.5022049441883443</v>
          </cell>
        </row>
        <row r="200">
          <cell r="A200" t="str">
            <v>Taco Cabana</v>
          </cell>
          <cell r="L200">
            <v>-22.292715961431806</v>
          </cell>
          <cell r="N200">
            <v>-65.049564931814842</v>
          </cell>
        </row>
        <row r="201">
          <cell r="A201" t="str">
            <v>Kung Fu Tea</v>
          </cell>
          <cell r="L201">
            <v>26.07633528190302</v>
          </cell>
          <cell r="N201">
            <v>84.361348438362285</v>
          </cell>
        </row>
        <row r="202">
          <cell r="A202" t="str">
            <v>Pei Wei</v>
          </cell>
          <cell r="L202">
            <v>7.7834094363162309</v>
          </cell>
          <cell r="N202">
            <v>-193.92190961121133</v>
          </cell>
        </row>
        <row r="203">
          <cell r="A203" t="str">
            <v>Huddle House</v>
          </cell>
          <cell r="L203">
            <v>11.072508986121557</v>
          </cell>
          <cell r="N203">
            <v>-15.749775361741918</v>
          </cell>
        </row>
        <row r="204">
          <cell r="A204" t="str">
            <v>Corner Bakery</v>
          </cell>
          <cell r="L204">
            <v>15.494790435326067</v>
          </cell>
          <cell r="N204">
            <v>-49.223276793477453</v>
          </cell>
        </row>
        <row r="205">
          <cell r="A205" t="str">
            <v>Andy's Frozen Custard</v>
          </cell>
          <cell r="L205">
            <v>55.434476850474041</v>
          </cell>
          <cell r="N205">
            <v>116.85865150455503</v>
          </cell>
        </row>
        <row r="206">
          <cell r="A206" t="str">
            <v>Gen Korean BBQ</v>
          </cell>
          <cell r="L206">
            <v>109.07038437515337</v>
          </cell>
          <cell r="N206">
            <v>92.254577087472271</v>
          </cell>
        </row>
        <row r="207">
          <cell r="A207" t="str">
            <v>Bonchon</v>
          </cell>
          <cell r="L207">
            <v>34.98146485646614</v>
          </cell>
          <cell r="N207">
            <v>159.1953286858882</v>
          </cell>
        </row>
        <row r="208">
          <cell r="A208" t="str">
            <v>Sizzler</v>
          </cell>
          <cell r="L208">
            <v>7.4915406213160551</v>
          </cell>
          <cell r="N208">
            <v>-24.12483098593928</v>
          </cell>
        </row>
        <row r="209">
          <cell r="A209" t="str">
            <v>Snooze, an A.M. Eatery</v>
          </cell>
          <cell r="L209">
            <v>15.959010054840736</v>
          </cell>
          <cell r="N209">
            <v>63.574222874051308</v>
          </cell>
        </row>
        <row r="210">
          <cell r="A210" t="str">
            <v>Another Broken Egg Cafe</v>
          </cell>
          <cell r="L210">
            <v>19.592687337237521</v>
          </cell>
          <cell r="N210">
            <v>66.847662959481937</v>
          </cell>
        </row>
        <row r="211">
          <cell r="A211" t="str">
            <v>Original Pancake House, The</v>
          </cell>
          <cell r="L211">
            <v>11.548343761223004</v>
          </cell>
          <cell r="N211">
            <v>13.786701844586222</v>
          </cell>
        </row>
        <row r="212">
          <cell r="A212" t="str">
            <v>Rita's Ice</v>
          </cell>
          <cell r="L212">
            <v>55.432049039814551</v>
          </cell>
          <cell r="N212">
            <v>4.3615310029960357</v>
          </cell>
        </row>
        <row r="213">
          <cell r="A213" t="str">
            <v>Melting Pot</v>
          </cell>
          <cell r="L213">
            <v>10.23890869067885</v>
          </cell>
          <cell r="N213">
            <v>13.961285079074678</v>
          </cell>
        </row>
        <row r="214">
          <cell r="A214" t="str">
            <v>La Madeleine</v>
          </cell>
          <cell r="L214">
            <v>5.4101347255032346</v>
          </cell>
          <cell r="N214">
            <v>2.4129335531897049</v>
          </cell>
        </row>
        <row r="215">
          <cell r="A215" t="str">
            <v>Costa Vida Fresh Mexican Grill</v>
          </cell>
          <cell r="L215">
            <v>1.2830957228881883</v>
          </cell>
          <cell r="N215">
            <v>-10.844185901099291</v>
          </cell>
        </row>
        <row r="216">
          <cell r="A216" t="str">
            <v>Lupe Tortilla</v>
          </cell>
          <cell r="L216">
            <v>1.0794627317202605</v>
          </cell>
          <cell r="N216">
            <v>5.2125176763336265</v>
          </cell>
        </row>
        <row r="217">
          <cell r="A217" t="str">
            <v>Fuzzy's Taco Shop</v>
          </cell>
          <cell r="L217">
            <v>-12.657548525067041</v>
          </cell>
          <cell r="N217">
            <v>-39.595215696753819</v>
          </cell>
        </row>
        <row r="218">
          <cell r="A218" t="str">
            <v>Panini Kabob Grill</v>
          </cell>
          <cell r="L218">
            <v>21.560220942340255</v>
          </cell>
          <cell r="N218">
            <v>56.010682277848488</v>
          </cell>
        </row>
        <row r="219">
          <cell r="A219" t="str">
            <v>Just Salad</v>
          </cell>
          <cell r="L219">
            <v>124.82006230811953</v>
          </cell>
          <cell r="N219">
            <v>285.36968863665925</v>
          </cell>
        </row>
        <row r="220">
          <cell r="A220" t="str">
            <v>Wayback Burgers</v>
          </cell>
          <cell r="L220">
            <v>0.87944166635348919</v>
          </cell>
          <cell r="N220">
            <v>-2.1616242033013332E-2</v>
          </cell>
        </row>
        <row r="221">
          <cell r="A221" t="str">
            <v>54th Street Restaurant &amp; Drafthouse</v>
          </cell>
          <cell r="L221">
            <v>11.086650007955216</v>
          </cell>
          <cell r="N221">
            <v>29.053121462426066</v>
          </cell>
        </row>
        <row r="222">
          <cell r="A222" t="str">
            <v>Taziki's Mediterranean Cafe</v>
          </cell>
          <cell r="L222">
            <v>86.911730101652822</v>
          </cell>
          <cell r="N222">
            <v>-8.9358043875916593</v>
          </cell>
        </row>
        <row r="223">
          <cell r="A223" t="str">
            <v>Bruegger's Bagels</v>
          </cell>
          <cell r="L223">
            <v>5.4483169200882084</v>
          </cell>
          <cell r="N223">
            <v>3.5087714353051762</v>
          </cell>
        </row>
        <row r="224">
          <cell r="A224" t="str">
            <v>Sonny's BBQ</v>
          </cell>
          <cell r="L224">
            <v>10.133190679255259</v>
          </cell>
          <cell r="N224">
            <v>-0.82444580096287945</v>
          </cell>
        </row>
        <row r="225">
          <cell r="A225" t="str">
            <v>Chopt</v>
          </cell>
          <cell r="L225">
            <v>97.212383664500678</v>
          </cell>
          <cell r="N225">
            <v>92.407970324814045</v>
          </cell>
        </row>
        <row r="226">
          <cell r="A226" t="str">
            <v>Bartaco</v>
          </cell>
          <cell r="L226">
            <v>7.3959830367463768</v>
          </cell>
          <cell r="N226">
            <v>11.933282718566002</v>
          </cell>
        </row>
        <row r="227">
          <cell r="A227" t="str">
            <v>Legal Sea Foods</v>
          </cell>
          <cell r="L227">
            <v>192.53988533875972</v>
          </cell>
          <cell r="N227">
            <v>70.911420982404039</v>
          </cell>
        </row>
        <row r="228">
          <cell r="A228" t="str">
            <v>WaBa Grill</v>
          </cell>
          <cell r="L228">
            <v>16.643368778419369</v>
          </cell>
          <cell r="N228">
            <v>-5.9515501888918187</v>
          </cell>
        </row>
        <row r="229">
          <cell r="A229" t="str">
            <v>Condado Tacos</v>
          </cell>
          <cell r="L229">
            <v>5.51281295343869</v>
          </cell>
          <cell r="N229">
            <v>27.987443704424173</v>
          </cell>
        </row>
        <row r="230">
          <cell r="A230" t="str">
            <v>Mission BBQ</v>
          </cell>
          <cell r="L230">
            <v>93.4879296807337</v>
          </cell>
          <cell r="N230">
            <v>134.22926378148176</v>
          </cell>
        </row>
        <row r="231">
          <cell r="A231" t="str">
            <v>Bill Miller Bar-B-Q</v>
          </cell>
          <cell r="L231">
            <v>6.9047112786058129</v>
          </cell>
          <cell r="N231">
            <v>-85.183958569299691</v>
          </cell>
        </row>
        <row r="232">
          <cell r="A232" t="str">
            <v>Jinya Ramen Bar</v>
          </cell>
          <cell r="L232">
            <v>73.991026536659803</v>
          </cell>
          <cell r="N232">
            <v>225.36847484666404</v>
          </cell>
        </row>
        <row r="233">
          <cell r="A233" t="str">
            <v>Bar Louie</v>
          </cell>
          <cell r="L233">
            <v>3.4445127892258376</v>
          </cell>
          <cell r="N233">
            <v>-80.204311092556523</v>
          </cell>
        </row>
        <row r="234">
          <cell r="A234" t="str">
            <v>Rubio's</v>
          </cell>
          <cell r="L234">
            <v>-16.381090044019498</v>
          </cell>
          <cell r="N234">
            <v>-45.671607211271542</v>
          </cell>
        </row>
        <row r="235">
          <cell r="A235" t="str">
            <v>Boiling Crab</v>
          </cell>
          <cell r="L235">
            <v>183.01147437177943</v>
          </cell>
          <cell r="N235">
            <v>246.0827929103084</v>
          </cell>
        </row>
        <row r="236">
          <cell r="A236" t="str">
            <v>Village Inn</v>
          </cell>
          <cell r="L236">
            <v>3.7381081240502394</v>
          </cell>
          <cell r="N236">
            <v>-86.46132568807505</v>
          </cell>
        </row>
        <row r="237">
          <cell r="A237" t="str">
            <v>LaRosa's Pizzeria</v>
          </cell>
          <cell r="L237">
            <v>18.881817851014031</v>
          </cell>
          <cell r="N237">
            <v>27.640258230615249</v>
          </cell>
        </row>
        <row r="238">
          <cell r="A238" t="str">
            <v>Black Rock Coffee Bar</v>
          </cell>
          <cell r="L238">
            <v>2.7810680035722384</v>
          </cell>
          <cell r="N238">
            <v>9.7009396139657209</v>
          </cell>
        </row>
        <row r="239">
          <cell r="A239" t="str">
            <v>Pret A Manger</v>
          </cell>
          <cell r="L239">
            <v>7.1679508723369869</v>
          </cell>
          <cell r="N239">
            <v>-30.309000736082641</v>
          </cell>
        </row>
        <row r="240">
          <cell r="A240" t="str">
            <v>Nekter Juice Bar</v>
          </cell>
          <cell r="L240">
            <v>21.384124708682013</v>
          </cell>
          <cell r="N240">
            <v>3.3459890769877569</v>
          </cell>
        </row>
        <row r="241">
          <cell r="A241" t="str">
            <v>Metro Diner</v>
          </cell>
          <cell r="L241">
            <v>15.713508401223995</v>
          </cell>
          <cell r="N241">
            <v>16.940247261538875</v>
          </cell>
        </row>
        <row r="242">
          <cell r="A242" t="str">
            <v>Carvel Ice Cream</v>
          </cell>
          <cell r="L242">
            <v>89.800240434000131</v>
          </cell>
          <cell r="N242">
            <v>48.169319317894164</v>
          </cell>
        </row>
        <row r="243">
          <cell r="A243" t="str">
            <v>Roosters Wings</v>
          </cell>
          <cell r="L243">
            <v>32.389168626139679</v>
          </cell>
          <cell r="N243">
            <v>9.6795146289725</v>
          </cell>
        </row>
        <row r="244">
          <cell r="A244" t="str">
            <v>Teriyaki Madness</v>
          </cell>
          <cell r="L244">
            <v>44.403385790006276</v>
          </cell>
          <cell r="N244">
            <v>129.47898127026127</v>
          </cell>
        </row>
        <row r="245">
          <cell r="A245" t="str">
            <v>Great American Cookies</v>
          </cell>
          <cell r="L245">
            <v>0.44861172018743206</v>
          </cell>
          <cell r="N245">
            <v>-100.35770229524621</v>
          </cell>
        </row>
        <row r="246">
          <cell r="A246" t="str">
            <v>Buca di Beppo</v>
          </cell>
          <cell r="L246">
            <v>25.07773361643477</v>
          </cell>
          <cell r="N246">
            <v>-9.432285315632317</v>
          </cell>
        </row>
        <row r="247">
          <cell r="A247" t="str">
            <v>Smokey Bones</v>
          </cell>
          <cell r="L247">
            <v>3.4157990798326567</v>
          </cell>
          <cell r="N247">
            <v>-2.5555135786861811</v>
          </cell>
        </row>
        <row r="248">
          <cell r="A248" t="str">
            <v>Old Chicago Pizza + Taproom</v>
          </cell>
          <cell r="L248">
            <v>-7.1326466456368696</v>
          </cell>
          <cell r="N248">
            <v>-107.89102044846938</v>
          </cell>
        </row>
        <row r="249">
          <cell r="A249" t="str">
            <v>Runza</v>
          </cell>
          <cell r="L249">
            <v>4.8179856064350197</v>
          </cell>
          <cell r="N249">
            <v>10.755628352465898</v>
          </cell>
        </row>
        <row r="250">
          <cell r="A250" t="str">
            <v>Human Bean, The</v>
          </cell>
          <cell r="L250">
            <v>1.4412663051242403</v>
          </cell>
          <cell r="N250">
            <v>11.129903858320818</v>
          </cell>
        </row>
        <row r="251">
          <cell r="A251" t="str">
            <v>O'Charley's</v>
          </cell>
          <cell r="L251">
            <v>1.8436233612141844</v>
          </cell>
          <cell r="N251">
            <v>-115.63363372922434</v>
          </cell>
        </row>
        <row r="252">
          <cell r="A252" t="str">
            <v>Hopdoddy Burger Bar</v>
          </cell>
          <cell r="L252">
            <v>0.50307051055347107</v>
          </cell>
          <cell r="N252">
            <v>2.1089835767634084</v>
          </cell>
        </row>
        <row r="253">
          <cell r="A253" t="str">
            <v>PDQ Chicken</v>
          </cell>
          <cell r="L253">
            <v>-2.9321329706619723</v>
          </cell>
          <cell r="N253">
            <v>-20.189039265782093</v>
          </cell>
        </row>
        <row r="254">
          <cell r="A254" t="str">
            <v>American Deli</v>
          </cell>
          <cell r="L254">
            <v>3.6017957672478333</v>
          </cell>
          <cell r="N254">
            <v>4.6244034151182198</v>
          </cell>
        </row>
        <row r="255">
          <cell r="A255" t="str">
            <v>BurgerFi</v>
          </cell>
          <cell r="L255">
            <v>-4.199565930487867</v>
          </cell>
          <cell r="N255">
            <v>-7.5707865295201104</v>
          </cell>
        </row>
        <row r="256">
          <cell r="A256" t="str">
            <v>Aroma Joe's</v>
          </cell>
          <cell r="L256">
            <v>-7.6224881172095096E-2</v>
          </cell>
          <cell r="N256">
            <v>3.126810024085382</v>
          </cell>
        </row>
        <row r="257">
          <cell r="A257" t="str">
            <v>P. Terry's Burger Stand</v>
          </cell>
          <cell r="L257">
            <v>1.2177759609083869</v>
          </cell>
          <cell r="N257">
            <v>3.4837318870297569</v>
          </cell>
        </row>
        <row r="258">
          <cell r="A258" t="str">
            <v>Burgerville</v>
          </cell>
          <cell r="L258">
            <v>0.12092413166064626</v>
          </cell>
          <cell r="N258">
            <v>-1.9145674025540298</v>
          </cell>
        </row>
        <row r="259">
          <cell r="A259" t="str">
            <v>Philz Coffee</v>
          </cell>
          <cell r="L259">
            <v>-0.48194298769057553</v>
          </cell>
          <cell r="N259">
            <v>-0.67602223246453386</v>
          </cell>
        </row>
        <row r="260">
          <cell r="A260" t="str">
            <v>Blue Bottle Coffee</v>
          </cell>
          <cell r="L260">
            <v>-0.22885643572499595</v>
          </cell>
          <cell r="N260">
            <v>-0.21831531533729726</v>
          </cell>
        </row>
        <row r="261">
          <cell r="A261" t="str">
            <v>PJ's Coffee of New Orleans</v>
          </cell>
          <cell r="L261">
            <v>0.6387836456611109</v>
          </cell>
          <cell r="N261">
            <v>3.1222131761698124</v>
          </cell>
        </row>
        <row r="262">
          <cell r="A262" t="str">
            <v>Mooyah</v>
          </cell>
          <cell r="L262">
            <v>0.30465046284360919</v>
          </cell>
          <cell r="N262">
            <v>0.13507310730901573</v>
          </cell>
        </row>
        <row r="263">
          <cell r="A263" t="str">
            <v>Ziggi's Coffee</v>
          </cell>
          <cell r="L263">
            <v>3.2201769598136298</v>
          </cell>
          <cell r="N263">
            <v>10.557079981109913</v>
          </cell>
        </row>
        <row r="264">
          <cell r="A264" t="str">
            <v>Bluestone Lane</v>
          </cell>
          <cell r="L264">
            <v>-1.518519239704383</v>
          </cell>
          <cell r="N264">
            <v>1.4111501377038178</v>
          </cell>
        </row>
        <row r="265">
          <cell r="A265" t="str">
            <v>Au Bon Pain</v>
          </cell>
          <cell r="L265">
            <v>-7.8138699338036863</v>
          </cell>
          <cell r="N265">
            <v>-66.824198383836389</v>
          </cell>
        </row>
        <row r="266">
          <cell r="A266" t="str">
            <v>Hat Creek Burger Co.</v>
          </cell>
          <cell r="L266">
            <v>0.24368480497831824</v>
          </cell>
          <cell r="N266">
            <v>0.12172647289917485</v>
          </cell>
        </row>
        <row r="267">
          <cell r="A267" t="str">
            <v>Fuddruckers</v>
          </cell>
          <cell r="L267">
            <v>-2.5164872052948848</v>
          </cell>
          <cell r="N267">
            <v>-16.942848578091432</v>
          </cell>
        </row>
        <row r="268">
          <cell r="A268" t="str">
            <v>Wahlburgers</v>
          </cell>
          <cell r="L268">
            <v>-6.1421274502298244</v>
          </cell>
          <cell r="N268">
            <v>-1.1142179581501437</v>
          </cell>
        </row>
        <row r="269">
          <cell r="A269" t="str">
            <v>Hawaiian Bros Island Grill</v>
          </cell>
          <cell r="L269">
            <v>-134.85005130559853</v>
          </cell>
          <cell r="N269">
            <v>-17.480330343968344</v>
          </cell>
        </row>
        <row r="270">
          <cell r="A270" t="str">
            <v>Johnny's New York Style Pizza</v>
          </cell>
          <cell r="L270">
            <v>-69.823079139517446</v>
          </cell>
          <cell r="N270">
            <v>-7.9045888714790591</v>
          </cell>
        </row>
        <row r="271">
          <cell r="A271" t="str">
            <v>HTeaO</v>
          </cell>
          <cell r="L271">
            <v>-83.803294393903997</v>
          </cell>
          <cell r="N271">
            <v>-18.530922034851724</v>
          </cell>
        </row>
        <row r="272">
          <cell r="A272" t="str">
            <v>Crisp &amp; Green</v>
          </cell>
          <cell r="L272">
            <v>-105.24671214658655</v>
          </cell>
          <cell r="N272">
            <v>-23.258362011640948</v>
          </cell>
        </row>
        <row r="273">
          <cell r="A273" t="str">
            <v>Nick the Greek</v>
          </cell>
          <cell r="L273">
            <v>-159.1765127819919</v>
          </cell>
          <cell r="N273">
            <v>-41.192520671219519</v>
          </cell>
        </row>
        <row r="274">
          <cell r="A274" t="str">
            <v>Huey Magoo's</v>
          </cell>
          <cell r="L274">
            <v>-19.027119688504001</v>
          </cell>
          <cell r="N274">
            <v>-5.8632592183708674</v>
          </cell>
        </row>
        <row r="275">
          <cell r="A275" t="str">
            <v>Crafty Crab</v>
          </cell>
          <cell r="L275">
            <v>-178.98905582009832</v>
          </cell>
          <cell r="N275">
            <v>-35.772652351643615</v>
          </cell>
        </row>
        <row r="276">
          <cell r="A276" t="str">
            <v>Jeremiah's Italian Ice</v>
          </cell>
          <cell r="L276">
            <v>-71.190105509548701</v>
          </cell>
          <cell r="N276">
            <v>-18.270139127109452</v>
          </cell>
        </row>
        <row r="277">
          <cell r="A277" t="str">
            <v>Huckleberry's</v>
          </cell>
          <cell r="L277">
            <v>-41.599179901881932</v>
          </cell>
          <cell r="N277">
            <v>-10.38690329527458</v>
          </cell>
        </row>
        <row r="278">
          <cell r="A278" t="str">
            <v>Super Chix</v>
          </cell>
          <cell r="L278">
            <v>-12.922925711183511</v>
          </cell>
          <cell r="N278">
            <v>-5.0489176602638031</v>
          </cell>
        </row>
        <row r="279">
          <cell r="A279" t="str">
            <v>Bubbakoo's Burritos</v>
          </cell>
          <cell r="L279">
            <v>-28.740804604718132</v>
          </cell>
          <cell r="N279">
            <v>-11.549820977774845</v>
          </cell>
        </row>
        <row r="280">
          <cell r="A280" t="str">
            <v>Barrio Tacos</v>
          </cell>
          <cell r="L280">
            <v>-31.128316238548557</v>
          </cell>
          <cell r="N280">
            <v>-13.117296681901429</v>
          </cell>
        </row>
        <row r="281">
          <cell r="A281" t="str">
            <v>Swig</v>
          </cell>
          <cell r="L281">
            <v>-67.912691347331005</v>
          </cell>
          <cell r="N281">
            <v>-36.238247534821149</v>
          </cell>
        </row>
        <row r="282">
          <cell r="A282" t="str">
            <v>Handel's Homemade Ice Cream</v>
          </cell>
          <cell r="L282">
            <v>-130.60146654427388</v>
          </cell>
          <cell r="N282">
            <v>-57.645438970017757</v>
          </cell>
        </row>
        <row r="283">
          <cell r="A283" t="str">
            <v>Gong Cha</v>
          </cell>
          <cell r="L283">
            <v>-116.73249082121308</v>
          </cell>
          <cell r="N283">
            <v>-71.44699940103942</v>
          </cell>
        </row>
        <row r="284">
          <cell r="A284" t="str">
            <v>WNB Factory</v>
          </cell>
          <cell r="L284">
            <v>-16.189384026806518</v>
          </cell>
          <cell r="N284">
            <v>-9.2834937624205409</v>
          </cell>
        </row>
        <row r="285">
          <cell r="A285" t="str">
            <v>Cheba Hut</v>
          </cell>
          <cell r="L285">
            <v>-32.635413920948523</v>
          </cell>
          <cell r="N285">
            <v>-13.868091853423637</v>
          </cell>
        </row>
        <row r="286">
          <cell r="A286" t="str">
            <v>Hawkers Asian Street Food</v>
          </cell>
          <cell r="L286">
            <v>-186.57000778457007</v>
          </cell>
          <cell r="N286">
            <v>-92.660986221763352</v>
          </cell>
        </row>
        <row r="287">
          <cell r="A287" t="str">
            <v>Eggs Up Grill</v>
          </cell>
          <cell r="L287">
            <v>-46.231660004417051</v>
          </cell>
          <cell r="N287">
            <v>-18.469212421910111</v>
          </cell>
        </row>
        <row r="288">
          <cell r="A288" t="str">
            <v>Toasted Yolk Cafe, The</v>
          </cell>
          <cell r="L288">
            <v>-36.39928241414669</v>
          </cell>
          <cell r="N288">
            <v>-14.636091006977816</v>
          </cell>
        </row>
        <row r="289">
          <cell r="A289" t="str">
            <v>Emmy Squared Pizza</v>
          </cell>
          <cell r="L289">
            <v>-67.637856096402885</v>
          </cell>
          <cell r="N289">
            <v>-30.149264072909034</v>
          </cell>
        </row>
        <row r="290">
          <cell r="A290" t="str">
            <v>Clean Eatz</v>
          </cell>
          <cell r="L290">
            <v>-20.88907946459992</v>
          </cell>
          <cell r="N290">
            <v>-10.53117791959764</v>
          </cell>
        </row>
        <row r="291">
          <cell r="A291" t="str">
            <v>Sharetea</v>
          </cell>
          <cell r="L291">
            <v>-76.73409075721564</v>
          </cell>
          <cell r="N291">
            <v>-57.857656575481485</v>
          </cell>
        </row>
        <row r="292">
          <cell r="A292" t="str">
            <v>Ruby Slipper Cafe</v>
          </cell>
          <cell r="L292">
            <v>-36.113573760974425</v>
          </cell>
          <cell r="N292">
            <v>-17.350849822788216</v>
          </cell>
        </row>
        <row r="293">
          <cell r="A293" t="str">
            <v>Ford's Garage</v>
          </cell>
          <cell r="L293">
            <v>-57.632056397036386</v>
          </cell>
          <cell r="N293">
            <v>-28.550327352273296</v>
          </cell>
        </row>
        <row r="294">
          <cell r="A294" t="str">
            <v>Clean Juice</v>
          </cell>
          <cell r="L294">
            <v>-93.772684137951714</v>
          </cell>
          <cell r="N294">
            <v>-77.418074278936089</v>
          </cell>
        </row>
        <row r="295">
          <cell r="A295" t="str">
            <v>Mo'Bettahs</v>
          </cell>
          <cell r="L295">
            <v>-96.387199489293153</v>
          </cell>
          <cell r="N295">
            <v>-67.00793298521198</v>
          </cell>
        </row>
        <row r="296">
          <cell r="A296" t="str">
            <v>Capriotti's Sandwich Shop</v>
          </cell>
          <cell r="L296">
            <v>-35.026935528093404</v>
          </cell>
          <cell r="N296">
            <v>-20.002809130482273</v>
          </cell>
        </row>
        <row r="297">
          <cell r="A297" t="str">
            <v>Rock N Roll Sushi</v>
          </cell>
          <cell r="L297">
            <v>-191.15099299840301</v>
          </cell>
          <cell r="N297">
            <v>-128.82137108879297</v>
          </cell>
        </row>
        <row r="298">
          <cell r="A298" t="str">
            <v>Postino WineCafe</v>
          </cell>
          <cell r="L298">
            <v>-40.667113106724521</v>
          </cell>
          <cell r="N298">
            <v>-21.8944228161605</v>
          </cell>
        </row>
        <row r="299">
          <cell r="A299" t="str">
            <v>Maple Street Biscuit Company</v>
          </cell>
          <cell r="L299">
            <v>-20.571374833959617</v>
          </cell>
          <cell r="N299">
            <v>-12.153714052558906</v>
          </cell>
        </row>
        <row r="300">
          <cell r="A300" t="str">
            <v>Hampton Social, The</v>
          </cell>
          <cell r="L300">
            <v>-111.9410381676185</v>
          </cell>
          <cell r="N300">
            <v>-57.936143482553248</v>
          </cell>
        </row>
        <row r="301">
          <cell r="A301" t="str">
            <v>Honeygrow</v>
          </cell>
          <cell r="L301">
            <v>-115.03497426485993</v>
          </cell>
          <cell r="N301">
            <v>-86.373396993725933</v>
          </cell>
        </row>
        <row r="302">
          <cell r="A302" t="str">
            <v>Velvet Taco</v>
          </cell>
          <cell r="L302">
            <v>-36.598437829982821</v>
          </cell>
          <cell r="N302">
            <v>-26.605837609517049</v>
          </cell>
        </row>
        <row r="303">
          <cell r="A303" t="str">
            <v>Tupelo Honey Southern Kitchen &amp; Bar</v>
          </cell>
          <cell r="L303">
            <v>-36.068122762116957</v>
          </cell>
          <cell r="N303">
            <v>-20.544850593772367</v>
          </cell>
        </row>
        <row r="304">
          <cell r="A304" t="str">
            <v>Board &amp; Brew</v>
          </cell>
          <cell r="L304">
            <v>-17.616721769004798</v>
          </cell>
          <cell r="N304">
            <v>-11.265911262825384</v>
          </cell>
        </row>
        <row r="305">
          <cell r="A305" t="str">
            <v>Bombshells</v>
          </cell>
          <cell r="L305">
            <v>-57.14649050524028</v>
          </cell>
          <cell r="N305">
            <v>-36.01884925688632</v>
          </cell>
        </row>
        <row r="306">
          <cell r="A306" t="str">
            <v>110 Grill</v>
          </cell>
          <cell r="L306">
            <v>-56.295555146719565</v>
          </cell>
          <cell r="N306">
            <v>-33.63552599555473</v>
          </cell>
        </row>
        <row r="307">
          <cell r="A307" t="str">
            <v>California Fish Grill</v>
          </cell>
          <cell r="L307">
            <v>-256.86354792631266</v>
          </cell>
          <cell r="N307">
            <v>-212.01257969141477</v>
          </cell>
        </row>
        <row r="308">
          <cell r="A308" t="str">
            <v>Pokeworks</v>
          </cell>
          <cell r="L308">
            <v>-71.140049874321264</v>
          </cell>
          <cell r="N308">
            <v>-57.582264662483958</v>
          </cell>
        </row>
        <row r="309">
          <cell r="A309" t="str">
            <v>Dog Haus</v>
          </cell>
          <cell r="L309">
            <v>-20.644182145148019</v>
          </cell>
          <cell r="N309">
            <v>-13.796455352458933</v>
          </cell>
        </row>
        <row r="310">
          <cell r="A310" t="str">
            <v>Juicy Crab, The</v>
          </cell>
          <cell r="L310">
            <v>-175.87958253766445</v>
          </cell>
          <cell r="N310">
            <v>-102.06870915550489</v>
          </cell>
        </row>
        <row r="311">
          <cell r="A311" t="str">
            <v>Ike's Love &amp; Sandwiches</v>
          </cell>
          <cell r="L311">
            <v>-24.913338119377091</v>
          </cell>
          <cell r="N311">
            <v>-16.960094672840384</v>
          </cell>
        </row>
        <row r="312">
          <cell r="A312" t="str">
            <v>Bruster's Real Ice Cream</v>
          </cell>
          <cell r="L312">
            <v>-160.28188136510681</v>
          </cell>
          <cell r="N312">
            <v>-120.96092111741432</v>
          </cell>
        </row>
        <row r="313">
          <cell r="A313" t="str">
            <v>Gus's Fried Chicken</v>
          </cell>
          <cell r="L313">
            <v>-14.596985597940304</v>
          </cell>
          <cell r="N313">
            <v>-13.811232825495821</v>
          </cell>
        </row>
        <row r="314">
          <cell r="A314" t="str">
            <v>Jeni's Splendid Ice Creams</v>
          </cell>
          <cell r="L314">
            <v>-94.28418461065192</v>
          </cell>
          <cell r="N314">
            <v>-71.820546913464739</v>
          </cell>
        </row>
        <row r="315">
          <cell r="A315" t="str">
            <v>Bibibop Asian Grill</v>
          </cell>
          <cell r="L315">
            <v>-89.848369373185335</v>
          </cell>
          <cell r="N315">
            <v>-76.433601307940009</v>
          </cell>
        </row>
        <row r="316">
          <cell r="A316" t="str">
            <v>Angry Crab Shack</v>
          </cell>
          <cell r="L316">
            <v>-105.43057848252262</v>
          </cell>
          <cell r="N316">
            <v>-63.768641148582098</v>
          </cell>
        </row>
        <row r="317">
          <cell r="A317" t="str">
            <v>Main Event</v>
          </cell>
          <cell r="L317">
            <v>-150.85779217416228</v>
          </cell>
          <cell r="N317">
            <v>-104.10274648983298</v>
          </cell>
        </row>
        <row r="318">
          <cell r="A318" t="str">
            <v>Pancheros Mexican Grill</v>
          </cell>
          <cell r="L318">
            <v>-33.999374532395272</v>
          </cell>
          <cell r="N318">
            <v>-28.173313313643636</v>
          </cell>
        </row>
        <row r="319">
          <cell r="A319" t="str">
            <v>Epic Wings</v>
          </cell>
          <cell r="L319">
            <v>-12.596279879621211</v>
          </cell>
          <cell r="N319">
            <v>-12.28027069625454</v>
          </cell>
        </row>
        <row r="320">
          <cell r="A320" t="str">
            <v>Blue Sushi Sake Grill</v>
          </cell>
          <cell r="L320">
            <v>-224.39206685133615</v>
          </cell>
          <cell r="N320">
            <v>-184.56863109213023</v>
          </cell>
        </row>
        <row r="321">
          <cell r="A321" t="str">
            <v>&amp;pizza</v>
          </cell>
          <cell r="L321">
            <v>-24.257878335249575</v>
          </cell>
          <cell r="N321">
            <v>-18.094703649244515</v>
          </cell>
        </row>
        <row r="322">
          <cell r="A322" t="str">
            <v>Culinary Dropout</v>
          </cell>
          <cell r="L322">
            <v>-26.613951696755493</v>
          </cell>
          <cell r="N322">
            <v>-17.99721555488393</v>
          </cell>
        </row>
        <row r="323">
          <cell r="A323" t="str">
            <v>Lou Malnati's</v>
          </cell>
          <cell r="L323">
            <v>-106.76375439216824</v>
          </cell>
          <cell r="N323">
            <v>-72.467867462519536</v>
          </cell>
        </row>
        <row r="324">
          <cell r="A324" t="str">
            <v>Flower Child</v>
          </cell>
          <cell r="L324">
            <v>-33.75611700553219</v>
          </cell>
          <cell r="N324">
            <v>-25.470755898561737</v>
          </cell>
        </row>
        <row r="325">
          <cell r="A325" t="str">
            <v>Pizza Guys</v>
          </cell>
          <cell r="L325">
            <v>-28.888154059591951</v>
          </cell>
          <cell r="N325">
            <v>-22.586607276775386</v>
          </cell>
        </row>
        <row r="326">
          <cell r="A326" t="str">
            <v>Ojos Locos Sports Cantina</v>
          </cell>
          <cell r="L326">
            <v>-73.839300044457417</v>
          </cell>
          <cell r="N326">
            <v>-55.731773373344929</v>
          </cell>
        </row>
        <row r="327">
          <cell r="A327" t="str">
            <v>Piada Italian Street Food</v>
          </cell>
          <cell r="L327">
            <v>-129.49001329918235</v>
          </cell>
          <cell r="N327">
            <v>-127.22043799138544</v>
          </cell>
        </row>
        <row r="328">
          <cell r="A328" t="str">
            <v>Dion's Pizza</v>
          </cell>
          <cell r="L328">
            <v>-109.26115215572773</v>
          </cell>
          <cell r="N328">
            <v>-79.326550954887495</v>
          </cell>
        </row>
        <row r="329">
          <cell r="A329" t="str">
            <v>Flanigan's</v>
          </cell>
          <cell r="L329">
            <v>-264.76776315763902</v>
          </cell>
          <cell r="N329">
            <v>-183.31540164328675</v>
          </cell>
        </row>
        <row r="330">
          <cell r="A330" t="str">
            <v>Red Ribbon Bakeshop</v>
          </cell>
          <cell r="L330">
            <v>-81.571359502115385</v>
          </cell>
          <cell r="N330">
            <v>-98.160353009946775</v>
          </cell>
        </row>
        <row r="331">
          <cell r="A331" t="str">
            <v>Thirsty Lion Gastropub</v>
          </cell>
          <cell r="L331">
            <v>-68.646961487164518</v>
          </cell>
          <cell r="N331">
            <v>-55.264420976084175</v>
          </cell>
        </row>
        <row r="332">
          <cell r="A332" t="str">
            <v>Pinstripes</v>
          </cell>
          <cell r="L332">
            <v>-94.757358419551835</v>
          </cell>
          <cell r="N332">
            <v>-77.113145548024434</v>
          </cell>
        </row>
        <row r="333">
          <cell r="A333" t="str">
            <v>Silver Diner</v>
          </cell>
          <cell r="L333">
            <v>-41.427754709978572</v>
          </cell>
          <cell r="N333">
            <v>-30.9836603978361</v>
          </cell>
        </row>
        <row r="334">
          <cell r="A334" t="str">
            <v>Cousins Subs</v>
          </cell>
          <cell r="L334">
            <v>-22.557028775461511</v>
          </cell>
          <cell r="N334">
            <v>-18.88876969881321</v>
          </cell>
        </row>
        <row r="335">
          <cell r="A335" t="str">
            <v>Bricktown Brewery</v>
          </cell>
          <cell r="L335">
            <v>-30.635062778664036</v>
          </cell>
          <cell r="N335">
            <v>-23.470821258924058</v>
          </cell>
        </row>
        <row r="336">
          <cell r="A336" t="str">
            <v>Toppers Pizza</v>
          </cell>
          <cell r="L336">
            <v>-26.287552365999201</v>
          </cell>
          <cell r="N336">
            <v>-22.589319544988332</v>
          </cell>
        </row>
        <row r="337">
          <cell r="A337" t="str">
            <v>Barcelona Wine Bar</v>
          </cell>
          <cell r="L337">
            <v>-41.703481942267949</v>
          </cell>
          <cell r="N337">
            <v>-32.053435002858969</v>
          </cell>
        </row>
        <row r="338">
          <cell r="A338" t="str">
            <v>Duck Donuts</v>
          </cell>
          <cell r="L338">
            <v>-80.457204672538182</v>
          </cell>
          <cell r="N338">
            <v>-100.0669789881993</v>
          </cell>
        </row>
        <row r="339">
          <cell r="A339" t="str">
            <v>Mr. Gatti's Pizza</v>
          </cell>
          <cell r="L339">
            <v>-40.141387092982022</v>
          </cell>
          <cell r="N339">
            <v>-34.833273192014602</v>
          </cell>
        </row>
        <row r="340">
          <cell r="A340" t="str">
            <v>Brass Tap, The</v>
          </cell>
          <cell r="L340">
            <v>-66.557924623406748</v>
          </cell>
          <cell r="N340">
            <v>-55.848611472660117</v>
          </cell>
        </row>
        <row r="341">
          <cell r="A341" t="str">
            <v>Kolache Factory</v>
          </cell>
          <cell r="L341">
            <v>-14.921527485739563</v>
          </cell>
          <cell r="N341">
            <v>-12.827219617184335</v>
          </cell>
        </row>
        <row r="342">
          <cell r="A342" t="str">
            <v>Nathan's Famous</v>
          </cell>
          <cell r="L342">
            <v>-25.098665820583935</v>
          </cell>
          <cell r="N342">
            <v>-21.600854152002611</v>
          </cell>
        </row>
        <row r="343">
          <cell r="A343" t="str">
            <v>Broken Yolk Cafe</v>
          </cell>
          <cell r="L343">
            <v>-58.170281785873357</v>
          </cell>
          <cell r="N343">
            <v>-44.970569948859257</v>
          </cell>
        </row>
        <row r="344">
          <cell r="A344" t="str">
            <v>Cafe Zupas</v>
          </cell>
          <cell r="L344">
            <v>-18.718097821891181</v>
          </cell>
          <cell r="N344">
            <v>-16.225361329612642</v>
          </cell>
        </row>
        <row r="345">
          <cell r="A345" t="str">
            <v>Glory Days Grill</v>
          </cell>
          <cell r="L345">
            <v>-143.57641675311163</v>
          </cell>
          <cell r="N345">
            <v>-122.75127552153023</v>
          </cell>
        </row>
        <row r="346">
          <cell r="A346" t="str">
            <v>Kilwins</v>
          </cell>
          <cell r="L346">
            <v>-151.22443727747699</v>
          </cell>
          <cell r="N346">
            <v>-147.10612021310541</v>
          </cell>
        </row>
        <row r="347">
          <cell r="A347" t="str">
            <v>Mr. Pickle's Sandwich Shop</v>
          </cell>
          <cell r="L347">
            <v>-17.115277960310856</v>
          </cell>
          <cell r="N347">
            <v>-15.092647425469874</v>
          </cell>
        </row>
        <row r="348">
          <cell r="A348" t="str">
            <v>Bahama Buck's</v>
          </cell>
          <cell r="L348">
            <v>-78.385282891992972</v>
          </cell>
          <cell r="N348">
            <v>-76.545582894613744</v>
          </cell>
        </row>
        <row r="349">
          <cell r="A349" t="str">
            <v>Urban Plates</v>
          </cell>
          <cell r="L349">
            <v>-20.756702535166461</v>
          </cell>
          <cell r="N349">
            <v>-18.368333580693559</v>
          </cell>
        </row>
        <row r="350">
          <cell r="A350" t="str">
            <v>Halal Guys, The</v>
          </cell>
          <cell r="L350">
            <v>-222.23026056546152</v>
          </cell>
          <cell r="N350">
            <v>-249.39689385976439</v>
          </cell>
        </row>
        <row r="351">
          <cell r="A351" t="str">
            <v>P.J. Whelihan's Pub &amp; Restaurant</v>
          </cell>
          <cell r="L351">
            <v>-136.27760705288381</v>
          </cell>
          <cell r="N351">
            <v>-119.64221369875307</v>
          </cell>
        </row>
        <row r="352">
          <cell r="A352" t="str">
            <v>PrimoHoagies</v>
          </cell>
          <cell r="L352">
            <v>-25.548747380657698</v>
          </cell>
          <cell r="N352">
            <v>-22.868575307963482</v>
          </cell>
        </row>
        <row r="353">
          <cell r="A353" t="str">
            <v>Noah's Bagels</v>
          </cell>
          <cell r="L353">
            <v>-21.26105863630794</v>
          </cell>
          <cell r="N353">
            <v>-19.19490859182477</v>
          </cell>
        </row>
        <row r="354">
          <cell r="A354" t="str">
            <v>Salata</v>
          </cell>
          <cell r="L354">
            <v>-229.30314747315535</v>
          </cell>
          <cell r="N354">
            <v>-261.16618548011286</v>
          </cell>
        </row>
        <row r="355">
          <cell r="A355" t="str">
            <v>Gyu-Kaku</v>
          </cell>
          <cell r="L355">
            <v>-510.03328905706218</v>
          </cell>
          <cell r="N355">
            <v>-534.49568881578136</v>
          </cell>
        </row>
        <row r="356">
          <cell r="A356" t="str">
            <v>Biscuitville Fresh Southern</v>
          </cell>
          <cell r="L356">
            <v>-20.862604078713229</v>
          </cell>
          <cell r="N356">
            <v>-19.041839145318992</v>
          </cell>
        </row>
        <row r="357">
          <cell r="A357" t="str">
            <v>Wings Etc. Grill &amp; Pub</v>
          </cell>
          <cell r="L357">
            <v>-123.16805465749077</v>
          </cell>
          <cell r="N357">
            <v>-111.22987054805949</v>
          </cell>
        </row>
        <row r="358">
          <cell r="A358" t="str">
            <v>Iron Hill Brewery &amp; Restaurant</v>
          </cell>
          <cell r="L358">
            <v>-44.688224188633058</v>
          </cell>
          <cell r="N358">
            <v>-37.527040706899101</v>
          </cell>
        </row>
        <row r="359">
          <cell r="A359" t="str">
            <v>Rudy's Texas Bar-B-Q</v>
          </cell>
          <cell r="L359">
            <v>-197.9869594128657</v>
          </cell>
          <cell r="N359">
            <v>-230.62207151301808</v>
          </cell>
        </row>
        <row r="360">
          <cell r="A360" t="str">
            <v>Grimaldi's Pizzeria</v>
          </cell>
          <cell r="L360">
            <v>-130.73877292233936</v>
          </cell>
          <cell r="N360">
            <v>-110.30464570558267</v>
          </cell>
        </row>
        <row r="361">
          <cell r="A361" t="str">
            <v>Burtons Grill &amp; Bar</v>
          </cell>
          <cell r="L361">
            <v>-45.641683517333014</v>
          </cell>
          <cell r="N361">
            <v>-38.665550693339448</v>
          </cell>
        </row>
        <row r="362">
          <cell r="A362" t="str">
            <v>Bad Daddy's Burger Bar</v>
          </cell>
          <cell r="L362">
            <v>-45.231696005992035</v>
          </cell>
          <cell r="N362">
            <v>-38.338448016466003</v>
          </cell>
        </row>
        <row r="363">
          <cell r="A363" t="str">
            <v>Yum Yum Donut Shops</v>
          </cell>
          <cell r="L363">
            <v>-76.854931845022278</v>
          </cell>
          <cell r="N363">
            <v>-105.42035646493424</v>
          </cell>
        </row>
        <row r="364">
          <cell r="A364" t="str">
            <v>Keke's Breakfast Cafe</v>
          </cell>
          <cell r="L364">
            <v>-57.881716046169373</v>
          </cell>
          <cell r="N364">
            <v>-48.216477228632563</v>
          </cell>
        </row>
        <row r="365">
          <cell r="A365" t="str">
            <v>Pluckers Wing Bar</v>
          </cell>
          <cell r="L365">
            <v>-68.711570874703426</v>
          </cell>
          <cell r="N365">
            <v>-63.209411729517001</v>
          </cell>
        </row>
        <row r="366">
          <cell r="A366" t="str">
            <v>Ledo Pizza</v>
          </cell>
          <cell r="L366">
            <v>-45.012932133560284</v>
          </cell>
          <cell r="N366">
            <v>-43.78375829474583</v>
          </cell>
        </row>
        <row r="367">
          <cell r="A367" t="str">
            <v>Plaza Azteca</v>
          </cell>
          <cell r="L367">
            <v>-32.367404554840292</v>
          </cell>
          <cell r="N367">
            <v>-36.46443480126058</v>
          </cell>
        </row>
        <row r="368">
          <cell r="A368" t="str">
            <v>Simple Simon's Pizza</v>
          </cell>
          <cell r="L368">
            <v>-26.582182467237054</v>
          </cell>
          <cell r="N368">
            <v>-26.154014910578262</v>
          </cell>
        </row>
        <row r="369">
          <cell r="A369" t="str">
            <v>Jefferson's Restaurant</v>
          </cell>
          <cell r="L369">
            <v>-66.250260873221507</v>
          </cell>
          <cell r="N369">
            <v>-62.858897431571428</v>
          </cell>
        </row>
        <row r="370">
          <cell r="A370" t="str">
            <v>Rodizio Grill</v>
          </cell>
          <cell r="L370">
            <v>-44.483718836138699</v>
          </cell>
          <cell r="N370">
            <v>-47.292798327637335</v>
          </cell>
        </row>
        <row r="371">
          <cell r="A371" t="str">
            <v>Primanti Bros.</v>
          </cell>
          <cell r="L371">
            <v>-50.367525407411101</v>
          </cell>
          <cell r="N371">
            <v>-44.445678316805818</v>
          </cell>
        </row>
        <row r="372">
          <cell r="A372" t="str">
            <v>Elmer's Restaurants</v>
          </cell>
          <cell r="L372">
            <v>-40.342061827923963</v>
          </cell>
          <cell r="N372">
            <v>-34.892913092603081</v>
          </cell>
        </row>
        <row r="373">
          <cell r="A373" t="str">
            <v>Sullivan's Steakhouse</v>
          </cell>
          <cell r="L373">
            <v>-39.022454321962307</v>
          </cell>
          <cell r="N373">
            <v>-41.869678114687346</v>
          </cell>
        </row>
        <row r="374">
          <cell r="A374" t="str">
            <v>Pal's Sudden Service</v>
          </cell>
          <cell r="L374">
            <v>-7.3618695655918787</v>
          </cell>
          <cell r="N374">
            <v>-7.872067004814908</v>
          </cell>
        </row>
        <row r="375">
          <cell r="A375" t="str">
            <v>Eureka! Restaurants</v>
          </cell>
          <cell r="L375">
            <v>-40.376929832772355</v>
          </cell>
          <cell r="N375">
            <v>-36.038219955400187</v>
          </cell>
        </row>
        <row r="376">
          <cell r="A376" t="str">
            <v>Hot Head Burritos</v>
          </cell>
          <cell r="L376">
            <v>-20.117656573315166</v>
          </cell>
          <cell r="N376">
            <v>-23.223390037454418</v>
          </cell>
        </row>
        <row r="377">
          <cell r="A377" t="str">
            <v>Kona Grill</v>
          </cell>
          <cell r="L377">
            <v>-371.77390537598234</v>
          </cell>
          <cell r="N377">
            <v>-426.39120489039067</v>
          </cell>
        </row>
        <row r="378">
          <cell r="A378" t="str">
            <v>Taco Casa</v>
          </cell>
          <cell r="L378">
            <v>-18.918763073137278</v>
          </cell>
          <cell r="N378">
            <v>-22.315904103486396</v>
          </cell>
        </row>
        <row r="379">
          <cell r="A379" t="str">
            <v>Pizza Factory</v>
          </cell>
          <cell r="L379">
            <v>-30.805213918312887</v>
          </cell>
          <cell r="N379">
            <v>-31.578551336475975</v>
          </cell>
        </row>
        <row r="380">
          <cell r="A380" t="str">
            <v>Rosa's Cafe Tortilla Factory</v>
          </cell>
          <cell r="L380">
            <v>-29.949671254758854</v>
          </cell>
          <cell r="N380">
            <v>-35.639447588562376</v>
          </cell>
        </row>
        <row r="381">
          <cell r="A381" t="str">
            <v>Jim 'N Nick's Bar-B-Q</v>
          </cell>
          <cell r="L381">
            <v>-48.419151996589434</v>
          </cell>
          <cell r="N381">
            <v>-44.883566773129026</v>
          </cell>
        </row>
        <row r="382">
          <cell r="A382" t="str">
            <v>Marble Slab Creamery</v>
          </cell>
          <cell r="L382">
            <v>-94.980531856469156</v>
          </cell>
          <cell r="N382">
            <v>-106.62831197459569</v>
          </cell>
        </row>
        <row r="383">
          <cell r="A383" t="str">
            <v>Pizza Inn</v>
          </cell>
          <cell r="L383">
            <v>-33.554440129641172</v>
          </cell>
          <cell r="N383">
            <v>-34.924327910592169</v>
          </cell>
        </row>
        <row r="384">
          <cell r="A384" t="str">
            <v>Rosati's Pizza</v>
          </cell>
          <cell r="L384">
            <v>-41.411897562875453</v>
          </cell>
          <cell r="N384">
            <v>-43.16381127464323</v>
          </cell>
        </row>
        <row r="385">
          <cell r="A385" t="str">
            <v>Fatburger</v>
          </cell>
          <cell r="L385">
            <v>-9.1558457459614822</v>
          </cell>
          <cell r="N385">
            <v>-10.207100095817273</v>
          </cell>
        </row>
        <row r="386">
          <cell r="A386" t="str">
            <v>Port of Subs</v>
          </cell>
          <cell r="L386">
            <v>-19.547571661721239</v>
          </cell>
          <cell r="N386">
            <v>-19.990869713654821</v>
          </cell>
        </row>
        <row r="387">
          <cell r="A387" t="str">
            <v>Rusty Bucket Restaurant and Tavern</v>
          </cell>
          <cell r="L387">
            <v>-28.728144121264108</v>
          </cell>
          <cell r="N387">
            <v>-26.873652453011722</v>
          </cell>
        </row>
        <row r="388">
          <cell r="A388" t="str">
            <v>Rib &amp; Chop House</v>
          </cell>
          <cell r="L388">
            <v>-33.937634351084462</v>
          </cell>
          <cell r="N388">
            <v>-38.280848561999861</v>
          </cell>
        </row>
        <row r="389">
          <cell r="A389" t="str">
            <v>Wings and Rings</v>
          </cell>
          <cell r="L389">
            <v>-139.33270809222324</v>
          </cell>
          <cell r="N389">
            <v>-142.30880496589964</v>
          </cell>
        </row>
        <row r="390">
          <cell r="A390" t="str">
            <v>Buona</v>
          </cell>
          <cell r="L390">
            <v>-21.365636410560374</v>
          </cell>
          <cell r="N390">
            <v>-22.195069743338049</v>
          </cell>
        </row>
        <row r="391">
          <cell r="A391" t="str">
            <v>Skyline Chili</v>
          </cell>
          <cell r="L391">
            <v>-226.6556250615703</v>
          </cell>
          <cell r="N391">
            <v>-297.03450279927</v>
          </cell>
        </row>
        <row r="392">
          <cell r="A392" t="str">
            <v>Red Crab Juicy Seafood</v>
          </cell>
          <cell r="L392">
            <v>-140.31498186982734</v>
          </cell>
          <cell r="N392">
            <v>-126.7596159416937</v>
          </cell>
        </row>
        <row r="393">
          <cell r="A393" t="str">
            <v>Mi Cocina</v>
          </cell>
          <cell r="L393">
            <v>-25.718637979616332</v>
          </cell>
          <cell r="N393">
            <v>-31.762007688880821</v>
          </cell>
        </row>
        <row r="394">
          <cell r="A394" t="str">
            <v>Nando's</v>
          </cell>
          <cell r="L394">
            <v>-20.456195201589068</v>
          </cell>
          <cell r="N394">
            <v>-29.772327364394297</v>
          </cell>
        </row>
        <row r="395">
          <cell r="A395" t="str">
            <v>Saladworks</v>
          </cell>
          <cell r="L395">
            <v>-162.39163629199092</v>
          </cell>
          <cell r="N395">
            <v>-215.77034637305459</v>
          </cell>
        </row>
        <row r="396">
          <cell r="A396" t="str">
            <v>Chicken Express</v>
          </cell>
          <cell r="L396">
            <v>-22.803962115943104</v>
          </cell>
          <cell r="N396">
            <v>-33.257709233092534</v>
          </cell>
        </row>
        <row r="397">
          <cell r="A397" t="str">
            <v>Gloria's Latin Cuisine</v>
          </cell>
          <cell r="L397">
            <v>-28.922134602224244</v>
          </cell>
          <cell r="N397">
            <v>-36.423185440625673</v>
          </cell>
        </row>
        <row r="398">
          <cell r="A398" t="str">
            <v>Boiling Point</v>
          </cell>
          <cell r="L398">
            <v>-157.49782805414537</v>
          </cell>
          <cell r="N398">
            <v>-195.86875136307702</v>
          </cell>
        </row>
        <row r="399">
          <cell r="A399" t="str">
            <v>Serafina</v>
          </cell>
          <cell r="L399">
            <v>-100.10402702267628</v>
          </cell>
          <cell r="N399">
            <v>-98.779952471603778</v>
          </cell>
        </row>
        <row r="400">
          <cell r="A400" t="str">
            <v>Peter Piper Pizza</v>
          </cell>
          <cell r="L400">
            <v>-24.421561724826159</v>
          </cell>
          <cell r="N400">
            <v>-27.161428818244978</v>
          </cell>
        </row>
        <row r="401">
          <cell r="A401" t="str">
            <v>Truluck's</v>
          </cell>
          <cell r="L401">
            <v>-150.61511211788945</v>
          </cell>
          <cell r="N401">
            <v>-141.92410987336871</v>
          </cell>
        </row>
        <row r="402">
          <cell r="A402" t="str">
            <v>Luna Grill</v>
          </cell>
          <cell r="L402">
            <v>-133.14574918727217</v>
          </cell>
          <cell r="N402">
            <v>-184.10534748973618</v>
          </cell>
        </row>
        <row r="403">
          <cell r="A403" t="str">
            <v>Freebirds World Burrito</v>
          </cell>
          <cell r="L403">
            <v>-36.175334502468566</v>
          </cell>
          <cell r="N403">
            <v>-47.684260893956143</v>
          </cell>
        </row>
        <row r="404">
          <cell r="A404" t="str">
            <v>Bob's Steak &amp; Chop House</v>
          </cell>
          <cell r="L404">
            <v>-49.733272442436707</v>
          </cell>
          <cell r="N404">
            <v>-61.249357699199784</v>
          </cell>
        </row>
        <row r="405">
          <cell r="A405" t="str">
            <v>Uncle Julio's</v>
          </cell>
          <cell r="L405">
            <v>-74.798623971269592</v>
          </cell>
          <cell r="N405">
            <v>-98.833468081244746</v>
          </cell>
        </row>
        <row r="406">
          <cell r="A406" t="str">
            <v>Wood Ranch BBQ &amp; Grill</v>
          </cell>
          <cell r="L406">
            <v>-41.662027188846217</v>
          </cell>
          <cell r="N406">
            <v>-42.650335645880652</v>
          </cell>
        </row>
        <row r="407">
          <cell r="A407" t="str">
            <v>Anthony's Restaurants</v>
          </cell>
          <cell r="L407">
            <v>-206.19694704139448</v>
          </cell>
          <cell r="N407">
            <v>-200.24908653365719</v>
          </cell>
        </row>
        <row r="408">
          <cell r="A408" t="str">
            <v>Gator's Dockside</v>
          </cell>
          <cell r="L408">
            <v>-58.148448785010217</v>
          </cell>
          <cell r="N408">
            <v>-64.377792722668886</v>
          </cell>
        </row>
        <row r="409">
          <cell r="A409" t="str">
            <v>Haagen-Dazs</v>
          </cell>
          <cell r="L409">
            <v>-145.18531957038948</v>
          </cell>
          <cell r="N409">
            <v>-181.12637927737819</v>
          </cell>
        </row>
        <row r="410">
          <cell r="A410" t="str">
            <v>Yoshinoya</v>
          </cell>
          <cell r="L410">
            <v>-114.91388481826532</v>
          </cell>
          <cell r="N410">
            <v>-159.03673097257473</v>
          </cell>
        </row>
        <row r="411">
          <cell r="A411" t="str">
            <v>Old Spaghetti Factory, The</v>
          </cell>
          <cell r="L411">
            <v>-160.35374806854901</v>
          </cell>
          <cell r="N411">
            <v>-165.32760080707934</v>
          </cell>
        </row>
        <row r="412">
          <cell r="A412" t="str">
            <v>Hillstone</v>
          </cell>
          <cell r="L412">
            <v>-30.469243764977083</v>
          </cell>
          <cell r="N412">
            <v>-31.527968855271123</v>
          </cell>
        </row>
        <row r="413">
          <cell r="A413" t="str">
            <v>Fricker's</v>
          </cell>
          <cell r="L413">
            <v>-61.019977120072447</v>
          </cell>
          <cell r="N413">
            <v>-68.700802397330861</v>
          </cell>
        </row>
        <row r="414">
          <cell r="A414" t="str">
            <v>Margaritas Mexican Restaurant</v>
          </cell>
          <cell r="L414">
            <v>-17.589009758092487</v>
          </cell>
          <cell r="N414">
            <v>-23.800881086343161</v>
          </cell>
        </row>
        <row r="415">
          <cell r="A415" t="str">
            <v>Moe's Original BBQ</v>
          </cell>
          <cell r="L415">
            <v>-140.84203526746134</v>
          </cell>
          <cell r="N415">
            <v>-204.84171843987392</v>
          </cell>
        </row>
        <row r="416">
          <cell r="A416" t="str">
            <v>Imo's Pizza</v>
          </cell>
          <cell r="L416">
            <v>-24.519771758572109</v>
          </cell>
          <cell r="N416">
            <v>-29.06001656730918</v>
          </cell>
        </row>
        <row r="417">
          <cell r="A417" t="str">
            <v>Margaritaville Restaurants</v>
          </cell>
          <cell r="L417">
            <v>-31.671431614207474</v>
          </cell>
          <cell r="N417">
            <v>-33.673622291254851</v>
          </cell>
        </row>
        <row r="418">
          <cell r="A418" t="str">
            <v>Tommy Bahama Restaurants</v>
          </cell>
          <cell r="L418">
            <v>-40.459839339615833</v>
          </cell>
          <cell r="N418">
            <v>-43.526112558527075</v>
          </cell>
        </row>
        <row r="419">
          <cell r="A419" t="str">
            <v>Chart House</v>
          </cell>
          <cell r="L419">
            <v>-203.28181583911274</v>
          </cell>
          <cell r="N419">
            <v>-207.24808373289181</v>
          </cell>
        </row>
        <row r="420">
          <cell r="A420" t="str">
            <v>Daylight Donuts</v>
          </cell>
          <cell r="L420">
            <v>-94.497730664791533</v>
          </cell>
          <cell r="N420">
            <v>-164.51340784273918</v>
          </cell>
        </row>
        <row r="421">
          <cell r="A421" t="str">
            <v>Razzoo's Cajun Cafe</v>
          </cell>
          <cell r="L421">
            <v>-33.13063893465263</v>
          </cell>
          <cell r="N421">
            <v>-35.863064572870904</v>
          </cell>
        </row>
        <row r="422">
          <cell r="A422" t="str">
            <v>Ben &amp; Jerry's Scoop Shops</v>
          </cell>
          <cell r="L422">
            <v>-113.88050533365016</v>
          </cell>
          <cell r="N422">
            <v>-149.31113700430828</v>
          </cell>
        </row>
        <row r="423">
          <cell r="A423" t="str">
            <v>Colton's Steak House &amp; Grill</v>
          </cell>
          <cell r="L423">
            <v>-54.932090594479845</v>
          </cell>
          <cell r="N423">
            <v>-74.488151160224731</v>
          </cell>
        </row>
        <row r="424">
          <cell r="A424" t="str">
            <v>Cotton Patch Cafe</v>
          </cell>
          <cell r="L424">
            <v>-44.31513140783742</v>
          </cell>
          <cell r="N424">
            <v>-50.444750168433799</v>
          </cell>
        </row>
        <row r="425">
          <cell r="A425" t="str">
            <v>Duffy's Sports Grill</v>
          </cell>
          <cell r="L425">
            <v>-137.628250916197</v>
          </cell>
          <cell r="N425">
            <v>-169.0647297090778</v>
          </cell>
        </row>
        <row r="426">
          <cell r="A426" t="str">
            <v>Modern Market Eatery</v>
          </cell>
          <cell r="L426">
            <v>-16.529377670638361</v>
          </cell>
          <cell r="N426">
            <v>-20.694989167581411</v>
          </cell>
        </row>
        <row r="427">
          <cell r="A427" t="str">
            <v>Philly Pretzel Factory</v>
          </cell>
          <cell r="L427">
            <v>-68.637737874170824</v>
          </cell>
          <cell r="N427">
            <v>-127.45156377303574</v>
          </cell>
        </row>
        <row r="428">
          <cell r="A428" t="str">
            <v>East Coast Wings + Grill</v>
          </cell>
          <cell r="L428">
            <v>-58.045894201615127</v>
          </cell>
          <cell r="N428">
            <v>-72.322783476101691</v>
          </cell>
        </row>
        <row r="429">
          <cell r="A429" t="str">
            <v>Eddie Merlot's</v>
          </cell>
          <cell r="L429">
            <v>-34.387363439417825</v>
          </cell>
          <cell r="N429">
            <v>-47.930812470337322</v>
          </cell>
        </row>
        <row r="430">
          <cell r="A430" t="str">
            <v>Rock &amp; Brews</v>
          </cell>
          <cell r="L430">
            <v>-38.967468216433275</v>
          </cell>
          <cell r="N430">
            <v>-45.10251100129063</v>
          </cell>
        </row>
        <row r="431">
          <cell r="A431" t="str">
            <v>Great Harvest Bakery Cafe</v>
          </cell>
          <cell r="L431">
            <v>-37.674474116762589</v>
          </cell>
          <cell r="N431">
            <v>-48.094420092115968</v>
          </cell>
        </row>
        <row r="432">
          <cell r="A432" t="str">
            <v>Pappasito's Cantina</v>
          </cell>
          <cell r="L432">
            <v>-39.167279461319353</v>
          </cell>
          <cell r="N432">
            <v>-59.2753312323659</v>
          </cell>
        </row>
        <row r="433">
          <cell r="A433" t="str">
            <v>Smith &amp; Wollensky</v>
          </cell>
          <cell r="L433">
            <v>-57.374908762307342</v>
          </cell>
          <cell r="N433">
            <v>-81.187299658574702</v>
          </cell>
        </row>
        <row r="434">
          <cell r="A434" t="str">
            <v>TacoTime</v>
          </cell>
          <cell r="L434">
            <v>-20.308959720684104</v>
          </cell>
          <cell r="N434">
            <v>-30.937020476182621</v>
          </cell>
        </row>
        <row r="435">
          <cell r="A435" t="str">
            <v>Giordano's</v>
          </cell>
          <cell r="L435">
            <v>-153.17372949831545</v>
          </cell>
          <cell r="N435">
            <v>-180.2377823122271</v>
          </cell>
        </row>
        <row r="436">
          <cell r="A436" t="str">
            <v>Fox's Pizza Den</v>
          </cell>
          <cell r="L436">
            <v>-28.939223277139842</v>
          </cell>
          <cell r="N436">
            <v>-38.514208623873763</v>
          </cell>
        </row>
        <row r="437">
          <cell r="A437" t="str">
            <v>Il Fornaio</v>
          </cell>
          <cell r="L437">
            <v>-97.398512778820148</v>
          </cell>
          <cell r="N437">
            <v>-116.43097616519779</v>
          </cell>
        </row>
        <row r="438">
          <cell r="A438" t="str">
            <v>Ted's Montana Grill</v>
          </cell>
          <cell r="L438">
            <v>-41.164570147785362</v>
          </cell>
          <cell r="N438">
            <v>-49.393817873258094</v>
          </cell>
        </row>
        <row r="439">
          <cell r="A439" t="str">
            <v>Lucille's Smokehouse Bar-B-Que</v>
          </cell>
          <cell r="L439">
            <v>-42.988579298341818</v>
          </cell>
          <cell r="N439">
            <v>-51.670837846138788</v>
          </cell>
        </row>
        <row r="440">
          <cell r="A440" t="str">
            <v>Salsarita's Fresh Mexican Grill</v>
          </cell>
          <cell r="L440">
            <v>-21.967222547877469</v>
          </cell>
          <cell r="N440">
            <v>-34.154470605705612</v>
          </cell>
        </row>
        <row r="441">
          <cell r="A441" t="str">
            <v>Mazzio's Italian Eatery</v>
          </cell>
          <cell r="L441">
            <v>-29.888586936684021</v>
          </cell>
          <cell r="N441">
            <v>-40.490289750450792</v>
          </cell>
        </row>
        <row r="442">
          <cell r="A442" t="str">
            <v>Gold Star Chili</v>
          </cell>
          <cell r="L442">
            <v>-115.6366983548419</v>
          </cell>
          <cell r="N442">
            <v>-192.79220559046956</v>
          </cell>
        </row>
        <row r="443">
          <cell r="A443" t="str">
            <v>RibCrib BBQ</v>
          </cell>
          <cell r="L443">
            <v>-162.19922913998622</v>
          </cell>
          <cell r="N443">
            <v>-271.53437095518171</v>
          </cell>
        </row>
        <row r="444">
          <cell r="A444" t="str">
            <v>Eat'n Park</v>
          </cell>
          <cell r="L444">
            <v>-75.19851751494042</v>
          </cell>
          <cell r="N444">
            <v>-89.705073913735006</v>
          </cell>
        </row>
        <row r="445">
          <cell r="A445" t="str">
            <v>Anthony's Coal Fired Pizza</v>
          </cell>
          <cell r="L445">
            <v>-130.78663971280758</v>
          </cell>
          <cell r="N445">
            <v>-159.1881143049597</v>
          </cell>
        </row>
        <row r="446">
          <cell r="A446" t="str">
            <v>Smallcakes Cupcakery</v>
          </cell>
          <cell r="L446">
            <v>-91.235021294012284</v>
          </cell>
          <cell r="N446">
            <v>-181.80893507526747</v>
          </cell>
        </row>
        <row r="447">
          <cell r="A447" t="str">
            <v>Frisch's Big Boy</v>
          </cell>
          <cell r="L447">
            <v>-104.96935917549055</v>
          </cell>
          <cell r="N447">
            <v>-126.88546639113831</v>
          </cell>
        </row>
        <row r="448">
          <cell r="A448" t="str">
            <v>Kneaders Bakery &amp; Cafe</v>
          </cell>
          <cell r="L448">
            <v>-24.966288891150477</v>
          </cell>
          <cell r="N448">
            <v>-34.318169906595799</v>
          </cell>
        </row>
        <row r="449">
          <cell r="A449" t="str">
            <v>Shakey's Pizza Parlor</v>
          </cell>
          <cell r="L449">
            <v>-25.305452028539705</v>
          </cell>
          <cell r="N449">
            <v>-36.034420543463384</v>
          </cell>
        </row>
        <row r="450">
          <cell r="A450" t="str">
            <v>El Torito</v>
          </cell>
          <cell r="L450">
            <v>-19.492974731906621</v>
          </cell>
          <cell r="N450">
            <v>-32.050753213325194</v>
          </cell>
        </row>
        <row r="451">
          <cell r="A451" t="str">
            <v>Roy Rogers Restaurants</v>
          </cell>
          <cell r="L451">
            <v>-19.565310170265327</v>
          </cell>
          <cell r="N451">
            <v>-27.491272592438026</v>
          </cell>
        </row>
        <row r="452">
          <cell r="A452" t="str">
            <v>Houston's</v>
          </cell>
          <cell r="L452">
            <v>-33.909988298981297</v>
          </cell>
          <cell r="N452">
            <v>-43.657479095424037</v>
          </cell>
        </row>
        <row r="453">
          <cell r="A453" t="str">
            <v>Pretzelmaker</v>
          </cell>
          <cell r="L453">
            <v>-72.07566682226971</v>
          </cell>
          <cell r="N453">
            <v>-149.68867021485781</v>
          </cell>
        </row>
        <row r="454">
          <cell r="A454" t="str">
            <v>Papa Gino's Pizzeria</v>
          </cell>
          <cell r="L454">
            <v>-19.281903292121456</v>
          </cell>
          <cell r="N454">
            <v>-27.897615904616814</v>
          </cell>
        </row>
        <row r="455">
          <cell r="A455" t="str">
            <v>Pieology Pizzeria</v>
          </cell>
          <cell r="L455">
            <v>-37.319812823460886</v>
          </cell>
          <cell r="N455">
            <v>-54.245364258977133</v>
          </cell>
        </row>
        <row r="456">
          <cell r="A456" t="str">
            <v>Big Boy Restaurants</v>
          </cell>
          <cell r="L456">
            <v>-63.541604465511966</v>
          </cell>
          <cell r="N456">
            <v>-80.675550026365613</v>
          </cell>
        </row>
        <row r="457">
          <cell r="A457" t="str">
            <v>Bareburger</v>
          </cell>
          <cell r="L457">
            <v>-30.220515244446659</v>
          </cell>
          <cell r="N457">
            <v>-39.278594532191939</v>
          </cell>
        </row>
        <row r="458">
          <cell r="A458" t="str">
            <v>Rainforest Cafe</v>
          </cell>
          <cell r="L458">
            <v>-43.403126832559195</v>
          </cell>
          <cell r="N458">
            <v>-56.487610865694094</v>
          </cell>
        </row>
        <row r="459">
          <cell r="A459" t="str">
            <v>Carolina Ale House</v>
          </cell>
          <cell r="L459">
            <v>-92.401679638966854</v>
          </cell>
          <cell r="N459">
            <v>-130.74183313369596</v>
          </cell>
        </row>
        <row r="460">
          <cell r="A460" t="str">
            <v>Yogurtland</v>
          </cell>
          <cell r="L460">
            <v>-129.16317055158589</v>
          </cell>
          <cell r="N460">
            <v>-205.69656637935296</v>
          </cell>
        </row>
        <row r="461">
          <cell r="A461" t="str">
            <v>Bubba Gump Shrimp Co.</v>
          </cell>
          <cell r="L461">
            <v>-318.91535352962143</v>
          </cell>
          <cell r="N461">
            <v>-398.55400717863819</v>
          </cell>
        </row>
        <row r="462">
          <cell r="A462" t="str">
            <v>Taco Bueno</v>
          </cell>
          <cell r="L462">
            <v>-47.266686016592182</v>
          </cell>
          <cell r="N462">
            <v>-80.642500041249363</v>
          </cell>
        </row>
        <row r="463">
          <cell r="A463" t="str">
            <v>Tijuana Flats</v>
          </cell>
          <cell r="L463">
            <v>-40.497032776364136</v>
          </cell>
          <cell r="N463">
            <v>-69.587671391093437</v>
          </cell>
        </row>
        <row r="464">
          <cell r="A464" t="str">
            <v>Togo's Sandwiches</v>
          </cell>
          <cell r="L464">
            <v>-23.748421140362648</v>
          </cell>
          <cell r="N464">
            <v>-34.685536578209671</v>
          </cell>
        </row>
        <row r="465">
          <cell r="A465" t="str">
            <v>Tender Greens</v>
          </cell>
          <cell r="L465">
            <v>-144.6901783075559</v>
          </cell>
          <cell r="N465">
            <v>-267.33105251934296</v>
          </cell>
        </row>
        <row r="466">
          <cell r="A466" t="str">
            <v>Johnny Rockets</v>
          </cell>
          <cell r="L466">
            <v>-59.158005870490541</v>
          </cell>
          <cell r="N466">
            <v>-79.345388285765665</v>
          </cell>
        </row>
        <row r="467">
          <cell r="A467" t="str">
            <v>Palm Restaurant, The</v>
          </cell>
          <cell r="L467">
            <v>-47.666272454274981</v>
          </cell>
          <cell r="N467">
            <v>-78.475739552099725</v>
          </cell>
        </row>
        <row r="468">
          <cell r="A468" t="str">
            <v>Menchie's Frozen Yogurt</v>
          </cell>
          <cell r="L468">
            <v>-140.37867486474843</v>
          </cell>
          <cell r="N468">
            <v>-233.41677746876042</v>
          </cell>
        </row>
        <row r="469">
          <cell r="A469" t="str">
            <v>Hurricane Grill &amp; Wings</v>
          </cell>
          <cell r="L469">
            <v>-76.984649117184517</v>
          </cell>
          <cell r="N469">
            <v>-114.50133732888477</v>
          </cell>
        </row>
        <row r="470">
          <cell r="A470" t="str">
            <v>Lemonade</v>
          </cell>
          <cell r="L470">
            <v>-15.858756146128457</v>
          </cell>
          <cell r="N470">
            <v>-24.062516990708563</v>
          </cell>
        </row>
        <row r="471">
          <cell r="A471" t="str">
            <v>Flame Broiler</v>
          </cell>
          <cell r="L471">
            <v>-86.821133208320589</v>
          </cell>
          <cell r="N471">
            <v>-161.77874357555015</v>
          </cell>
        </row>
        <row r="472">
          <cell r="A472" t="str">
            <v>Marlow's Tavern</v>
          </cell>
          <cell r="L472">
            <v>-27.608865778877195</v>
          </cell>
          <cell r="N472">
            <v>-38.402817619545523</v>
          </cell>
        </row>
        <row r="473">
          <cell r="A473" t="str">
            <v>Sarku Japan</v>
          </cell>
          <cell r="L473">
            <v>-253.56130116907016</v>
          </cell>
          <cell r="N473">
            <v>-481.5659633975593</v>
          </cell>
        </row>
        <row r="474">
          <cell r="A474" t="str">
            <v>Greene Turtle Sports Bar &amp; Grille</v>
          </cell>
          <cell r="L474">
            <v>-78.736281401572469</v>
          </cell>
          <cell r="N474">
            <v>-120.92743279122013</v>
          </cell>
        </row>
        <row r="475">
          <cell r="A475" t="str">
            <v>Shari's Cafe and Pies</v>
          </cell>
          <cell r="L475">
            <v>-67.084391764848064</v>
          </cell>
          <cell r="N475">
            <v>-93.718195641454713</v>
          </cell>
        </row>
        <row r="476">
          <cell r="A476" t="str">
            <v>Del Frisco's Grille</v>
          </cell>
          <cell r="L476">
            <v>-32.749255203172645</v>
          </cell>
          <cell r="N476">
            <v>-46.897853672215795</v>
          </cell>
        </row>
        <row r="477">
          <cell r="A477" t="str">
            <v>Black Angus Steakhouse</v>
          </cell>
          <cell r="L477">
            <v>-73.84827230432353</v>
          </cell>
          <cell r="N477">
            <v>-127.60282853999954</v>
          </cell>
        </row>
        <row r="478">
          <cell r="A478" t="str">
            <v>Quaker Steak &amp; Lube</v>
          </cell>
          <cell r="L478">
            <v>-80.71045713192774</v>
          </cell>
          <cell r="N478">
            <v>-126.3019853597188</v>
          </cell>
        </row>
        <row r="479">
          <cell r="A479" t="str">
            <v>Abuelo's Mexican Restaurant</v>
          </cell>
          <cell r="L479">
            <v>-25.083982988344957</v>
          </cell>
          <cell r="N479">
            <v>-47.436764730146677</v>
          </cell>
        </row>
        <row r="480">
          <cell r="A480" t="str">
            <v>Islands Fine Burgers &amp; Drinks</v>
          </cell>
          <cell r="L480">
            <v>-47.838785448685108</v>
          </cell>
          <cell r="N480">
            <v>-70.149730702978246</v>
          </cell>
        </row>
        <row r="481">
          <cell r="A481" t="str">
            <v>HuHot Mongolian Grill</v>
          </cell>
          <cell r="L481">
            <v>-228.06137108915675</v>
          </cell>
          <cell r="N481">
            <v>-424.50785151189962</v>
          </cell>
        </row>
        <row r="482">
          <cell r="A482" t="str">
            <v>Uno Pizzeria &amp; Grill</v>
          </cell>
          <cell r="L482">
            <v>-154.4224283800952</v>
          </cell>
          <cell r="N482">
            <v>-231.87524914255491</v>
          </cell>
        </row>
        <row r="483">
          <cell r="A483" t="str">
            <v>SweetFrog</v>
          </cell>
          <cell r="L483">
            <v>-75.427347688521536</v>
          </cell>
          <cell r="N483">
            <v>-139.38856144389538</v>
          </cell>
        </row>
        <row r="484">
          <cell r="A484" t="str">
            <v>Shoney's</v>
          </cell>
          <cell r="L484">
            <v>-66.855824842310255</v>
          </cell>
          <cell r="N484">
            <v>-100.80017516096011</v>
          </cell>
        </row>
        <row r="485">
          <cell r="A485" t="str">
            <v>Friendly's</v>
          </cell>
          <cell r="L485">
            <v>-79.484147312524414</v>
          </cell>
          <cell r="N485">
            <v>-126.23628493518366</v>
          </cell>
        </row>
        <row r="486">
          <cell r="A486" t="str">
            <v>Hard Rock Cafe</v>
          </cell>
          <cell r="L486">
            <v>-48.833699530806804</v>
          </cell>
          <cell r="N486">
            <v>-82.23545209749885</v>
          </cell>
        </row>
        <row r="487">
          <cell r="A487" t="str">
            <v>Baja Fresh Mexican Grill</v>
          </cell>
          <cell r="L487">
            <v>-19.462753065655601</v>
          </cell>
          <cell r="N487">
            <v>-43.806820994274588</v>
          </cell>
        </row>
        <row r="488">
          <cell r="A488" t="str">
            <v>Johnny Carino's</v>
          </cell>
          <cell r="L488">
            <v>-68.262205537292758</v>
          </cell>
          <cell r="N488">
            <v>-121.47412579193895</v>
          </cell>
        </row>
        <row r="489">
          <cell r="A489" t="str">
            <v>McCormick &amp; Schmick's</v>
          </cell>
          <cell r="L489">
            <v>-177.62866125903349</v>
          </cell>
          <cell r="N489">
            <v>-306.59496064424991</v>
          </cell>
        </row>
        <row r="490">
          <cell r="A490" t="str">
            <v>Joe's Crab Shack</v>
          </cell>
          <cell r="L490">
            <v>-187.54010734679139</v>
          </cell>
          <cell r="N490">
            <v>-323.89803705346884</v>
          </cell>
        </row>
        <row r="491">
          <cell r="A491" t="str">
            <v>Grand Lux Cafe</v>
          </cell>
          <cell r="L491">
            <v>-37.475097093250724</v>
          </cell>
          <cell r="N491">
            <v>-68.967431870905571</v>
          </cell>
        </row>
        <row r="492">
          <cell r="A492" t="str">
            <v>Bravo! Italian Kitchen</v>
          </cell>
          <cell r="L492">
            <v>-71.800185702335369</v>
          </cell>
          <cell r="N492">
            <v>-133.20493035848901</v>
          </cell>
        </row>
        <row r="493">
          <cell r="A493" t="str">
            <v>Which Wich</v>
          </cell>
          <cell r="L493">
            <v>-28.010958268120046</v>
          </cell>
          <cell r="N493">
            <v>-57.278586882462747</v>
          </cell>
        </row>
        <row r="494">
          <cell r="A494" t="str">
            <v>Houlihan's</v>
          </cell>
          <cell r="L494">
            <v>-34.448900093463884</v>
          </cell>
          <cell r="N494">
            <v>-64.369603079511876</v>
          </cell>
        </row>
        <row r="495">
          <cell r="A495" t="str">
            <v>Quiznos</v>
          </cell>
          <cell r="L495">
            <v>-18.162114718270654</v>
          </cell>
          <cell r="N495">
            <v>-37.226489390205614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6DDDA1-E598-4146-9C7C-F250E70EC324}" name="Table1" displayName="Table1" ref="A1:AQ501" totalsRowShown="0" headerRowDxfId="37">
  <autoFilter ref="A1:AQ501" xr:uid="{DBD10600-CF24-475A-A18A-E2EECD463097}"/>
  <sortState xmlns:xlrd2="http://schemas.microsoft.com/office/spreadsheetml/2017/richdata2" ref="A2:AQ501">
    <sortCondition descending="1" ref="G1:G501"/>
  </sortState>
  <tableColumns count="43">
    <tableColumn id="1" xr3:uid="{4609C522-C56D-49DC-9EB9-326BE28F66F4}" name="Chain Name"/>
    <tableColumn id="2" xr3:uid="{6856F3FC-132B-408A-BB6C-3AE0C5A4BBF2}" name="Ignite ID"/>
    <tableColumn id="3" xr3:uid="{8BB06D53-B6E6-4322-9C1C-66322E505346}" name="Segment"/>
    <tableColumn id="4" xr3:uid="{34B420FF-ADEE-41DD-BDC9-C985686005B5}" name="Subsegment"/>
    <tableColumn id="5" xr3:uid="{F061219A-DF81-4133-91DE-BBAA7C4BB61D}" name="Menu Type"/>
    <tableColumn id="6" xr3:uid="{89BDAA32-D676-4092-9413-E418E86EB5CD}" name="Rank" dataDxfId="36"/>
    <tableColumn id="34" xr3:uid="{0756E0BA-CE3B-4C5F-9013-43E0D7235B16}" name="2024 U.S. Sales ($000)" dataDxfId="35"/>
    <tableColumn id="43" xr3:uid="{F79577C5-9DB3-4BD9-AE82-FD5FCCFEE873}" name="2024 Market share (%)" dataDxfId="34">
      <calculatedColumnFormula>Table1[[#This Row],[2024 U.S. Sales ($000)]]/SUMIF($E:$E, E2, $G:$G)</calculatedColumnFormula>
    </tableColumn>
    <tableColumn id="35" xr3:uid="{45C5A048-A53A-47A8-81D1-84CF4FF008DE}" name="2024 U.S. Units" dataDxfId="33"/>
    <tableColumn id="36" xr3:uid="{B62841D4-B013-4CF7-9B9C-923033D41357}" name="2024 AUV" dataDxfId="32">
      <calculatedColumnFormula>Table1[[#This Row],[2024 U.S. Sales ($000)]]/Table1[[#This Row],[2024 U.S. Units]]</calculatedColumnFormula>
    </tableColumn>
    <tableColumn id="37" xr3:uid="{B8195694-D3F3-4650-A282-B1ED9EA7B9B2}" name="2024 YoY units %" dataDxfId="31">
      <calculatedColumnFormula>Table1[[#This Row],[2024 U.S. Units]]/Table1[[#This Row],[2023 U.S. Units]]-1</calculatedColumnFormula>
    </tableColumn>
    <tableColumn id="38" xr3:uid="{EB464BE4-5370-44BF-9690-E5C632743A1F}" name="Market share y/y" dataDxfId="30">
      <calculatedColumnFormula>(Table1[[#This Row],[2024 Market share (%)]]-Table1[[#This Row],[2023 Market share (%)]])*10000</calculatedColumnFormula>
    </tableColumn>
    <tableColumn id="42" xr3:uid="{5B66E086-54B0-4E73-B2C2-4FDDBB71B033}" name="5-Year Sales CAGR" dataDxfId="29">
      <calculatedColumnFormula>_xlfn.RRI(5,Table1[[#This Row],[2019 U.S. Sales ($000)]],Table1[[#This Row],[2024 U.S. Sales ($000)]])</calculatedColumnFormula>
    </tableColumn>
    <tableColumn id="41" xr3:uid="{BBB73CF7-45D2-470C-9BBF-22EBFEA205F0}" name="5-year market share change" dataDxfId="28">
      <calculatedColumnFormula>(Table1[[#This Row],[2024 Market share (%)]]-Table1[[#This Row],[2019 Market share (%)]])*10000</calculatedColumnFormula>
    </tableColumn>
    <tableColumn id="40" xr3:uid="{AEA27DAD-C375-401F-958A-DC40740A50F8}" name="5-Year AUV CAGR" dataDxfId="27">
      <calculatedColumnFormula>IF(Table1[[#This Row],[2024 AUV]]=0,"",_xlfn.RRI(5,Table1[[#This Row],[2019 AUV]],Table1[[#This Row],[2024 AUV]]))</calculatedColumnFormula>
    </tableColumn>
    <tableColumn id="39" xr3:uid="{73011F49-69D6-42F2-969C-7D6A963DB1FC}" name="5-Year Unit CAGR" dataDxfId="26">
      <calculatedColumnFormula>_xlfn.RRI(5,Table1[[#This Row],[2019 U.S. Units]],Table1[[#This Row],[2024 U.S. Units]])</calculatedColumnFormula>
    </tableColumn>
    <tableColumn id="7" xr3:uid="{25BC3115-3AEA-4616-8C3D-5D66CA2985FC}" name="2023 U.S. Sales ($000)" dataDxfId="25"/>
    <tableColumn id="24" xr3:uid="{2F38F59A-38FE-4B50-9DE2-5F400B399B1D}" name="2023 Market share (%)" dataDxfId="24">
      <calculatedColumnFormula>Table1[[#This Row],[2023 U.S. Sales ($000)]]/SUMIF($E:$E, E2, $Q:$Q)</calculatedColumnFormula>
    </tableColumn>
    <tableColumn id="33" xr3:uid="{50C5769B-E6B3-409D-8F60-B054D2C8E0D0}" name="Market share y/y2" dataDxfId="23">
      <calculatedColumnFormula>(Table1[[#This Row],[2023 Market share (%)]]-Table1[[#This Row],[2022 Market share (%)]])*10000</calculatedColumnFormula>
    </tableColumn>
    <tableColumn id="8" xr3:uid="{4703B1D3-6B8D-464F-92C7-64FFB89EB6D4}" name="2023 YoY Sales %" dataDxfId="22"/>
    <tableColumn id="9" xr3:uid="{16D20783-6403-446A-856D-9C2387A3882A}" name="2023 U.S. Units" dataDxfId="21"/>
    <tableColumn id="10" xr3:uid="{44134933-7CA2-44DD-9014-257E454C7E5F}" name="2023 AUV" dataDxfId="20">
      <calculatedColumnFormula>Q2/U2</calculatedColumnFormula>
    </tableColumn>
    <tableColumn id="11" xr3:uid="{9A8F7EC3-A1C4-4EE6-9397-E3BF9F38EB74}" name="2023 YoY Units %" dataDxfId="19"/>
    <tableColumn id="12" xr3:uid="{E4CB80E0-3DF2-482F-9676-47675D4DAEFF}" name="4-Year Sales CAGR" dataDxfId="18">
      <calculatedColumnFormula>_xlfn.RRI(4,AN2,Q2)</calculatedColumnFormula>
    </tableColumn>
    <tableColumn id="32" xr3:uid="{24101D26-2A08-46B6-929D-BCE8D2B6DD1F}" name="4-year market share change" dataDxfId="17">
      <calculatedColumnFormula>(Table1[[#This Row],[2023 Market share (%)]]-Table1[[#This Row],[2019 Market share (%)]])*10000</calculatedColumnFormula>
    </tableColumn>
    <tableColumn id="13" xr3:uid="{6E7DF46A-DA04-4552-BA7F-6119A72303B5}" name="4-Year AUV CAGR" dataDxfId="16">
      <calculatedColumnFormula>_xlfn.RRI(4,AQ2,V2)</calculatedColumnFormula>
    </tableColumn>
    <tableColumn id="14" xr3:uid="{22329AB0-CD12-43AC-83C1-8C1AEDACD041}" name="4-Year Unit CAGR" dataDxfId="15">
      <calculatedColumnFormula>_xlfn.RRI(4,AP2,U2)</calculatedColumnFormula>
    </tableColumn>
    <tableColumn id="15" xr3:uid="{68723846-AC91-4FEE-B234-ACD5E813E5F8}" name="2022 U.S. Sales ($000)" dataDxfId="14"/>
    <tableColumn id="25" xr3:uid="{9E73A8B2-D8AC-4A5A-BB06-B61845713252}" name="2022 Market share (%)" dataDxfId="13">
      <calculatedColumnFormula>Table1[[#This Row],[2022 U.S. Sales ($000)]]/SUMIF($E:$E, E2, $AB:$AB)</calculatedColumnFormula>
    </tableColumn>
    <tableColumn id="16" xr3:uid="{0FB1CBEE-1CA8-43CB-8115-15A473EF4306}" name="2022 U.S. Units" dataDxfId="12"/>
    <tableColumn id="31" xr3:uid="{49F3B035-438A-40CC-A03C-C3C10B1E5F51}" name="2022 AUV" dataDxfId="11">
      <calculatedColumnFormula>AB2/AD2</calculatedColumnFormula>
    </tableColumn>
    <tableColumn id="17" xr3:uid="{32CA199B-1E9A-455B-9A4A-F8D0ACCDB243}" name="2021 U.S. Sales ($000)" dataDxfId="10"/>
    <tableColumn id="26" xr3:uid="{9911F7C2-B351-40E4-99C6-7D8CFD5C1BE3}" name="2021 Market share (%)" dataDxfId="9">
      <calculatedColumnFormula>Table1[[#This Row],[2021 U.S. Sales ($000)]]/SUMIF($E:$E, E2, $AF:$AF)</calculatedColumnFormula>
    </tableColumn>
    <tableColumn id="18" xr3:uid="{FE70C8ED-4F67-4D03-9247-0F3668FDD9BB}" name="2021 U.S. Units" dataDxfId="8"/>
    <tableColumn id="30" xr3:uid="{4B6439AB-0381-4404-9699-22C6499AD075}" name="2021 AUV" dataDxfId="7">
      <calculatedColumnFormula>AF2/AH2</calculatedColumnFormula>
    </tableColumn>
    <tableColumn id="19" xr3:uid="{6C67DD4D-D69D-4D21-BBED-1CACCF1DAB7C}" name="2020 U.S. Sales ($000)" dataDxfId="6"/>
    <tableColumn id="27" xr3:uid="{A76917D2-C14B-4919-B083-3BFE5524C329}" name="2020 Market share (%)" dataDxfId="5">
      <calculatedColumnFormula>Table1[[#This Row],[2020 U.S. Sales ($000)]]/SUMIF($E:$E, E2, $AJ:$AJ)</calculatedColumnFormula>
    </tableColumn>
    <tableColumn id="20" xr3:uid="{B76D452A-A20B-45D3-A331-A5B934C152C8}" name="2020 U.S. Units" dataDxfId="4"/>
    <tableColumn id="29" xr3:uid="{91018742-6AF6-43EB-BCDF-3AC5E7FB2FEC}" name="2020 AUV" dataDxfId="3">
      <calculatedColumnFormula>AJ2/AL2</calculatedColumnFormula>
    </tableColumn>
    <tableColumn id="21" xr3:uid="{0927F357-0903-4F1B-AE2C-F9042E0F7095}" name="2019 U.S. Sales ($000)" dataDxfId="2"/>
    <tableColumn id="28" xr3:uid="{29B6730C-43FC-487B-9CD2-ACD6210E4F73}" name="2019 Market share (%)" dataDxfId="1">
      <calculatedColumnFormula>Table1[[#This Row],[2019 U.S. Sales ($000)]]/SUMIF($E:$E, E2, $AN:$AN)</calculatedColumnFormula>
    </tableColumn>
    <tableColumn id="22" xr3:uid="{0291CEE7-4C70-4A0D-853E-D589878F757D}" name="2019 U.S. Units" dataDxfId="0"/>
    <tableColumn id="23" xr3:uid="{511B45E0-63AD-456D-9F8A-1335E4D90138}" name="2019 AUV">
      <calculatedColumnFormula>AN2/AP2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RandCoExcel">
  <a:themeElements>
    <a:clrScheme name="R&amp;C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2E3E80"/>
      </a:accent1>
      <a:accent2>
        <a:srgbClr val="5FA1AD"/>
      </a:accent2>
      <a:accent3>
        <a:srgbClr val="B55B6A"/>
      </a:accent3>
      <a:accent4>
        <a:srgbClr val="ACBFB7"/>
      </a:accent4>
      <a:accent5>
        <a:srgbClr val="266DA0"/>
      </a:accent5>
      <a:accent6>
        <a:srgbClr val="CCA7A7"/>
      </a:accent6>
      <a:hlink>
        <a:srgbClr val="0563C1"/>
      </a:hlink>
      <a:folHlink>
        <a:srgbClr val="954F72"/>
      </a:folHlink>
    </a:clrScheme>
    <a:fontScheme name="R&amp;CO">
      <a:majorFont>
        <a:latin typeface="Source Sans Pro"/>
        <a:ea typeface=""/>
        <a:cs typeface=""/>
      </a:majorFont>
      <a:minorFont>
        <a:latin typeface="Source Sans Pro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383B9-4884-48B7-9F63-05FB2436623C}">
  <dimension ref="A1:AW507"/>
  <sheetViews>
    <sheetView showGridLines="0" tabSelected="1" zoomScale="80" zoomScaleNormal="80" workbookViewId="0">
      <pane ySplit="1" topLeftCell="A2" activePane="bottomLeft" state="frozen"/>
      <selection pane="bottomLeft" activeCell="N2" sqref="N2"/>
    </sheetView>
  </sheetViews>
  <sheetFormatPr defaultRowHeight="15" x14ac:dyDescent="0.25"/>
  <cols>
    <col min="1" max="1" width="31.5703125" customWidth="1"/>
    <col min="2" max="2" width="11.28515625" customWidth="1"/>
    <col min="3" max="3" width="11.140625" customWidth="1"/>
    <col min="4" max="4" width="14.140625" customWidth="1"/>
    <col min="5" max="5" width="20.42578125" customWidth="1"/>
    <col min="6" max="6" width="8.5703125" customWidth="1"/>
    <col min="7" max="7" width="24.28515625" bestFit="1" customWidth="1"/>
    <col min="8" max="13" width="24.28515625" customWidth="1"/>
    <col min="14" max="14" width="29.28515625" bestFit="1" customWidth="1"/>
    <col min="15" max="19" width="24.28515625" customWidth="1"/>
    <col min="20" max="20" width="19.5703125" customWidth="1"/>
    <col min="21" max="22" width="17.85546875" customWidth="1"/>
    <col min="23" max="23" width="19.5703125" customWidth="1"/>
    <col min="24" max="24" width="20.7109375" bestFit="1" customWidth="1"/>
    <col min="25" max="25" width="29.42578125" bestFit="1" customWidth="1"/>
    <col min="26" max="27" width="20.7109375" customWidth="1"/>
    <col min="28" max="29" width="24.28515625" customWidth="1"/>
    <col min="30" max="31" width="17.85546875" customWidth="1"/>
    <col min="32" max="32" width="24.28515625" customWidth="1"/>
    <col min="33" max="33" width="25.7109375" bestFit="1" customWidth="1"/>
    <col min="34" max="35" width="17.85546875" customWidth="1"/>
    <col min="36" max="37" width="24.28515625" customWidth="1"/>
    <col min="38" max="39" width="17.85546875" customWidth="1"/>
    <col min="40" max="41" width="24.28515625" customWidth="1"/>
    <col min="42" max="42" width="17.85546875" customWidth="1"/>
    <col min="43" max="43" width="15" bestFit="1" customWidth="1"/>
    <col min="45" max="45" width="21.5703125" bestFit="1" customWidth="1"/>
    <col min="46" max="46" width="28.28515625" bestFit="1" customWidth="1"/>
    <col min="47" max="47" width="25.85546875" bestFit="1" customWidth="1"/>
    <col min="48" max="48" width="7.42578125" bestFit="1" customWidth="1"/>
    <col min="49" max="49" width="20.28515625" bestFit="1" customWidth="1"/>
    <col min="50" max="205" width="7.42578125" bestFit="1" customWidth="1"/>
    <col min="206" max="481" width="8.5703125" bestFit="1" customWidth="1"/>
    <col min="482" max="531" width="10.42578125" bestFit="1" customWidth="1"/>
    <col min="532" max="538" width="11.5703125" bestFit="1" customWidth="1"/>
    <col min="539" max="539" width="12.42578125" bestFit="1" customWidth="1"/>
  </cols>
  <sheetData>
    <row r="1" spans="1:49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9" x14ac:dyDescent="0.25">
      <c r="A2" t="s">
        <v>43</v>
      </c>
      <c r="B2">
        <v>823</v>
      </c>
      <c r="C2" t="s">
        <v>44</v>
      </c>
      <c r="D2" t="s">
        <v>45</v>
      </c>
      <c r="E2" t="s">
        <v>46</v>
      </c>
      <c r="F2" s="5">
        <v>1</v>
      </c>
      <c r="G2" s="5">
        <v>53469000</v>
      </c>
      <c r="H2" s="6">
        <f>Table1[[#This Row],[2024 U.S. Sales ($000)]]/SUMIF($E:$E, E2, $G:$G)</f>
        <v>0.48494586775539156</v>
      </c>
      <c r="I2" s="5">
        <v>13557</v>
      </c>
      <c r="J2" s="7">
        <f>Table1[[#This Row],[2024 U.S. Sales ($000)]]/Table1[[#This Row],[2024 U.S. Units]]</f>
        <v>3944.0141624253151</v>
      </c>
      <c r="K2" s="6">
        <f>Table1[[#This Row],[2024 U.S. Units]]/Table1[[#This Row],[2023 U.S. Units]]-1</f>
        <v>7.4310767630230146E-3</v>
      </c>
      <c r="L2" s="8">
        <f>(Table1[[#This Row],[2024 Market share (%)]]-Table1[[#This Row],[2023 Market share (%)]])*10000</f>
        <v>-3.7213929810153701</v>
      </c>
      <c r="M2" s="6">
        <f>_xlfn.RRI(5,Table1[[#This Row],[2019 U.S. Sales ($000)]],Table1[[#This Row],[2024 U.S. Sales ($000)]])</f>
        <v>5.7588790373044096E-2</v>
      </c>
      <c r="N2" s="9">
        <f>(Table1[[#This Row],[2024 Market share (%)]]-Table1[[#This Row],[2019 Market share (%)]])*10000</f>
        <v>177.9244301899885</v>
      </c>
      <c r="O2" s="6">
        <f>IF(Table1[[#This Row],[2024 AUV]]=0,"",_xlfn.RRI(5,Table1[[#This Row],[2019 AUV]],Table1[[#This Row],[2024 AUV]]))</f>
        <v>6.2059835565590582E-2</v>
      </c>
      <c r="P2" s="6">
        <f>_xlfn.RRI(5,Table1[[#This Row],[2019 U.S. Units]],Table1[[#This Row],[2024 U.S. Units]])</f>
        <v>-4.2097865325689821E-3</v>
      </c>
      <c r="Q2" s="5">
        <v>53134100</v>
      </c>
      <c r="R2" s="6">
        <f>Table1[[#This Row],[2023 U.S. Sales ($000)]]/SUMIF($E:$E, E2, $Q:$Q)</f>
        <v>0.48531800705349309</v>
      </c>
      <c r="S2" s="8">
        <f>(Table1[[#This Row],[2023 Market share (%)]]-Table1[[#This Row],[2022 Market share (%)]])*10000</f>
        <v>83.296125424291432</v>
      </c>
      <c r="T2" s="10">
        <v>9.0283620127138642E-2</v>
      </c>
      <c r="U2" s="5">
        <v>13457</v>
      </c>
      <c r="V2" s="5">
        <f t="shared" ref="V2:V65" si="0">Q2/U2</f>
        <v>3948.4357583413835</v>
      </c>
      <c r="W2" s="10">
        <v>9.6697411484677174E-4</v>
      </c>
      <c r="X2" s="10">
        <f t="shared" ref="X2:X65" si="1">_xlfn.RRI(4,AN2,Q2)</f>
        <v>7.0813568201784749E-2</v>
      </c>
      <c r="Y2" s="8">
        <f>(Table1[[#This Row],[2023 Market share (%)]]-Table1[[#This Row],[2019 Market share (%)]])*10000</f>
        <v>181.64582317100385</v>
      </c>
      <c r="Z2" s="10">
        <f t="shared" ref="Z2:Z65" si="2">_xlfn.RRI(4,AQ2,V2)</f>
        <v>7.8469541648284569E-2</v>
      </c>
      <c r="AA2" s="10">
        <f t="shared" ref="AA2:AA65" si="3">_xlfn.RRI(4,AP2,U2)</f>
        <v>-7.0989241242720436E-3</v>
      </c>
      <c r="AB2" s="5">
        <v>48734200</v>
      </c>
      <c r="AC2" s="6">
        <f>Table1[[#This Row],[2022 U.S. Sales ($000)]]/SUMIF($E:$E, E2, $AB:$AB)</f>
        <v>0.47698839451106395</v>
      </c>
      <c r="AD2" s="5">
        <v>13444</v>
      </c>
      <c r="AE2" s="11">
        <f t="shared" ref="AE2:AE65" si="4">AB2/AD2</f>
        <v>3624.9776852127343</v>
      </c>
      <c r="AF2" s="5">
        <v>45960500</v>
      </c>
      <c r="AG2" s="6">
        <f>Table1[[#This Row],[2021 U.S. Sales ($000)]]/SUMIF($E:$E, E2, $AF:$AF)</f>
        <v>0.4723919121299755</v>
      </c>
      <c r="AH2" s="5">
        <v>13438</v>
      </c>
      <c r="AI2" s="11">
        <f t="shared" ref="AI2:AI65" si="5">AF2/AH2</f>
        <v>3420.1890162226523</v>
      </c>
      <c r="AJ2" s="5">
        <v>40517000</v>
      </c>
      <c r="AK2" s="6">
        <f>Table1[[#This Row],[2020 U.S. Sales ($000)]]/SUMIF($E:$E, E2, $AJ:$AJ)</f>
        <v>0.46366953981110021</v>
      </c>
      <c r="AL2" s="5">
        <v>13682</v>
      </c>
      <c r="AM2" s="5">
        <f t="shared" ref="AM2:AM65" si="6">AJ2/AL2</f>
        <v>2961.3360619792429</v>
      </c>
      <c r="AN2" s="5">
        <v>40412700</v>
      </c>
      <c r="AO2" s="6">
        <f>Table1[[#This Row],[2019 U.S. Sales ($000)]]/SUMIF($E:$E, E2, $AN:$AN)</f>
        <v>0.46715342473639271</v>
      </c>
      <c r="AP2" s="5">
        <v>13846</v>
      </c>
      <c r="AQ2" s="5">
        <f t="shared" ref="AQ2:AQ65" si="7">AN2/AP2</f>
        <v>2918.7274303047811</v>
      </c>
    </row>
    <row r="3" spans="1:49" x14ac:dyDescent="0.25">
      <c r="A3" t="s">
        <v>47</v>
      </c>
      <c r="B3">
        <v>846</v>
      </c>
      <c r="C3" t="s">
        <v>44</v>
      </c>
      <c r="D3" t="s">
        <v>45</v>
      </c>
      <c r="E3" t="s">
        <v>48</v>
      </c>
      <c r="F3" s="5">
        <v>2</v>
      </c>
      <c r="G3" s="5">
        <v>31462000</v>
      </c>
      <c r="H3" s="6">
        <f>Table1[[#This Row],[2024 U.S. Sales ($000)]]/SUMIF($E:$E, E3, $G:$G)</f>
        <v>0.62262749674378204</v>
      </c>
      <c r="I3" s="5">
        <v>16941</v>
      </c>
      <c r="J3" s="5">
        <f>Table1[[#This Row],[2024 U.S. Sales ($000)]]/Table1[[#This Row],[2024 U.S. Units]]</f>
        <v>1857.1512897703797</v>
      </c>
      <c r="K3" s="6">
        <f>Table1[[#This Row],[2024 U.S. Units]]/Table1[[#This Row],[2023 U.S. Units]]-1</f>
        <v>3.6020058708414959E-2</v>
      </c>
      <c r="L3" s="8">
        <f>(Table1[[#This Row],[2024 Market share (%)]]-Table1[[#This Row],[2023 Market share (%)]])*10000</f>
        <v>-225.88303206274696</v>
      </c>
      <c r="M3" s="6">
        <f>_xlfn.RRI(5,Table1[[#This Row],[2019 U.S. Sales ($000)]],Table1[[#This Row],[2024 U.S. Sales ($000)]])</f>
        <v>7.1582724892409466E-2</v>
      </c>
      <c r="N3" s="9">
        <f>(Table1[[#This Row],[2024 Market share (%)]]-Table1[[#This Row],[2019 Market share (%)]])*10000</f>
        <v>-138.27881150955457</v>
      </c>
      <c r="O3" s="6">
        <f>IF(Table1[[#This Row],[2024 AUV]]=0,"",_xlfn.RRI(5,Table1[[#This Row],[2019 AUV]],Table1[[#This Row],[2024 AUV]]))</f>
        <v>4.6500460134845545E-2</v>
      </c>
      <c r="P3" s="6">
        <f>_xlfn.RRI(5,Table1[[#This Row],[2019 U.S. Units]],Table1[[#This Row],[2024 U.S. Units]])</f>
        <v>2.3967753205127007E-2</v>
      </c>
      <c r="Q3" s="5">
        <v>31630800</v>
      </c>
      <c r="R3" s="6">
        <f>Table1[[#This Row],[2023 U.S. Sales ($000)]]/SUMIF($E:$E, E3, $Q:$Q)</f>
        <v>0.64521579995005673</v>
      </c>
      <c r="S3" s="8">
        <f>(Table1[[#This Row],[2023 Market share (%)]]-Table1[[#This Row],[2022 Market share (%)]])*10000</f>
        <v>60.303138445515494</v>
      </c>
      <c r="T3" s="10">
        <v>0.12465066666666667</v>
      </c>
      <c r="U3" s="5">
        <v>16352</v>
      </c>
      <c r="V3" s="5">
        <f t="shared" si="0"/>
        <v>1934.3688845401175</v>
      </c>
      <c r="W3" s="10">
        <v>2.9852626275349542E-2</v>
      </c>
      <c r="X3" s="10">
        <f t="shared" si="1"/>
        <v>9.1724588730091483E-2</v>
      </c>
      <c r="Y3" s="8">
        <f>(Table1[[#This Row],[2023 Market share (%)]]-Table1[[#This Row],[2019 Market share (%)]])*10000</f>
        <v>87.604220553192391</v>
      </c>
      <c r="Z3" s="10">
        <f t="shared" si="2"/>
        <v>6.9294376625558041E-2</v>
      </c>
      <c r="AA3" s="10">
        <f t="shared" si="3"/>
        <v>2.0976648334500636E-2</v>
      </c>
      <c r="AB3" s="5">
        <v>28125000</v>
      </c>
      <c r="AC3" s="6">
        <f>Table1[[#This Row],[2022 U.S. Sales ($000)]]/SUMIF($E:$E, E3, $AB:$AB)</f>
        <v>0.63918548610550519</v>
      </c>
      <c r="AD3" s="5">
        <v>15878</v>
      </c>
      <c r="AE3" s="5">
        <f t="shared" si="4"/>
        <v>1771.318805894949</v>
      </c>
      <c r="AF3" s="5">
        <v>24556400</v>
      </c>
      <c r="AG3" s="6">
        <f>Table1[[#This Row],[2021 U.S. Sales ($000)]]/SUMIF($E:$E, E3, $AF:$AF)</f>
        <v>0.63273238049003189</v>
      </c>
      <c r="AH3" s="5">
        <v>15450</v>
      </c>
      <c r="AI3" s="12">
        <f t="shared" si="5"/>
        <v>1589.411003236246</v>
      </c>
      <c r="AJ3" s="5">
        <v>19110500</v>
      </c>
      <c r="AK3" s="6">
        <f>Table1[[#This Row],[2020 U.S. Sales ($000)]]/SUMIF($E:$E, E3, $AJ:$AJ)</f>
        <v>0.61629786241179652</v>
      </c>
      <c r="AL3" s="5">
        <v>15337</v>
      </c>
      <c r="AM3" s="5">
        <f t="shared" si="6"/>
        <v>1246.0389906761427</v>
      </c>
      <c r="AN3" s="5">
        <v>22266800</v>
      </c>
      <c r="AO3" s="6">
        <f>Table1[[#This Row],[2019 U.S. Sales ($000)]]/SUMIF($E:$E, E3, $AN:$AN)</f>
        <v>0.6364553778947375</v>
      </c>
      <c r="AP3" s="5">
        <v>15049</v>
      </c>
      <c r="AQ3" s="5">
        <f t="shared" si="7"/>
        <v>1479.6199082995547</v>
      </c>
    </row>
    <row r="4" spans="1:49" x14ac:dyDescent="0.25">
      <c r="A4" t="s">
        <v>49</v>
      </c>
      <c r="B4">
        <v>799</v>
      </c>
      <c r="C4" t="s">
        <v>44</v>
      </c>
      <c r="D4" t="s">
        <v>45</v>
      </c>
      <c r="E4" t="s">
        <v>50</v>
      </c>
      <c r="F4" s="5">
        <v>3</v>
      </c>
      <c r="G4" s="5">
        <v>22746000</v>
      </c>
      <c r="H4" s="6">
        <f>Table1[[#This Row],[2024 U.S. Sales ($000)]]/SUMIF($E:$E, E4, $G:$G)</f>
        <v>0.43304268362334841</v>
      </c>
      <c r="I4" s="5">
        <v>3109</v>
      </c>
      <c r="J4" s="5">
        <f>Table1[[#This Row],[2024 U.S. Sales ($000)]]/Table1[[#This Row],[2024 U.S. Units]]</f>
        <v>7316.1788356384686</v>
      </c>
      <c r="K4" s="6">
        <f>Table1[[#This Row],[2024 U.S. Units]]/Table1[[#This Row],[2023 U.S. Units]]-1</f>
        <v>4.8920377867746279E-2</v>
      </c>
      <c r="L4" s="8">
        <f>(Table1[[#This Row],[2024 Market share (%)]]-Table1[[#This Row],[2023 Market share (%)]])*10000</f>
        <v>-76.383108727509637</v>
      </c>
      <c r="M4" s="6">
        <f>_xlfn.RRI(5,Table1[[#This Row],[2019 U.S. Sales ($000)]],Table1[[#This Row],[2024 U.S. Sales ($000)]])</f>
        <v>0.13344259099806322</v>
      </c>
      <c r="N4" s="9">
        <f>(Table1[[#This Row],[2024 Market share (%)]]-Table1[[#This Row],[2019 Market share (%)]])*10000</f>
        <v>369.70826254555669</v>
      </c>
      <c r="O4" s="6">
        <f>IF(Table1[[#This Row],[2024 AUV]]=0,"",_xlfn.RRI(5,Table1[[#This Row],[2019 AUV]],Table1[[#This Row],[2024 AUV]]))</f>
        <v>8.4475735166816834E-2</v>
      </c>
      <c r="P4" s="6">
        <f>_xlfn.RRI(5,Table1[[#This Row],[2019 U.S. Units]],Table1[[#This Row],[2024 U.S. Units]])</f>
        <v>4.5152560120410579E-2</v>
      </c>
      <c r="Q4" s="5">
        <v>21585752</v>
      </c>
      <c r="R4" s="6">
        <f>Table1[[#This Row],[2023 U.S. Sales ($000)]]/SUMIF($E:$E, E4, $Q:$Q)</f>
        <v>0.44068099449609938</v>
      </c>
      <c r="S4" s="8">
        <f>(Table1[[#This Row],[2023 Market share (%)]]-Table1[[#This Row],[2022 Market share (%)]])*10000</f>
        <v>94.810629232745526</v>
      </c>
      <c r="T4" s="10">
        <v>0.14732244415123527</v>
      </c>
      <c r="U4" s="5">
        <v>2964</v>
      </c>
      <c r="V4" s="5">
        <f t="shared" si="0"/>
        <v>7282.6423751686907</v>
      </c>
      <c r="W4" s="10">
        <v>5.6307911617961511E-2</v>
      </c>
      <c r="X4" s="10">
        <f t="shared" si="1"/>
        <v>0.15429003662704721</v>
      </c>
      <c r="Y4" s="8">
        <f>(Table1[[#This Row],[2023 Market share (%)]]-Table1[[#This Row],[2019 Market share (%)]])*10000</f>
        <v>446.09137127306633</v>
      </c>
      <c r="Z4" s="10">
        <f t="shared" si="2"/>
        <v>0.10541656115300602</v>
      </c>
      <c r="AA4" s="10">
        <f t="shared" si="3"/>
        <v>4.4212722327104936E-2</v>
      </c>
      <c r="AB4" s="5">
        <v>18814024</v>
      </c>
      <c r="AC4" s="6">
        <f>Table1[[#This Row],[2022 U.S. Sales ($000)]]/SUMIF($E:$E, E4, $AB:$AB)</f>
        <v>0.43119993157282482</v>
      </c>
      <c r="AD4" s="5">
        <v>2806</v>
      </c>
      <c r="AE4" s="5">
        <f t="shared" si="4"/>
        <v>6704.9265858873841</v>
      </c>
      <c r="AF4" s="5">
        <v>16673679</v>
      </c>
      <c r="AG4" s="6">
        <f>Table1[[#This Row],[2021 U.S. Sales ($000)]]/SUMIF($E:$E, E4, $AF:$AF)</f>
        <v>0.42410620389482684</v>
      </c>
      <c r="AH4" s="5">
        <v>2704</v>
      </c>
      <c r="AI4" s="12">
        <f t="shared" si="5"/>
        <v>6166.3014053254437</v>
      </c>
      <c r="AJ4" s="5">
        <v>13703568</v>
      </c>
      <c r="AK4" s="6">
        <f>Table1[[#This Row],[2020 U.S. Sales ($000)]]/SUMIF($E:$E, E4, $AJ:$AJ)</f>
        <v>0.40519938292078661</v>
      </c>
      <c r="AL4" s="5">
        <v>2598</v>
      </c>
      <c r="AM4" s="5">
        <f t="shared" si="6"/>
        <v>5274.6605080831405</v>
      </c>
      <c r="AN4" s="5">
        <v>12159267</v>
      </c>
      <c r="AO4" s="6">
        <f>Table1[[#This Row],[2019 U.S. Sales ($000)]]/SUMIF($E:$E, E4, $AN:$AN)</f>
        <v>0.39607185736879275</v>
      </c>
      <c r="AP4" s="5">
        <v>2493</v>
      </c>
      <c r="AQ4" s="5">
        <f t="shared" si="7"/>
        <v>4877.3634175691941</v>
      </c>
    </row>
    <row r="5" spans="1:49" x14ac:dyDescent="0.25">
      <c r="A5" t="s">
        <v>51</v>
      </c>
      <c r="B5">
        <v>326</v>
      </c>
      <c r="C5" t="s">
        <v>44</v>
      </c>
      <c r="D5" t="s">
        <v>45</v>
      </c>
      <c r="E5" t="s">
        <v>52</v>
      </c>
      <c r="F5" s="5">
        <v>4</v>
      </c>
      <c r="G5" s="5">
        <v>16197000</v>
      </c>
      <c r="H5" s="6">
        <f>Table1[[#This Row],[2024 U.S. Sales ($000)]]/SUMIF($E:$E, E5, $G:$G)</f>
        <v>0.48107995722941665</v>
      </c>
      <c r="I5" s="5">
        <v>7604</v>
      </c>
      <c r="J5" s="5">
        <f>Table1[[#This Row],[2024 U.S. Sales ($000)]]/Table1[[#This Row],[2024 U.S. Units]]</f>
        <v>2130.0631246712255</v>
      </c>
      <c r="K5" s="6">
        <f>Table1[[#This Row],[2024 U.S. Units]]/Table1[[#This Row],[2023 U.S. Units]]-1</f>
        <v>2.6873733963538093E-2</v>
      </c>
      <c r="L5" s="8">
        <f>(Table1[[#This Row],[2024 Market share (%)]]-Table1[[#This Row],[2023 Market share (%)]])*10000</f>
        <v>283.59396789166766</v>
      </c>
      <c r="M5" s="6">
        <f>_xlfn.RRI(5,Table1[[#This Row],[2019 U.S. Sales ($000)]],Table1[[#This Row],[2024 U.S. Sales ($000)]])</f>
        <v>7.4793548288756506E-2</v>
      </c>
      <c r="N5" s="9">
        <f>(Table1[[#This Row],[2024 Market share (%)]]-Table1[[#This Row],[2019 Market share (%)]])*10000</f>
        <v>152.50927579376238</v>
      </c>
      <c r="O5" s="6">
        <f>IF(Table1[[#This Row],[2024 AUV]]=0,"",_xlfn.RRI(5,Table1[[#This Row],[2019 AUV]],Table1[[#This Row],[2024 AUV]]))</f>
        <v>4.998483811952803E-2</v>
      </c>
      <c r="P5" s="6">
        <f>_xlfn.RRI(5,Table1[[#This Row],[2019 U.S. Units]],Table1[[#This Row],[2024 U.S. Units]])</f>
        <v>2.3627684199382992E-2</v>
      </c>
      <c r="Q5" s="5">
        <v>14980000</v>
      </c>
      <c r="R5" s="6">
        <f>Table1[[#This Row],[2023 U.S. Sales ($000)]]/SUMIF($E:$E, E5, $Q:$Q)</f>
        <v>0.45272056044024989</v>
      </c>
      <c r="S5" s="8">
        <f>(Table1[[#This Row],[2023 Market share (%)]]-Table1[[#This Row],[2022 Market share (%)]])*10000</f>
        <v>-45.490474043439754</v>
      </c>
      <c r="T5" s="10">
        <v>8.1588447653429597E-2</v>
      </c>
      <c r="U5" s="5">
        <v>7405</v>
      </c>
      <c r="V5" s="5">
        <f t="shared" si="0"/>
        <v>2022.9574611748819</v>
      </c>
      <c r="W5" s="10">
        <v>2.8757988330091692E-2</v>
      </c>
      <c r="X5" s="10">
        <f t="shared" si="1"/>
        <v>7.3187538897682369E-2</v>
      </c>
      <c r="Y5" s="8">
        <f>(Table1[[#This Row],[2023 Market share (%)]]-Table1[[#This Row],[2019 Market share (%)]])*10000</f>
        <v>-131.0846920979053</v>
      </c>
      <c r="Z5" s="10">
        <f t="shared" si="2"/>
        <v>4.9246076615022449E-2</v>
      </c>
      <c r="AA5" s="10">
        <f t="shared" si="3"/>
        <v>2.2817776321735206E-2</v>
      </c>
      <c r="AB5" s="5">
        <v>13850000</v>
      </c>
      <c r="AC5" s="6">
        <f>Table1[[#This Row],[2022 U.S. Sales ($000)]]/SUMIF($E:$E, E5, $AB:$AB)</f>
        <v>0.45726960784459386</v>
      </c>
      <c r="AD5" s="5">
        <v>7198</v>
      </c>
      <c r="AE5" s="5">
        <f t="shared" si="4"/>
        <v>1924.1455959988887</v>
      </c>
      <c r="AF5" s="5">
        <v>12615000</v>
      </c>
      <c r="AG5" s="6">
        <f>Table1[[#This Row],[2021 U.S. Sales ($000)]]/SUMIF($E:$E, E5, $AF:$AF)</f>
        <v>0.46024598405735639</v>
      </c>
      <c r="AH5" s="5">
        <v>7002</v>
      </c>
      <c r="AI5" s="12">
        <f t="shared" si="5"/>
        <v>1801.6281062553555</v>
      </c>
      <c r="AJ5" s="5">
        <v>11294000</v>
      </c>
      <c r="AK5" s="6">
        <f>Table1[[#This Row],[2020 U.S. Sales ($000)]]/SUMIF($E:$E, E5, $AJ:$AJ)</f>
        <v>0.47913515722306432</v>
      </c>
      <c r="AL5" s="5">
        <v>6799</v>
      </c>
      <c r="AM5" s="5">
        <f t="shared" si="6"/>
        <v>1661.1266362700396</v>
      </c>
      <c r="AN5" s="5">
        <v>11293000</v>
      </c>
      <c r="AO5" s="6">
        <f>Table1[[#This Row],[2019 U.S. Sales ($000)]]/SUMIF($E:$E, E5, $AN:$AN)</f>
        <v>0.46582902965004042</v>
      </c>
      <c r="AP5" s="5">
        <v>6766</v>
      </c>
      <c r="AQ5" s="5">
        <f t="shared" si="7"/>
        <v>1669.0806976056754</v>
      </c>
      <c r="AV5" s="8"/>
      <c r="AW5" s="8"/>
    </row>
    <row r="6" spans="1:49" x14ac:dyDescent="0.25">
      <c r="A6" t="s">
        <v>53</v>
      </c>
      <c r="B6">
        <v>550</v>
      </c>
      <c r="C6" t="s">
        <v>44</v>
      </c>
      <c r="D6" t="s">
        <v>45</v>
      </c>
      <c r="E6" t="s">
        <v>46</v>
      </c>
      <c r="F6" s="5">
        <v>5</v>
      </c>
      <c r="G6" s="5">
        <v>12554000</v>
      </c>
      <c r="H6" s="6">
        <f>Table1[[#This Row],[2024 U.S. Sales ($000)]]/SUMIF($E:$E, E6, $G:$G)</f>
        <v>0.11386056264005659</v>
      </c>
      <c r="I6" s="5">
        <v>5933</v>
      </c>
      <c r="J6" s="7">
        <f>Table1[[#This Row],[2024 U.S. Sales ($000)]]/Table1[[#This Row],[2024 U.S. Units]]</f>
        <v>2115.9615708747683</v>
      </c>
      <c r="K6" s="6">
        <f>Table1[[#This Row],[2024 U.S. Units]]/Table1[[#This Row],[2023 U.S. Units]]-1</f>
        <v>-1.6086235489220613E-2</v>
      </c>
      <c r="L6" s="8">
        <f>(Table1[[#This Row],[2024 Market share (%)]]-Table1[[#This Row],[2023 Market share (%)]])*10000</f>
        <v>16.486815306696045</v>
      </c>
      <c r="M6" s="6">
        <f>_xlfn.RRI(5,Table1[[#This Row],[2019 U.S. Sales ($000)]],Table1[[#This Row],[2024 U.S. Sales ($000)]])</f>
        <v>4.207804966268136E-2</v>
      </c>
      <c r="N6" s="9">
        <f>(Table1[[#This Row],[2024 Market share (%)]]-Table1[[#This Row],[2019 Market share (%)]])*10000</f>
        <v>-42.320020019244595</v>
      </c>
      <c r="O6" s="6">
        <f>IF(Table1[[#This Row],[2024 AUV]]=0,"",_xlfn.RRI(5,Table1[[#This Row],[2019 AUV]],Table1[[#This Row],[2024 AUV]]))</f>
        <v>3.921699836983672E-2</v>
      </c>
      <c r="P6" s="6">
        <f>_xlfn.RRI(5,Table1[[#This Row],[2019 U.S. Units]],Table1[[#This Row],[2024 U.S. Units]])</f>
        <v>2.7530836171199002E-3</v>
      </c>
      <c r="Q6" s="5">
        <v>12285300</v>
      </c>
      <c r="R6" s="6">
        <f>Table1[[#This Row],[2023 U.S. Sales ($000)]]/SUMIF($E:$E, E6, $Q:$Q)</f>
        <v>0.11221188110938699</v>
      </c>
      <c r="S6" s="8">
        <f>(Table1[[#This Row],[2023 Market share (%)]]-Table1[[#This Row],[2022 Market share (%)]])*10000</f>
        <v>-22.476376837846786</v>
      </c>
      <c r="T6" s="10">
        <v>5.0528458065398824E-2</v>
      </c>
      <c r="U6" s="5">
        <v>6030</v>
      </c>
      <c r="V6" s="5">
        <f t="shared" si="0"/>
        <v>2037.363184079602</v>
      </c>
      <c r="W6" s="10">
        <v>6.006006006006006E-3</v>
      </c>
      <c r="X6" s="10">
        <f t="shared" si="1"/>
        <v>4.7191770222351881E-2</v>
      </c>
      <c r="Y6" s="8">
        <f>(Table1[[#This Row],[2023 Market share (%)]]-Table1[[#This Row],[2019 Market share (%)]])*10000</f>
        <v>-58.806835325940639</v>
      </c>
      <c r="Z6" s="10">
        <f t="shared" si="2"/>
        <v>3.9376687823652334E-2</v>
      </c>
      <c r="AA6" s="10">
        <f t="shared" si="3"/>
        <v>7.5190087388465887E-3</v>
      </c>
      <c r="AB6" s="5">
        <v>11694400</v>
      </c>
      <c r="AC6" s="6">
        <f>Table1[[#This Row],[2022 U.S. Sales ($000)]]/SUMIF($E:$E, E6, $AB:$AB)</f>
        <v>0.11445951879317166</v>
      </c>
      <c r="AD6" s="5">
        <v>5994</v>
      </c>
      <c r="AE6" s="5">
        <f t="shared" si="4"/>
        <v>1951.0176843510176</v>
      </c>
      <c r="AF6" s="5">
        <v>11110700</v>
      </c>
      <c r="AG6" s="6">
        <f>Table1[[#This Row],[2021 U.S. Sales ($000)]]/SUMIF($E:$E, E6, $AF:$AF)</f>
        <v>0.11419816621017001</v>
      </c>
      <c r="AH6" s="5">
        <v>5938</v>
      </c>
      <c r="AI6" s="12">
        <f t="shared" si="5"/>
        <v>1871.1182216234422</v>
      </c>
      <c r="AJ6" s="5">
        <v>10231300</v>
      </c>
      <c r="AK6" s="6">
        <f>Table1[[#This Row],[2020 U.S. Sales ($000)]]/SUMIF($E:$E, E6, $AJ:$AJ)</f>
        <v>0.1170852275012787</v>
      </c>
      <c r="AL6" s="5">
        <v>5881</v>
      </c>
      <c r="AM6" s="5">
        <f t="shared" si="6"/>
        <v>1739.7211358612481</v>
      </c>
      <c r="AN6" s="5">
        <v>10216000</v>
      </c>
      <c r="AO6" s="6">
        <f>Table1[[#This Row],[2019 U.S. Sales ($000)]]/SUMIF($E:$E, E6, $AN:$AN)</f>
        <v>0.11809256464198105</v>
      </c>
      <c r="AP6" s="5">
        <v>5852</v>
      </c>
      <c r="AQ6" s="5">
        <f t="shared" si="7"/>
        <v>1745.7279562542719</v>
      </c>
      <c r="AV6" s="8"/>
      <c r="AW6" s="8"/>
    </row>
    <row r="7" spans="1:49" x14ac:dyDescent="0.25">
      <c r="A7" t="s">
        <v>54</v>
      </c>
      <c r="B7">
        <v>429</v>
      </c>
      <c r="C7" t="s">
        <v>44</v>
      </c>
      <c r="D7" t="s">
        <v>45</v>
      </c>
      <c r="E7" t="s">
        <v>48</v>
      </c>
      <c r="F7" s="5">
        <v>6</v>
      </c>
      <c r="G7" s="5">
        <v>12468000</v>
      </c>
      <c r="H7" s="6">
        <f>Table1[[#This Row],[2024 U.S. Sales ($000)]]/SUMIF($E:$E, E7, $G:$G)</f>
        <v>0.24673954705363532</v>
      </c>
      <c r="I7" s="5">
        <v>9768</v>
      </c>
      <c r="J7" s="5">
        <f>Table1[[#This Row],[2024 U.S. Sales ($000)]]/Table1[[#This Row],[2024 U.S. Units]]</f>
        <v>1276.4127764127763</v>
      </c>
      <c r="K7" s="6">
        <f>Table1[[#This Row],[2024 U.S. Units]]/Table1[[#This Row],[2023 U.S. Units]]-1</f>
        <v>1.9624217118997977E-2</v>
      </c>
      <c r="L7" s="8">
        <f>(Table1[[#This Row],[2024 Market share (%)]]-Table1[[#This Row],[2023 Market share (%)]])*10000</f>
        <v>36.252003669641489</v>
      </c>
      <c r="M7" s="6">
        <f>_xlfn.RRI(5,Table1[[#This Row],[2019 U.S. Sales ($000)]],Table1[[#This Row],[2024 U.S. Sales ($000)]])</f>
        <v>6.2021075820265725E-2</v>
      </c>
      <c r="N7" s="9">
        <f>(Table1[[#This Row],[2024 Market share (%)]]-Table1[[#This Row],[2019 Market share (%)]])*10000</f>
        <v>-170.40091462073471</v>
      </c>
      <c r="O7" s="6">
        <f>IF(Table1[[#This Row],[2024 AUV]]=0,"",_xlfn.RRI(5,Table1[[#This Row],[2019 AUV]],Table1[[#This Row],[2024 AUV]]))</f>
        <v>5.9003176167129023E-2</v>
      </c>
      <c r="P7" s="6">
        <f>_xlfn.RRI(5,Table1[[#This Row],[2019 U.S. Units]],Table1[[#This Row],[2024 U.S. Units]])</f>
        <v>2.8497550536719096E-3</v>
      </c>
      <c r="Q7" s="5">
        <v>11918340</v>
      </c>
      <c r="R7" s="6">
        <f>Table1[[#This Row],[2023 U.S. Sales ($000)]]/SUMIF($E:$E, E7, $Q:$Q)</f>
        <v>0.24311434668667117</v>
      </c>
      <c r="S7" s="8">
        <f>(Table1[[#This Row],[2023 Market share (%)]]-Table1[[#This Row],[2022 Market share (%)]])*10000</f>
        <v>-132.15805468791837</v>
      </c>
      <c r="T7" s="10">
        <v>5.6696938335007704E-2</v>
      </c>
      <c r="U7" s="5">
        <v>9580</v>
      </c>
      <c r="V7" s="5">
        <f t="shared" si="0"/>
        <v>1244.0855949895615</v>
      </c>
      <c r="W7" s="10">
        <v>2.2411953041622197E-2</v>
      </c>
      <c r="X7" s="10">
        <f t="shared" si="1"/>
        <v>6.6034263244281632E-2</v>
      </c>
      <c r="Y7" s="8">
        <f>(Table1[[#This Row],[2023 Market share (%)]]-Table1[[#This Row],[2019 Market share (%)]])*10000</f>
        <v>-206.65291829037619</v>
      </c>
      <c r="Z7" s="10">
        <f t="shared" si="2"/>
        <v>6.7422512393379375E-2</v>
      </c>
      <c r="AA7" s="10">
        <f t="shared" si="3"/>
        <v>-1.3005619920691824E-3</v>
      </c>
      <c r="AB7" s="5">
        <v>11278863</v>
      </c>
      <c r="AC7" s="6">
        <f>Table1[[#This Row],[2022 U.S. Sales ($000)]]/SUMIF($E:$E, E7, $AB:$AB)</f>
        <v>0.25633015215546301</v>
      </c>
      <c r="AD7" s="5">
        <v>9370</v>
      </c>
      <c r="AE7" s="5">
        <f t="shared" si="4"/>
        <v>1203.7207043756671</v>
      </c>
      <c r="AF7" s="5">
        <v>10415765</v>
      </c>
      <c r="AG7" s="6">
        <f>Table1[[#This Row],[2021 U.S. Sales ($000)]]/SUMIF($E:$E, E7, $AF:$AF)</f>
        <v>0.26837776641017236</v>
      </c>
      <c r="AH7" s="5">
        <v>9244</v>
      </c>
      <c r="AI7" s="12">
        <f t="shared" si="5"/>
        <v>1126.7595196884465</v>
      </c>
      <c r="AJ7" s="5">
        <v>8762000</v>
      </c>
      <c r="AK7" s="6">
        <f>Table1[[#This Row],[2020 U.S. Sales ($000)]]/SUMIF($E:$E, E7, $AJ:$AJ)</f>
        <v>0.2825672729887842</v>
      </c>
      <c r="AL7" s="5">
        <v>9083</v>
      </c>
      <c r="AM7" s="5">
        <f t="shared" si="6"/>
        <v>964.65925355058903</v>
      </c>
      <c r="AN7" s="5">
        <v>9228500</v>
      </c>
      <c r="AO7" s="6">
        <f>Table1[[#This Row],[2019 U.S. Sales ($000)]]/SUMIF($E:$E, E7, $AN:$AN)</f>
        <v>0.26377963851570879</v>
      </c>
      <c r="AP7" s="5">
        <v>9630</v>
      </c>
      <c r="AQ7" s="5">
        <f t="shared" si="7"/>
        <v>958.30737279335415</v>
      </c>
      <c r="AV7" s="8"/>
      <c r="AW7" s="8"/>
    </row>
    <row r="8" spans="1:49" x14ac:dyDescent="0.25">
      <c r="A8" t="s">
        <v>55</v>
      </c>
      <c r="B8">
        <v>1750</v>
      </c>
      <c r="C8" t="s">
        <v>44</v>
      </c>
      <c r="D8" t="s">
        <v>56</v>
      </c>
      <c r="E8" t="s">
        <v>52</v>
      </c>
      <c r="F8" s="5">
        <v>9</v>
      </c>
      <c r="G8" s="5">
        <v>11247000</v>
      </c>
      <c r="H8" s="6">
        <f>Table1[[#This Row],[2024 U.S. Sales ($000)]]/SUMIF($E:$E, E8, $G:$G)</f>
        <v>0.33405607698705003</v>
      </c>
      <c r="I8" s="5">
        <v>3644</v>
      </c>
      <c r="J8" s="5">
        <f>Table1[[#This Row],[2024 U.S. Sales ($000)]]/Table1[[#This Row],[2024 U.S. Units]]</f>
        <v>3086.4434687156972</v>
      </c>
      <c r="K8" s="6">
        <f>Table1[[#This Row],[2024 U.S. Units]]/Table1[[#This Row],[2023 U.S. Units]]-1</f>
        <v>8.0984870958172639E-2</v>
      </c>
      <c r="L8" s="8">
        <f>(Table1[[#This Row],[2024 Market share (%)]]-Table1[[#This Row],[2023 Market share (%)]])*10000</f>
        <v>377.59113575454251</v>
      </c>
      <c r="M8" s="6">
        <f>_xlfn.RRI(5,Table1[[#This Row],[2019 U.S. Sales ($000)]],Table1[[#This Row],[2024 U.S. Sales ($000)]])</f>
        <v>0.15126737517480704</v>
      </c>
      <c r="N8" s="9">
        <f>(Table1[[#This Row],[2024 Market share (%)]]-Table1[[#This Row],[2019 Market share (%)]])*10000</f>
        <v>1046.6689751933179</v>
      </c>
      <c r="O8" s="6">
        <f>IF(Table1[[#This Row],[2024 AUV]]=0,"",_xlfn.RRI(5,Table1[[#This Row],[2019 AUV]],Table1[[#This Row],[2024 AUV]]))</f>
        <v>7.4445682951358005E-2</v>
      </c>
      <c r="P8" s="6">
        <f>_xlfn.RRI(5,Table1[[#This Row],[2019 U.S. Units]],Table1[[#This Row],[2024 U.S. Units]])</f>
        <v>7.1498907243435772E-2</v>
      </c>
      <c r="Q8" s="5">
        <v>9804124</v>
      </c>
      <c r="R8" s="6">
        <f>Table1[[#This Row],[2023 U.S. Sales ($000)]]/SUMIF($E:$E, E8, $Q:$Q)</f>
        <v>0.29629696341159578</v>
      </c>
      <c r="S8" s="8">
        <f>(Table1[[#This Row],[2023 Market share (%)]]-Table1[[#This Row],[2022 Market share (%)]])*10000</f>
        <v>137.4723336079131</v>
      </c>
      <c r="T8" s="10">
        <v>0.1456091206345968</v>
      </c>
      <c r="U8" s="5">
        <v>3371</v>
      </c>
      <c r="V8" s="5">
        <f t="shared" si="0"/>
        <v>2908.3725897359832</v>
      </c>
      <c r="W8" s="10">
        <v>7.7341003515500162E-2</v>
      </c>
      <c r="X8" s="10">
        <f t="shared" si="1"/>
        <v>0.15229392494438376</v>
      </c>
      <c r="Y8" s="8">
        <f>(Table1[[#This Row],[2023 Market share (%)]]-Table1[[#This Row],[2019 Market share (%)]])*10000</f>
        <v>669.0778394387753</v>
      </c>
      <c r="Z8" s="10">
        <f t="shared" si="2"/>
        <v>7.7776005274939219E-2</v>
      </c>
      <c r="AA8" s="10">
        <f t="shared" si="3"/>
        <v>6.914045154534243E-2</v>
      </c>
      <c r="AB8" s="5">
        <v>8558001</v>
      </c>
      <c r="AC8" s="6">
        <f>Table1[[#This Row],[2022 U.S. Sales ($000)]]/SUMIF($E:$E, E8, $AB:$AB)</f>
        <v>0.28254973005080447</v>
      </c>
      <c r="AD8" s="5">
        <v>3129</v>
      </c>
      <c r="AE8" s="5">
        <f t="shared" si="4"/>
        <v>2735.0594439117931</v>
      </c>
      <c r="AF8" s="5">
        <v>7457169</v>
      </c>
      <c r="AG8" s="6">
        <f>Table1[[#This Row],[2021 U.S. Sales ($000)]]/SUMIF($E:$E, E8, $AF:$AF)</f>
        <v>0.27206754535767042</v>
      </c>
      <c r="AH8" s="5">
        <v>2918</v>
      </c>
      <c r="AI8" s="12">
        <f t="shared" si="5"/>
        <v>2555.5753941055518</v>
      </c>
      <c r="AJ8" s="5">
        <v>5920545</v>
      </c>
      <c r="AK8" s="6">
        <f>Table1[[#This Row],[2020 U.S. Sales ($000)]]/SUMIF($E:$E, E8, $AJ:$AJ)</f>
        <v>0.25117241539058149</v>
      </c>
      <c r="AL8" s="5">
        <v>2724</v>
      </c>
      <c r="AM8" s="5">
        <f t="shared" si="6"/>
        <v>2173.474669603524</v>
      </c>
      <c r="AN8" s="5">
        <v>5561036</v>
      </c>
      <c r="AO8" s="6">
        <f>Table1[[#This Row],[2019 U.S. Sales ($000)]]/SUMIF($E:$E, E8, $AN:$AN)</f>
        <v>0.22938917946771825</v>
      </c>
      <c r="AP8" s="5">
        <v>2580</v>
      </c>
      <c r="AQ8" s="5">
        <f t="shared" si="7"/>
        <v>2155.4403100775194</v>
      </c>
      <c r="AV8" s="8"/>
      <c r="AW8" s="8"/>
    </row>
    <row r="9" spans="1:49" x14ac:dyDescent="0.25">
      <c r="A9" t="s">
        <v>57</v>
      </c>
      <c r="B9">
        <v>232</v>
      </c>
      <c r="C9" t="s">
        <v>44</v>
      </c>
      <c r="D9" t="s">
        <v>45</v>
      </c>
      <c r="E9" t="s">
        <v>46</v>
      </c>
      <c r="F9" s="5">
        <v>7</v>
      </c>
      <c r="G9" s="5">
        <v>10980000</v>
      </c>
      <c r="H9" s="6">
        <f>Table1[[#This Row],[2024 U.S. Sales ($000)]]/SUMIF($E:$E, E9, $G:$G)</f>
        <v>9.958491140575286E-2</v>
      </c>
      <c r="I9" s="5">
        <v>6701</v>
      </c>
      <c r="J9" s="7">
        <f>Table1[[#This Row],[2024 U.S. Sales ($000)]]/Table1[[#This Row],[2024 U.S. Units]]</f>
        <v>1638.5614087449635</v>
      </c>
      <c r="K9" s="6">
        <f>Table1[[#This Row],[2024 U.S. Units]]/Table1[[#This Row],[2023 U.S. Units]]-1</f>
        <v>-1.1360283269400973E-2</v>
      </c>
      <c r="L9" s="8">
        <f>(Table1[[#This Row],[2024 Market share (%)]]-Table1[[#This Row],[2023 Market share (%)]])*10000</f>
        <v>-4.944990535402094</v>
      </c>
      <c r="M9" s="6">
        <f>_xlfn.RRI(5,Table1[[#This Row],[2019 U.S. Sales ($000)]],Table1[[#This Row],[2024 U.S. Sales ($000)]])</f>
        <v>1.4767099111303583E-2</v>
      </c>
      <c r="N9" s="9">
        <f>(Table1[[#This Row],[2024 Market share (%)]]-Table1[[#This Row],[2019 Market share (%)]])*10000</f>
        <v>-183.68938399138946</v>
      </c>
      <c r="O9" s="6">
        <f>IF(Table1[[#This Row],[2024 AUV]]=0,"",_xlfn.RRI(5,Table1[[#This Row],[2019 AUV]],Table1[[#This Row],[2024 AUV]]))</f>
        <v>3.3590810091833845E-2</v>
      </c>
      <c r="P9" s="6">
        <f>_xlfn.RRI(5,Table1[[#This Row],[2019 U.S. Units]],Table1[[#This Row],[2024 U.S. Units]])</f>
        <v>-1.8211956604817114E-2</v>
      </c>
      <c r="Q9" s="5">
        <v>10957000</v>
      </c>
      <c r="R9" s="6">
        <f>Table1[[#This Row],[2023 U.S. Sales ($000)]]/SUMIF($E:$E, E9, $Q:$Q)</f>
        <v>0.10007941045929307</v>
      </c>
      <c r="S9" s="8">
        <f>(Table1[[#This Row],[2023 Market share (%)]]-Table1[[#This Row],[2022 Market share (%)]])*10000</f>
        <v>-5.1702323172299334</v>
      </c>
      <c r="T9" s="10">
        <v>6.6063436466238565E-2</v>
      </c>
      <c r="U9" s="5">
        <v>6778</v>
      </c>
      <c r="V9" s="5">
        <f t="shared" si="0"/>
        <v>1616.5535556211271</v>
      </c>
      <c r="W9" s="10">
        <v>-3.7489349616586197E-2</v>
      </c>
      <c r="X9" s="10">
        <f t="shared" si="1"/>
        <v>1.795903870053106E-2</v>
      </c>
      <c r="Y9" s="8">
        <f>(Table1[[#This Row],[2023 Market share (%)]]-Table1[[#This Row],[2019 Market share (%)]])*10000</f>
        <v>-178.74439345598736</v>
      </c>
      <c r="Z9" s="10">
        <f t="shared" si="2"/>
        <v>3.8646215000653017E-2</v>
      </c>
      <c r="AA9" s="10">
        <f t="shared" si="3"/>
        <v>-1.9917442533701202E-2</v>
      </c>
      <c r="AB9" s="5">
        <v>10278000</v>
      </c>
      <c r="AC9" s="6">
        <f>Table1[[#This Row],[2022 U.S. Sales ($000)]]/SUMIF($E:$E, E9, $AB:$AB)</f>
        <v>0.10059643369101606</v>
      </c>
      <c r="AD9" s="5">
        <v>7042</v>
      </c>
      <c r="AE9" s="5">
        <f t="shared" si="4"/>
        <v>1459.5285430275489</v>
      </c>
      <c r="AF9" s="5">
        <v>10033000</v>
      </c>
      <c r="AG9" s="6">
        <f>Table1[[#This Row],[2021 U.S. Sales ($000)]]/SUMIF($E:$E, E9, $AF:$AF)</f>
        <v>0.10312133363214161</v>
      </c>
      <c r="AH9" s="5">
        <v>7105</v>
      </c>
      <c r="AI9" s="12">
        <f t="shared" si="5"/>
        <v>1412.1041520056299</v>
      </c>
      <c r="AJ9" s="5">
        <v>9657000</v>
      </c>
      <c r="AK9" s="6">
        <f>Table1[[#This Row],[2020 U.S. Sales ($000)]]/SUMIF($E:$E, E9, $AJ:$AJ)</f>
        <v>0.11051303763743106</v>
      </c>
      <c r="AL9" s="5">
        <v>7081</v>
      </c>
      <c r="AM9" s="5">
        <f t="shared" si="6"/>
        <v>1363.7904250812032</v>
      </c>
      <c r="AN9" s="5">
        <v>10204000</v>
      </c>
      <c r="AO9" s="6">
        <f>Table1[[#This Row],[2019 U.S. Sales ($000)]]/SUMIF($E:$E, E9, $AN:$AN)</f>
        <v>0.11795384980489181</v>
      </c>
      <c r="AP9" s="5">
        <v>7346</v>
      </c>
      <c r="AQ9" s="5">
        <f t="shared" si="7"/>
        <v>1389.0552681731554</v>
      </c>
      <c r="AV9" s="8"/>
      <c r="AW9" s="8"/>
    </row>
    <row r="10" spans="1:49" x14ac:dyDescent="0.25">
      <c r="A10" t="s">
        <v>58</v>
      </c>
      <c r="B10">
        <v>435</v>
      </c>
      <c r="C10" t="s">
        <v>44</v>
      </c>
      <c r="D10" t="s">
        <v>45</v>
      </c>
      <c r="E10" t="s">
        <v>59</v>
      </c>
      <c r="F10" s="5">
        <v>8</v>
      </c>
      <c r="G10" s="5">
        <v>9511000</v>
      </c>
      <c r="H10" s="6">
        <f>Table1[[#This Row],[2024 U.S. Sales ($000)]]/SUMIF($E:$E, E10, $G:$G)</f>
        <v>0.2723420095638977</v>
      </c>
      <c r="I10" s="5">
        <v>19502</v>
      </c>
      <c r="J10" s="5">
        <f>Table1[[#This Row],[2024 U.S. Sales ($000)]]/Table1[[#This Row],[2024 U.S. Units]]</f>
        <v>487.69356989026767</v>
      </c>
      <c r="K10" s="6">
        <f>Table1[[#This Row],[2024 U.S. Units]]/Table1[[#This Row],[2023 U.S. Units]]-1</f>
        <v>-3.1341578502955381E-2</v>
      </c>
      <c r="L10" s="8">
        <f>(Table1[[#This Row],[2024 Market share (%)]]-Table1[[#This Row],[2023 Market share (%)]])*10000</f>
        <v>80.435273342296384</v>
      </c>
      <c r="M10" s="6">
        <f>_xlfn.RRI(5,Table1[[#This Row],[2019 U.S. Sales ($000)]],Table1[[#This Row],[2024 U.S. Sales ($000)]])</f>
        <v>-1.3890365474049204E-2</v>
      </c>
      <c r="N10" s="9">
        <f>(Table1[[#This Row],[2024 Market share (%)]]-Table1[[#This Row],[2019 Market share (%)]])*10000</f>
        <v>-399.19661307892818</v>
      </c>
      <c r="O10" s="6">
        <f>IF(Table1[[#This Row],[2024 AUV]]=0,"",_xlfn.RRI(5,Table1[[#This Row],[2019 AUV]],Table1[[#This Row],[2024 AUV]]))</f>
        <v>2.6174251765694656E-2</v>
      </c>
      <c r="P10" s="6">
        <f>_xlfn.RRI(5,Table1[[#This Row],[2019 U.S. Units]],Table1[[#This Row],[2024 U.S. Units]])</f>
        <v>-3.9042703683907831E-2</v>
      </c>
      <c r="Q10" s="5">
        <v>9982800</v>
      </c>
      <c r="R10" s="6">
        <f>Table1[[#This Row],[2023 U.S. Sales ($000)]]/SUMIF($E:$E, E10, $Q:$Q)</f>
        <v>0.26429848222966806</v>
      </c>
      <c r="S10" s="8">
        <f>(Table1[[#This Row],[2023 Market share (%)]]-Table1[[#This Row],[2022 Market share (%)]])*10000</f>
        <v>-89.181774915307869</v>
      </c>
      <c r="T10" s="10">
        <v>2.1153846153846155E-2</v>
      </c>
      <c r="U10" s="5">
        <v>20133</v>
      </c>
      <c r="V10" s="5">
        <f t="shared" si="0"/>
        <v>495.8426464014305</v>
      </c>
      <c r="W10" s="10">
        <v>-2.1529937791601866E-2</v>
      </c>
      <c r="X10" s="10">
        <f t="shared" si="1"/>
        <v>-5.366575256029571E-3</v>
      </c>
      <c r="Y10" s="8">
        <f>(Table1[[#This Row],[2023 Market share (%)]]-Table1[[#This Row],[2019 Market share (%)]])*10000</f>
        <v>-479.63188642122458</v>
      </c>
      <c r="Z10" s="10">
        <f t="shared" si="2"/>
        <v>3.7111866694440776E-2</v>
      </c>
      <c r="AA10" s="10">
        <f t="shared" si="3"/>
        <v>-4.0958399295787484E-2</v>
      </c>
      <c r="AB10" s="5">
        <v>9776000</v>
      </c>
      <c r="AC10" s="6">
        <f>Table1[[#This Row],[2022 U.S. Sales ($000)]]/SUMIF($E:$E, E10, $AB:$AB)</f>
        <v>0.27321665972119885</v>
      </c>
      <c r="AD10" s="5">
        <v>20576</v>
      </c>
      <c r="AE10" s="5">
        <f t="shared" si="4"/>
        <v>475.11664074650076</v>
      </c>
      <c r="AF10" s="5">
        <v>9397300</v>
      </c>
      <c r="AG10" s="6">
        <f>Table1[[#This Row],[2021 U.S. Sales ($000)]]/SUMIF($E:$E, E10, $AF:$AF)</f>
        <v>0.28323757855846954</v>
      </c>
      <c r="AH10" s="5">
        <v>21147</v>
      </c>
      <c r="AI10" s="12">
        <f t="shared" si="5"/>
        <v>444.37981746819878</v>
      </c>
      <c r="AJ10" s="5">
        <v>8318000</v>
      </c>
      <c r="AK10" s="6">
        <f>Table1[[#This Row],[2020 U.S. Sales ($000)]]/SUMIF($E:$E, E10, $AJ:$AJ)</f>
        <v>0.29207018561028691</v>
      </c>
      <c r="AL10" s="5">
        <v>22190</v>
      </c>
      <c r="AM10" s="5">
        <f t="shared" si="6"/>
        <v>374.85353762956288</v>
      </c>
      <c r="AN10" s="5">
        <v>10200000</v>
      </c>
      <c r="AO10" s="6">
        <f>Table1[[#This Row],[2019 U.S. Sales ($000)]]/SUMIF($E:$E, E10, $AN:$AN)</f>
        <v>0.31226167087179052</v>
      </c>
      <c r="AP10" s="5">
        <v>23799</v>
      </c>
      <c r="AQ10" s="5">
        <f t="shared" si="7"/>
        <v>428.58943653094667</v>
      </c>
      <c r="AV10" s="8"/>
      <c r="AW10" s="8"/>
    </row>
    <row r="11" spans="1:49" x14ac:dyDescent="0.25">
      <c r="A11" t="s">
        <v>60</v>
      </c>
      <c r="B11">
        <v>808</v>
      </c>
      <c r="C11" t="s">
        <v>44</v>
      </c>
      <c r="D11" t="s">
        <v>45</v>
      </c>
      <c r="E11" t="s">
        <v>61</v>
      </c>
      <c r="F11" s="5">
        <v>10</v>
      </c>
      <c r="G11" s="5">
        <v>9500000</v>
      </c>
      <c r="H11" s="6">
        <f>Table1[[#This Row],[2024 U.S. Sales ($000)]]/SUMIF($E:$E, E11, $G:$G)</f>
        <v>0.3232391970057843</v>
      </c>
      <c r="I11" s="5">
        <v>7014</v>
      </c>
      <c r="J11" s="5">
        <f>Table1[[#This Row],[2024 U.S. Sales ($000)]]/Table1[[#This Row],[2024 U.S. Units]]</f>
        <v>1354.4339891645282</v>
      </c>
      <c r="K11" s="6">
        <f>Table1[[#This Row],[2024 U.S. Units]]/Table1[[#This Row],[2023 U.S. Units]]-1</f>
        <v>2.3344032681645643E-2</v>
      </c>
      <c r="L11" s="8">
        <f>(Table1[[#This Row],[2024 Market share (%)]]-Table1[[#This Row],[2023 Market share (%)]])*10000</f>
        <v>277.54668474345436</v>
      </c>
      <c r="M11" s="6">
        <f>_xlfn.RRI(5,Table1[[#This Row],[2019 U.S. Sales ($000)]],Table1[[#This Row],[2024 U.S. Sales ($000)]])</f>
        <v>6.1636690270673755E-2</v>
      </c>
      <c r="N11" s="9">
        <f>(Table1[[#This Row],[2024 Market share (%)]]-Table1[[#This Row],[2019 Market share (%)]])*10000</f>
        <v>502.92022730113905</v>
      </c>
      <c r="O11" s="6">
        <f>IF(Table1[[#This Row],[2024 AUV]]=0,"",_xlfn.RRI(5,Table1[[#This Row],[2019 AUV]],Table1[[#This Row],[2024 AUV]]))</f>
        <v>3.3280338383018915E-2</v>
      </c>
      <c r="P11" s="6">
        <f>_xlfn.RRI(5,Table1[[#This Row],[2019 U.S. Units]],Table1[[#This Row],[2024 U.S. Units]])</f>
        <v>2.7443038287198629E-2</v>
      </c>
      <c r="Q11" s="5">
        <v>9026100</v>
      </c>
      <c r="R11" s="6">
        <f>Table1[[#This Row],[2023 U.S. Sales ($000)]]/SUMIF($E:$E, E11, $Q:$Q)</f>
        <v>0.29548452853143886</v>
      </c>
      <c r="S11" s="8">
        <f>(Table1[[#This Row],[2023 Market share (%)]]-Table1[[#This Row],[2022 Market share (%)]])*10000</f>
        <v>6.530423600216162</v>
      </c>
      <c r="T11" s="10">
        <v>3.1353908383514061E-2</v>
      </c>
      <c r="U11" s="5">
        <v>6854</v>
      </c>
      <c r="V11" s="5">
        <f t="shared" si="0"/>
        <v>1316.9098336737673</v>
      </c>
      <c r="W11" s="10">
        <v>2.5127131319174396E-2</v>
      </c>
      <c r="X11" s="10">
        <f t="shared" si="1"/>
        <v>6.3932396075000453E-2</v>
      </c>
      <c r="Y11" s="8">
        <f>(Table1[[#This Row],[2023 Market share (%)]]-Table1[[#This Row],[2019 Market share (%)]])*10000</f>
        <v>225.37354255768471</v>
      </c>
      <c r="Z11" s="10">
        <f t="shared" si="2"/>
        <v>3.4480375114356088E-2</v>
      </c>
      <c r="AA11" s="10">
        <f t="shared" si="3"/>
        <v>2.8470352525913123E-2</v>
      </c>
      <c r="AB11" s="5">
        <v>8751700</v>
      </c>
      <c r="AC11" s="6">
        <f>Table1[[#This Row],[2022 U.S. Sales ($000)]]/SUMIF($E:$E, E11, $AB:$AB)</f>
        <v>0.29483148617141725</v>
      </c>
      <c r="AD11" s="5">
        <v>6686</v>
      </c>
      <c r="AE11" s="5">
        <f t="shared" si="4"/>
        <v>1308.9590188453485</v>
      </c>
      <c r="AF11" s="5">
        <v>8641400</v>
      </c>
      <c r="AG11" s="6">
        <f>Table1[[#This Row],[2021 U.S. Sales ($000)]]/SUMIF($E:$E, E11, $AF:$AF)</f>
        <v>0.29727650767702285</v>
      </c>
      <c r="AH11" s="5">
        <v>6560</v>
      </c>
      <c r="AI11" s="12">
        <f t="shared" si="5"/>
        <v>1317.2865853658536</v>
      </c>
      <c r="AJ11" s="5">
        <v>8287100</v>
      </c>
      <c r="AK11" s="6">
        <f>Table1[[#This Row],[2020 U.S. Sales ($000)]]/SUMIF($E:$E, E11, $AJ:$AJ)</f>
        <v>0.30617079099398053</v>
      </c>
      <c r="AL11" s="5">
        <v>6355</v>
      </c>
      <c r="AM11" s="5">
        <f t="shared" si="6"/>
        <v>1304.0283241542093</v>
      </c>
      <c r="AN11" s="5">
        <v>7044400</v>
      </c>
      <c r="AO11" s="6">
        <f>Table1[[#This Row],[2019 U.S. Sales ($000)]]/SUMIF($E:$E, E11, $AN:$AN)</f>
        <v>0.27294717427567039</v>
      </c>
      <c r="AP11" s="5">
        <v>6126</v>
      </c>
      <c r="AQ11" s="5">
        <f t="shared" si="7"/>
        <v>1149.9183806725432</v>
      </c>
      <c r="AV11" s="8"/>
      <c r="AW11" s="8"/>
    </row>
    <row r="12" spans="1:49" x14ac:dyDescent="0.25">
      <c r="A12" t="s">
        <v>62</v>
      </c>
      <c r="B12">
        <v>906</v>
      </c>
      <c r="C12" t="s">
        <v>44</v>
      </c>
      <c r="D12" t="s">
        <v>56</v>
      </c>
      <c r="E12" t="s">
        <v>63</v>
      </c>
      <c r="F12" s="5">
        <v>12</v>
      </c>
      <c r="G12" s="5">
        <v>6199000</v>
      </c>
      <c r="H12" s="6">
        <f>Table1[[#This Row],[2024 U.S. Sales ($000)]]/SUMIF($E:$E, E12, $G:$G)</f>
        <v>0.79271099744245521</v>
      </c>
      <c r="I12" s="5">
        <v>2505</v>
      </c>
      <c r="J12" s="5">
        <f>Table1[[#This Row],[2024 U.S. Sales ($000)]]/Table1[[#This Row],[2024 U.S. Units]]</f>
        <v>2474.6506986027944</v>
      </c>
      <c r="K12" s="6">
        <f>Table1[[#This Row],[2024 U.S. Units]]/Table1[[#This Row],[2023 U.S. Units]]-1</f>
        <v>3.512396694214881E-2</v>
      </c>
      <c r="L12" s="8">
        <f>(Table1[[#This Row],[2024 Market share (%)]]-Table1[[#This Row],[2023 Market share (%)]])*10000</f>
        <v>800.99604233296645</v>
      </c>
      <c r="M12" s="6">
        <f>_xlfn.RRI(5,Table1[[#This Row],[2019 U.S. Sales ($000)]],Table1[[#This Row],[2024 U.S. Sales ($000)]])</f>
        <v>9.4500220887750563E-2</v>
      </c>
      <c r="N12" s="9">
        <f>(Table1[[#This Row],[2024 Market share (%)]]-Table1[[#This Row],[2019 Market share (%)]])*10000</f>
        <v>1163.2932299818399</v>
      </c>
      <c r="O12" s="6">
        <f>IF(Table1[[#This Row],[2024 AUV]]=0,"",_xlfn.RRI(5,Table1[[#This Row],[2019 AUV]],Table1[[#This Row],[2024 AUV]]))</f>
        <v>6.4890209808958099E-2</v>
      </c>
      <c r="P12" s="6">
        <f>_xlfn.RRI(5,Table1[[#This Row],[2019 U.S. Units]],Table1[[#This Row],[2024 U.S. Units]])</f>
        <v>2.7805693775797335E-2</v>
      </c>
      <c r="Q12" s="5">
        <v>5885000</v>
      </c>
      <c r="R12" s="6">
        <f>Table1[[#This Row],[2023 U.S. Sales ($000)]]/SUMIF($E:$E, E12, $Q:$Q)</f>
        <v>0.71261139320915856</v>
      </c>
      <c r="S12" s="8">
        <f>(Table1[[#This Row],[2023 Market share (%)]]-Table1[[#This Row],[2022 Market share (%)]])*10000</f>
        <v>93.69669777770207</v>
      </c>
      <c r="T12" s="10">
        <v>0.10041136873597607</v>
      </c>
      <c r="U12" s="5">
        <v>2420</v>
      </c>
      <c r="V12" s="5">
        <f t="shared" si="0"/>
        <v>2431.818181818182</v>
      </c>
      <c r="W12" s="10">
        <v>2.6293469041560644E-2</v>
      </c>
      <c r="X12" s="10">
        <f t="shared" si="1"/>
        <v>0.10503497686938457</v>
      </c>
      <c r="Y12" s="8">
        <f>(Table1[[#This Row],[2023 Market share (%)]]-Table1[[#This Row],[2019 Market share (%)]])*10000</f>
        <v>362.29718764887343</v>
      </c>
      <c r="Z12" s="10">
        <f t="shared" si="2"/>
        <v>7.7048701962489474E-2</v>
      </c>
      <c r="AA12" s="10">
        <f t="shared" si="3"/>
        <v>2.5984224163588143E-2</v>
      </c>
      <c r="AB12" s="5">
        <v>5348000</v>
      </c>
      <c r="AC12" s="6">
        <f>Table1[[#This Row],[2022 U.S. Sales ($000)]]/SUMIF($E:$E, E12, $AB:$AB)</f>
        <v>0.70324172343138835</v>
      </c>
      <c r="AD12" s="5">
        <v>2358</v>
      </c>
      <c r="AE12" s="5">
        <f t="shared" si="4"/>
        <v>2268.0237489397796</v>
      </c>
      <c r="AF12" s="5">
        <v>4578000</v>
      </c>
      <c r="AG12" s="6">
        <f>Table1[[#This Row],[2021 U.S. Sales ($000)]]/SUMIF($E:$E, E12, $AF:$AF)</f>
        <v>0.69101699044440335</v>
      </c>
      <c r="AH12" s="5">
        <v>2316</v>
      </c>
      <c r="AI12" s="12">
        <f t="shared" si="5"/>
        <v>1976.6839378238342</v>
      </c>
      <c r="AJ12" s="5">
        <v>3817000</v>
      </c>
      <c r="AK12" s="6">
        <f>Table1[[#This Row],[2020 U.S. Sales ($000)]]/SUMIF($E:$E, E12, $AJ:$AJ)</f>
        <v>0.69590691146594608</v>
      </c>
      <c r="AL12" s="5">
        <v>2263</v>
      </c>
      <c r="AM12" s="5">
        <f t="shared" si="6"/>
        <v>1686.6990720282811</v>
      </c>
      <c r="AN12" s="5">
        <v>3946775</v>
      </c>
      <c r="AO12" s="6">
        <f>Table1[[#This Row],[2019 U.S. Sales ($000)]]/SUMIF($E:$E, E12, $AN:$AN)</f>
        <v>0.67638167444427122</v>
      </c>
      <c r="AP12" s="5">
        <v>2184</v>
      </c>
      <c r="AQ12" s="5">
        <f t="shared" si="7"/>
        <v>1807.1314102564102</v>
      </c>
      <c r="AV12" s="8"/>
      <c r="AW12" s="8"/>
    </row>
    <row r="13" spans="1:49" x14ac:dyDescent="0.25">
      <c r="A13" t="s">
        <v>64</v>
      </c>
      <c r="B13">
        <v>540</v>
      </c>
      <c r="C13" t="s">
        <v>44</v>
      </c>
      <c r="D13" t="s">
        <v>56</v>
      </c>
      <c r="E13" t="s">
        <v>59</v>
      </c>
      <c r="F13" s="5">
        <v>11</v>
      </c>
      <c r="G13" s="5">
        <v>6126000</v>
      </c>
      <c r="H13" s="6">
        <f>Table1[[#This Row],[2024 U.S. Sales ($000)]]/SUMIF($E:$E, E13, $G:$G)</f>
        <v>0.17541448329181342</v>
      </c>
      <c r="I13" s="5">
        <v>2216</v>
      </c>
      <c r="J13" s="5">
        <f>Table1[[#This Row],[2024 U.S. Sales ($000)]]/Table1[[#This Row],[2024 U.S. Units]]</f>
        <v>2764.4404332129966</v>
      </c>
      <c r="K13" s="6">
        <f>Table1[[#This Row],[2024 U.S. Units]]/Table1[[#This Row],[2023 U.S. Units]]-1</f>
        <v>1.7447199265381075E-2</v>
      </c>
      <c r="L13" s="8">
        <f>(Table1[[#This Row],[2024 Market share (%)]]-Table1[[#This Row],[2023 Market share (%)]])*10000</f>
        <v>44.796490653241094</v>
      </c>
      <c r="M13" s="6">
        <f>_xlfn.RRI(5,Table1[[#This Row],[2019 U.S. Sales ($000)]],Table1[[#This Row],[2024 U.S. Sales ($000)]])</f>
        <v>2.4998667426758825E-3</v>
      </c>
      <c r="N13" s="9">
        <f>(Table1[[#This Row],[2024 Market share (%)]]-Table1[[#This Row],[2019 Market share (%)]])*10000</f>
        <v>-97.995469801799572</v>
      </c>
      <c r="O13" s="6">
        <f>IF(Table1[[#This Row],[2024 AUV]]=0,"",_xlfn.RRI(5,Table1[[#This Row],[2019 AUV]],Table1[[#This Row],[2024 AUV]]))</f>
        <v>-2.9886011080081376E-3</v>
      </c>
      <c r="P13" s="6">
        <f>_xlfn.RRI(5,Table1[[#This Row],[2019 U.S. Units]],Table1[[#This Row],[2024 U.S. Units]])</f>
        <v>5.5049198602779015E-3</v>
      </c>
      <c r="Q13" s="5">
        <v>6456368</v>
      </c>
      <c r="R13" s="6">
        <f>Table1[[#This Row],[2023 U.S. Sales ($000)]]/SUMIF($E:$E, E13, $Q:$Q)</f>
        <v>0.17093483422648931</v>
      </c>
      <c r="S13" s="8">
        <f>(Table1[[#This Row],[2023 Market share (%)]]-Table1[[#This Row],[2022 Market share (%)]])*10000</f>
        <v>-48.980007761644792</v>
      </c>
      <c r="T13" s="10">
        <v>2.620536892888926E-2</v>
      </c>
      <c r="U13" s="5">
        <v>2178</v>
      </c>
      <c r="V13" s="5">
        <f t="shared" si="0"/>
        <v>2964.3562901744722</v>
      </c>
      <c r="W13" s="10">
        <v>2.1575984990619138E-2</v>
      </c>
      <c r="X13" s="10">
        <f t="shared" si="1"/>
        <v>1.6384949434052665E-2</v>
      </c>
      <c r="Y13" s="8">
        <f>(Table1[[#This Row],[2023 Market share (%)]]-Table1[[#This Row],[2019 Market share (%)]])*10000</f>
        <v>-142.79196045504068</v>
      </c>
      <c r="Z13" s="10">
        <f t="shared" si="2"/>
        <v>1.3808541009784125E-2</v>
      </c>
      <c r="AA13" s="10">
        <f t="shared" si="3"/>
        <v>2.5413165504626356E-3</v>
      </c>
      <c r="AB13" s="5">
        <v>6291497</v>
      </c>
      <c r="AC13" s="6">
        <f>Table1[[#This Row],[2022 U.S. Sales ($000)]]/SUMIF($E:$E, E13, $AB:$AB)</f>
        <v>0.17583283500265379</v>
      </c>
      <c r="AD13" s="5">
        <v>2132</v>
      </c>
      <c r="AE13" s="5">
        <f t="shared" si="4"/>
        <v>2950.9835834896812</v>
      </c>
      <c r="AF13" s="5">
        <v>5632778</v>
      </c>
      <c r="AG13" s="6">
        <f>Table1[[#This Row],[2021 U.S. Sales ($000)]]/SUMIF($E:$E, E13, $AF:$AF)</f>
        <v>0.16977370109259243</v>
      </c>
      <c r="AH13" s="5">
        <v>2121</v>
      </c>
      <c r="AI13" s="12">
        <f t="shared" si="5"/>
        <v>2655.7180575200377</v>
      </c>
      <c r="AJ13" s="5">
        <v>4984200</v>
      </c>
      <c r="AK13" s="6">
        <f>Table1[[#This Row],[2020 U.S. Sales ($000)]]/SUMIF($E:$E, E13, $AJ:$AJ)</f>
        <v>0.17501036536652947</v>
      </c>
      <c r="AL13" s="5">
        <v>2081</v>
      </c>
      <c r="AM13" s="5">
        <f t="shared" si="6"/>
        <v>2395.0985103315716</v>
      </c>
      <c r="AN13" s="5">
        <v>6050000</v>
      </c>
      <c r="AO13" s="6">
        <f>Table1[[#This Row],[2019 U.S. Sales ($000)]]/SUMIF($E:$E, E13, $AN:$AN)</f>
        <v>0.18521403027199337</v>
      </c>
      <c r="AP13" s="5">
        <v>2156</v>
      </c>
      <c r="AQ13" s="5">
        <f t="shared" si="7"/>
        <v>2806.1224489795918</v>
      </c>
      <c r="AV13" s="8"/>
      <c r="AW13" s="8"/>
    </row>
    <row r="14" spans="1:49" x14ac:dyDescent="0.25">
      <c r="A14" t="s">
        <v>65</v>
      </c>
      <c r="B14">
        <v>526</v>
      </c>
      <c r="C14" t="s">
        <v>44</v>
      </c>
      <c r="D14" t="s">
        <v>45</v>
      </c>
      <c r="E14" t="s">
        <v>50</v>
      </c>
      <c r="F14" s="5">
        <v>15</v>
      </c>
      <c r="G14" s="5">
        <v>5726000</v>
      </c>
      <c r="H14" s="6">
        <f>Table1[[#This Row],[2024 U.S. Sales ($000)]]/SUMIF($E:$E, E14, $G:$G)</f>
        <v>0.1090126794349465</v>
      </c>
      <c r="I14" s="5">
        <v>3148</v>
      </c>
      <c r="J14" s="5">
        <f>Table1[[#This Row],[2024 U.S. Sales ($000)]]/Table1[[#This Row],[2024 U.S. Units]]</f>
        <v>1818.9326556543838</v>
      </c>
      <c r="K14" s="6">
        <f>Table1[[#This Row],[2024 U.S. Units]]/Table1[[#This Row],[2023 U.S. Units]]-1</f>
        <v>3.1792854801704351E-2</v>
      </c>
      <c r="L14" s="8">
        <f>(Table1[[#This Row],[2024 Market share (%)]]-Table1[[#This Row],[2023 Market share (%)]])*10000</f>
        <v>-34.963941737933688</v>
      </c>
      <c r="M14" s="6">
        <f>_xlfn.RRI(5,Table1[[#This Row],[2019 U.S. Sales ($000)]],Table1[[#This Row],[2024 U.S. Sales ($000)]])</f>
        <v>8.4775056366071189E-2</v>
      </c>
      <c r="N14" s="9">
        <f>(Table1[[#This Row],[2024 Market share (%)]]-Table1[[#This Row],[2019 Market share (%)]])*10000</f>
        <v>-151.5812134521878</v>
      </c>
      <c r="O14" s="6">
        <f>IF(Table1[[#This Row],[2024 AUV]]=0,"",_xlfn.RRI(5,Table1[[#This Row],[2019 AUV]],Table1[[#This Row],[2024 AUV]]))</f>
        <v>3.3910328112636057E-2</v>
      </c>
      <c r="P14" s="6">
        <f>_xlfn.RRI(5,Table1[[#This Row],[2019 U.S. Units]],Table1[[#This Row],[2024 U.S. Units]])</f>
        <v>4.9196460147841625E-2</v>
      </c>
      <c r="Q14" s="5">
        <v>5511000</v>
      </c>
      <c r="R14" s="6">
        <f>Table1[[#This Row],[2023 U.S. Sales ($000)]]/SUMIF($E:$E, E14, $Q:$Q)</f>
        <v>0.11250907360873987</v>
      </c>
      <c r="S14" s="8">
        <f>(Table1[[#This Row],[2023 Market share (%)]]-Table1[[#This Row],[2022 Market share (%)]])*10000</f>
        <v>-21.091950718835349</v>
      </c>
      <c r="T14" s="10">
        <v>0.10197960407918416</v>
      </c>
      <c r="U14" s="5">
        <v>3051</v>
      </c>
      <c r="V14" s="5">
        <f t="shared" si="0"/>
        <v>1806.2930186823992</v>
      </c>
      <c r="W14" s="10">
        <v>4.4505306401917154E-2</v>
      </c>
      <c r="X14" s="10">
        <f t="shared" si="1"/>
        <v>9.6527125992748042E-2</v>
      </c>
      <c r="Y14" s="8">
        <f>(Table1[[#This Row],[2023 Market share (%)]]-Table1[[#This Row],[2019 Market share (%)]])*10000</f>
        <v>-116.61727171425412</v>
      </c>
      <c r="Z14" s="10">
        <f t="shared" si="2"/>
        <v>4.075016387264907E-2</v>
      </c>
      <c r="AA14" s="10">
        <f t="shared" si="3"/>
        <v>5.3593037076787198E-2</v>
      </c>
      <c r="AB14" s="5">
        <v>5001000</v>
      </c>
      <c r="AC14" s="6">
        <f>Table1[[#This Row],[2022 U.S. Sales ($000)]]/SUMIF($E:$E, E14, $AB:$AB)</f>
        <v>0.1146182686806234</v>
      </c>
      <c r="AD14" s="5">
        <v>2921</v>
      </c>
      <c r="AE14" s="5">
        <f t="shared" si="4"/>
        <v>1712.0849024306744</v>
      </c>
      <c r="AF14" s="5">
        <v>4775000</v>
      </c>
      <c r="AG14" s="6">
        <f>Table1[[#This Row],[2021 U.S. Sales ($000)]]/SUMIF($E:$E, E14, $AF:$AF)</f>
        <v>0.12145532630187965</v>
      </c>
      <c r="AH14" s="5">
        <v>2754</v>
      </c>
      <c r="AI14" s="12">
        <f t="shared" si="5"/>
        <v>1733.841684822077</v>
      </c>
      <c r="AJ14" s="5">
        <v>4587000</v>
      </c>
      <c r="AK14" s="6">
        <f>Table1[[#This Row],[2020 U.S. Sales ($000)]]/SUMIF($E:$E, E14, $AJ:$AJ)</f>
        <v>0.1356325279268617</v>
      </c>
      <c r="AL14" s="5">
        <v>2609</v>
      </c>
      <c r="AM14" s="5">
        <f t="shared" si="6"/>
        <v>1758.1448830969721</v>
      </c>
      <c r="AN14" s="5">
        <v>3812000</v>
      </c>
      <c r="AO14" s="6">
        <f>Table1[[#This Row],[2019 U.S. Sales ($000)]]/SUMIF($E:$E, E14, $AN:$AN)</f>
        <v>0.12417080078016528</v>
      </c>
      <c r="AP14" s="5">
        <v>2476</v>
      </c>
      <c r="AQ14" s="5">
        <f t="shared" si="7"/>
        <v>1539.5799676898223</v>
      </c>
      <c r="AV14" s="8"/>
      <c r="AW14" s="8"/>
    </row>
    <row r="15" spans="1:49" x14ac:dyDescent="0.25">
      <c r="A15" t="s">
        <v>66</v>
      </c>
      <c r="B15">
        <v>325</v>
      </c>
      <c r="C15" t="s">
        <v>44</v>
      </c>
      <c r="D15" t="s">
        <v>45</v>
      </c>
      <c r="E15" t="s">
        <v>61</v>
      </c>
      <c r="F15" s="5">
        <v>13</v>
      </c>
      <c r="G15" s="5">
        <v>5550000</v>
      </c>
      <c r="H15" s="6">
        <f>Table1[[#This Row],[2024 U.S. Sales ($000)]]/SUMIF($E:$E, E15, $G:$G)</f>
        <v>0.1888397414086424</v>
      </c>
      <c r="I15" s="5">
        <v>6557</v>
      </c>
      <c r="J15" s="5">
        <f>Table1[[#This Row],[2024 U.S. Sales ($000)]]/Table1[[#This Row],[2024 U.S. Units]]</f>
        <v>846.42366936098824</v>
      </c>
      <c r="K15" s="6">
        <f>Table1[[#This Row],[2024 U.S. Units]]/Table1[[#This Row],[2023 U.S. Units]]-1</f>
        <v>-5.4603367207644027E-3</v>
      </c>
      <c r="L15" s="8">
        <f>(Table1[[#This Row],[2024 Market share (%)]]-Table1[[#This Row],[2023 Market share (%)]])*10000</f>
        <v>62.67288674921906</v>
      </c>
      <c r="M15" s="6">
        <f>_xlfn.RRI(5,Table1[[#This Row],[2019 U.S. Sales ($000)]],Table1[[#This Row],[2024 U.S. Sales ($000)]])</f>
        <v>-2.8803922112974334E-4</v>
      </c>
      <c r="N15" s="9">
        <f>(Table1[[#This Row],[2024 Market share (%)]]-Table1[[#This Row],[2019 Market share (%)]])*10000</f>
        <v>-265.14354699496812</v>
      </c>
      <c r="O15" s="6">
        <f>IF(Table1[[#This Row],[2024 AUV]]=0,"",_xlfn.RRI(5,Table1[[#This Row],[2019 AUV]],Table1[[#This Row],[2024 AUV]]))</f>
        <v>2.157389127151399E-2</v>
      </c>
      <c r="P15" s="6">
        <f>_xlfn.RRI(5,Table1[[#This Row],[2019 U.S. Units]],Table1[[#This Row],[2024 U.S. Units]])</f>
        <v>-2.1400243956345544E-2</v>
      </c>
      <c r="Q15" s="5">
        <v>5577000</v>
      </c>
      <c r="R15" s="6">
        <f>Table1[[#This Row],[2023 U.S. Sales ($000)]]/SUMIF($E:$E, E15, $Q:$Q)</f>
        <v>0.1825724527337205</v>
      </c>
      <c r="S15" s="8">
        <f>(Table1[[#This Row],[2023 Market share (%)]]-Table1[[#This Row],[2022 Market share (%)]])*10000</f>
        <v>-22.76246904357404</v>
      </c>
      <c r="T15" s="10">
        <v>1.6402405686167305E-2</v>
      </c>
      <c r="U15" s="5">
        <v>6593</v>
      </c>
      <c r="V15" s="5">
        <f t="shared" si="0"/>
        <v>845.8971636584256</v>
      </c>
      <c r="W15" s="10">
        <v>4.8773052888279227E-3</v>
      </c>
      <c r="X15" s="10">
        <f t="shared" si="1"/>
        <v>8.5353057185755254E-4</v>
      </c>
      <c r="Y15" s="8">
        <f>(Table1[[#This Row],[2023 Market share (%)]]-Table1[[#This Row],[2019 Market share (%)]])*10000</f>
        <v>-327.81643374418718</v>
      </c>
      <c r="Z15" s="10">
        <f t="shared" si="2"/>
        <v>2.6879948289305844E-2</v>
      </c>
      <c r="AA15" s="10">
        <f t="shared" si="3"/>
        <v>-2.5345141621282985E-2</v>
      </c>
      <c r="AB15" s="5">
        <v>5487000</v>
      </c>
      <c r="AC15" s="6">
        <f>Table1[[#This Row],[2022 U.S. Sales ($000)]]/SUMIF($E:$E, E15, $AB:$AB)</f>
        <v>0.1848486996380779</v>
      </c>
      <c r="AD15" s="5">
        <v>6561</v>
      </c>
      <c r="AE15" s="5">
        <f t="shared" si="4"/>
        <v>836.30544124371283</v>
      </c>
      <c r="AF15" s="5">
        <v>5509000</v>
      </c>
      <c r="AG15" s="6">
        <f>Table1[[#This Row],[2021 U.S. Sales ($000)]]/SUMIF($E:$E, E15, $AF:$AF)</f>
        <v>0.18951747179770859</v>
      </c>
      <c r="AH15" s="5">
        <v>6548</v>
      </c>
      <c r="AI15" s="12">
        <f t="shared" si="5"/>
        <v>841.32559560171046</v>
      </c>
      <c r="AJ15" s="5">
        <v>5436000</v>
      </c>
      <c r="AK15" s="6">
        <f>Table1[[#This Row],[2020 U.S. Sales ($000)]]/SUMIF($E:$E, E15, $AJ:$AJ)</f>
        <v>0.20083556610192685</v>
      </c>
      <c r="AL15" s="5">
        <v>6561</v>
      </c>
      <c r="AM15" s="5">
        <f t="shared" si="6"/>
        <v>828.53223593964333</v>
      </c>
      <c r="AN15" s="5">
        <v>5558000</v>
      </c>
      <c r="AO15" s="6">
        <f>Table1[[#This Row],[2019 U.S. Sales ($000)]]/SUMIF($E:$E, E15, $AN:$AN)</f>
        <v>0.21535409610813921</v>
      </c>
      <c r="AP15" s="5">
        <v>7306</v>
      </c>
      <c r="AQ15" s="5">
        <f t="shared" si="7"/>
        <v>760.74459348480696</v>
      </c>
      <c r="AV15" s="8"/>
      <c r="AW15" s="8"/>
    </row>
    <row r="16" spans="1:49" x14ac:dyDescent="0.25">
      <c r="A16" t="s">
        <v>67</v>
      </c>
      <c r="B16">
        <v>2403</v>
      </c>
      <c r="C16" t="s">
        <v>68</v>
      </c>
      <c r="D16" t="s">
        <v>69</v>
      </c>
      <c r="E16" t="s">
        <v>70</v>
      </c>
      <c r="F16" s="5">
        <v>19</v>
      </c>
      <c r="G16" s="5">
        <v>5488000</v>
      </c>
      <c r="H16" s="6">
        <f>Table1[[#This Row],[2024 U.S. Sales ($000)]]/SUMIF($E:$E, E16, $G:$G)</f>
        <v>0.33805593199457928</v>
      </c>
      <c r="I16" s="5">
        <v>664</v>
      </c>
      <c r="J16" s="5">
        <f>Table1[[#This Row],[2024 U.S. Sales ($000)]]/Table1[[#This Row],[2024 U.S. Units]]</f>
        <v>8265.0602409638559</v>
      </c>
      <c r="K16" s="6">
        <f>Table1[[#This Row],[2024 U.S. Units]]/Table1[[#This Row],[2023 U.S. Units]]-1</f>
        <v>4.0752351097178785E-2</v>
      </c>
      <c r="L16" s="8">
        <f>(Table1[[#This Row],[2024 Market share (%)]]-Table1[[#This Row],[2023 Market share (%)]])*10000</f>
        <v>384.08393074378819</v>
      </c>
      <c r="M16" s="6">
        <f>_xlfn.RRI(5,Table1[[#This Row],[2019 U.S. Sales ($000)]],Table1[[#This Row],[2024 U.S. Sales ($000)]])</f>
        <v>0.12715614712167844</v>
      </c>
      <c r="N16" s="9">
        <f>(Table1[[#This Row],[2024 Market share (%)]]-Table1[[#This Row],[2019 Market share (%)]])*10000</f>
        <v>974.90067681206517</v>
      </c>
      <c r="O16" s="6">
        <f>IF(Table1[[#This Row],[2024 AUV]]=0,"",_xlfn.RRI(5,Table1[[#This Row],[2019 AUV]],Table1[[#This Row],[2024 AUV]]))</f>
        <v>8.6664537114358176E-2</v>
      </c>
      <c r="P16" s="6">
        <f>_xlfn.RRI(5,Table1[[#This Row],[2019 U.S. Units]],Table1[[#This Row],[2024 U.S. Units]])</f>
        <v>3.7262290821457933E-2</v>
      </c>
      <c r="Q16" s="5">
        <v>4783923</v>
      </c>
      <c r="R16" s="6">
        <f>Table1[[#This Row],[2023 U.S. Sales ($000)]]/SUMIF($E:$E, E16, $Q:$Q)</f>
        <v>0.29964753892020046</v>
      </c>
      <c r="S16" s="8">
        <f>(Table1[[#This Row],[2023 Market share (%)]]-Table1[[#This Row],[2022 Market share (%)]])*10000</f>
        <v>124.6038581687925</v>
      </c>
      <c r="T16" s="10">
        <v>0.13849148402278544</v>
      </c>
      <c r="U16" s="5">
        <v>638</v>
      </c>
      <c r="V16" s="5">
        <f t="shared" si="0"/>
        <v>7498.3119122257058</v>
      </c>
      <c r="W16" s="10">
        <v>3.9087947882736153E-2</v>
      </c>
      <c r="X16" s="10">
        <f t="shared" si="1"/>
        <v>0.12220609815854355</v>
      </c>
      <c r="Y16" s="8">
        <f>(Table1[[#This Row],[2023 Market share (%)]]-Table1[[#This Row],[2019 Market share (%)]])*10000</f>
        <v>590.81674606827698</v>
      </c>
      <c r="Z16" s="10">
        <f t="shared" si="2"/>
        <v>8.2801222716441858E-2</v>
      </c>
      <c r="AA16" s="10">
        <f t="shared" si="3"/>
        <v>3.6391605971081153E-2</v>
      </c>
      <c r="AB16" s="5">
        <v>4201984</v>
      </c>
      <c r="AC16" s="6">
        <f>Table1[[#This Row],[2022 U.S. Sales ($000)]]/SUMIF($E:$E, E16, $AB:$AB)</f>
        <v>0.28718715310332121</v>
      </c>
      <c r="AD16" s="5">
        <v>614</v>
      </c>
      <c r="AE16" s="5">
        <f t="shared" si="4"/>
        <v>6843.6221498371333</v>
      </c>
      <c r="AF16" s="5">
        <v>3713089</v>
      </c>
      <c r="AG16" s="6">
        <f>Table1[[#This Row],[2021 U.S. Sales ($000)]]/SUMIF($E:$E, E16, $AF:$AF)</f>
        <v>0.2856781577624235</v>
      </c>
      <c r="AH16" s="5">
        <v>596</v>
      </c>
      <c r="AI16" s="12">
        <f t="shared" si="5"/>
        <v>6230.0151006711412</v>
      </c>
      <c r="AJ16" s="5">
        <v>2615115</v>
      </c>
      <c r="AK16" s="6">
        <f>Table1[[#This Row],[2020 U.S. Sales ($000)]]/SUMIF($E:$E, E16, $AJ:$AJ)</f>
        <v>0.27845545898834928</v>
      </c>
      <c r="AL16" s="5">
        <v>572</v>
      </c>
      <c r="AM16" s="5">
        <f t="shared" si="6"/>
        <v>4571.8793706293709</v>
      </c>
      <c r="AN16" s="5">
        <v>3016433</v>
      </c>
      <c r="AO16" s="6">
        <f>Table1[[#This Row],[2019 U.S. Sales ($000)]]/SUMIF($E:$E, E16, $AN:$AN)</f>
        <v>0.24056586431337276</v>
      </c>
      <c r="AP16" s="5">
        <v>553</v>
      </c>
      <c r="AQ16" s="5">
        <f t="shared" si="7"/>
        <v>5454.6708860759491</v>
      </c>
      <c r="AV16" s="8"/>
      <c r="AW16" s="8"/>
    </row>
    <row r="17" spans="1:49" x14ac:dyDescent="0.25">
      <c r="A17" t="s">
        <v>71</v>
      </c>
      <c r="B17">
        <v>536</v>
      </c>
      <c r="C17" t="s">
        <v>44</v>
      </c>
      <c r="D17" t="s">
        <v>45</v>
      </c>
      <c r="E17" t="s">
        <v>46</v>
      </c>
      <c r="F17" s="5">
        <v>14</v>
      </c>
      <c r="G17" s="5">
        <v>5384000</v>
      </c>
      <c r="H17" s="6">
        <f>Table1[[#This Row],[2024 U.S. Sales ($000)]]/SUMIF($E:$E, E17, $G:$G)</f>
        <v>4.8831071312256225E-2</v>
      </c>
      <c r="I17" s="5">
        <v>3461</v>
      </c>
      <c r="J17" s="7">
        <f>Table1[[#This Row],[2024 U.S. Sales ($000)]]/Table1[[#This Row],[2024 U.S. Units]]</f>
        <v>1555.6197630742561</v>
      </c>
      <c r="K17" s="6">
        <f>Table1[[#This Row],[2024 U.S. Units]]/Table1[[#This Row],[2023 U.S. Units]]-1</f>
        <v>-1.7040613462084631E-2</v>
      </c>
      <c r="L17" s="8">
        <f>(Table1[[#This Row],[2024 Market share (%)]]-Table1[[#This Row],[2023 Market share (%)]])*10000</f>
        <v>-17.117437181495276</v>
      </c>
      <c r="M17" s="6">
        <f>_xlfn.RRI(5,Table1[[#This Row],[2019 U.S. Sales ($000)]],Table1[[#This Row],[2024 U.S. Sales ($000)]])</f>
        <v>2.8101290376838062E-2</v>
      </c>
      <c r="N17" s="9">
        <f>(Table1[[#This Row],[2024 Market share (%)]]-Table1[[#This Row],[2019 Market share (%)]])*10000</f>
        <v>-53.524467988730898</v>
      </c>
      <c r="O17" s="6">
        <f>IF(Table1[[#This Row],[2024 AUV]]=0,"",_xlfn.RRI(5,Table1[[#This Row],[2019 AUV]],Table1[[#This Row],[2024 AUV]]))</f>
        <v>3.193429514622026E-2</v>
      </c>
      <c r="P17" s="6">
        <f>_xlfn.RRI(5,Table1[[#This Row],[2019 U.S. Units]],Table1[[#This Row],[2024 U.S. Units]])</f>
        <v>-3.7143883941167521E-3</v>
      </c>
      <c r="Q17" s="5">
        <v>5533582</v>
      </c>
      <c r="R17" s="6">
        <f>Table1[[#This Row],[2023 U.S. Sales ($000)]]/SUMIF($E:$E, E17, $Q:$Q)</f>
        <v>5.0542815030405752E-2</v>
      </c>
      <c r="S17" s="8">
        <f>(Table1[[#This Row],[2023 Market share (%)]]-Table1[[#This Row],[2022 Market share (%)]])*10000</f>
        <v>-32.800158381942403</v>
      </c>
      <c r="T17" s="10">
        <v>6.2682847703411024E-3</v>
      </c>
      <c r="U17" s="5">
        <v>3521</v>
      </c>
      <c r="V17" s="5">
        <f t="shared" si="0"/>
        <v>1571.5938653791536</v>
      </c>
      <c r="W17" s="10">
        <v>-7.050197405527355E-3</v>
      </c>
      <c r="X17" s="10">
        <f t="shared" si="1"/>
        <v>4.2365922978450765E-2</v>
      </c>
      <c r="Y17" s="8">
        <f>(Table1[[#This Row],[2023 Market share (%)]]-Table1[[#This Row],[2019 Market share (%)]])*10000</f>
        <v>-36.407030807235621</v>
      </c>
      <c r="Z17" s="10">
        <f t="shared" si="2"/>
        <v>4.2735779305666188E-2</v>
      </c>
      <c r="AA17" s="10">
        <f t="shared" si="3"/>
        <v>-3.5469803046539461E-4</v>
      </c>
      <c r="AB17" s="5">
        <v>5499112</v>
      </c>
      <c r="AC17" s="6">
        <f>Table1[[#This Row],[2022 U.S. Sales ($000)]]/SUMIF($E:$E, E17, $AB:$AB)</f>
        <v>5.3822830868599993E-2</v>
      </c>
      <c r="AD17" s="5">
        <v>3546</v>
      </c>
      <c r="AE17" s="5">
        <f t="shared" si="4"/>
        <v>1550.7930062041737</v>
      </c>
      <c r="AF17" s="5">
        <v>5835448</v>
      </c>
      <c r="AG17" s="6">
        <f>Table1[[#This Row],[2021 U.S. Sales ($000)]]/SUMIF($E:$E, E17, $AF:$AF)</f>
        <v>5.9977990640986092E-2</v>
      </c>
      <c r="AH17" s="5">
        <v>3552</v>
      </c>
      <c r="AI17" s="12">
        <f t="shared" si="5"/>
        <v>1642.8626126126126</v>
      </c>
      <c r="AJ17" s="5">
        <v>5680323</v>
      </c>
      <c r="AK17" s="6">
        <f>Table1[[#This Row],[2020 U.S. Sales ($000)]]/SUMIF($E:$E, E17, $AJ:$AJ)</f>
        <v>6.5004633891660488E-2</v>
      </c>
      <c r="AL17" s="5">
        <v>3526</v>
      </c>
      <c r="AM17" s="5">
        <f t="shared" si="6"/>
        <v>1610.9821327283041</v>
      </c>
      <c r="AN17" s="5">
        <v>4687330</v>
      </c>
      <c r="AO17" s="6">
        <f>Table1[[#This Row],[2019 U.S. Sales ($000)]]/SUMIF($E:$E, E17, $AN:$AN)</f>
        <v>5.4183518111129314E-2</v>
      </c>
      <c r="AP17" s="5">
        <v>3526</v>
      </c>
      <c r="AQ17" s="5">
        <f t="shared" si="7"/>
        <v>1329.3618831537153</v>
      </c>
      <c r="AV17" s="8"/>
      <c r="AW17" s="8"/>
    </row>
    <row r="18" spans="1:49" x14ac:dyDescent="0.25">
      <c r="A18" t="s">
        <v>72</v>
      </c>
      <c r="B18">
        <v>433</v>
      </c>
      <c r="C18" t="s">
        <v>68</v>
      </c>
      <c r="D18" t="s">
        <v>69</v>
      </c>
      <c r="E18" t="s">
        <v>73</v>
      </c>
      <c r="F18" s="5">
        <v>17</v>
      </c>
      <c r="G18" s="5">
        <v>5152000</v>
      </c>
      <c r="H18" s="6">
        <f>Table1[[#This Row],[2024 U.S. Sales ($000)]]/SUMIF($E:$E, E18, $G:$G)</f>
        <v>0.64590825520146078</v>
      </c>
      <c r="I18" s="5">
        <v>923</v>
      </c>
      <c r="J18" s="5">
        <f>Table1[[#This Row],[2024 U.S. Sales ($000)]]/Table1[[#This Row],[2024 U.S. Units]]</f>
        <v>5581.7984832069342</v>
      </c>
      <c r="K18" s="6">
        <f>Table1[[#This Row],[2024 U.S. Units]]/Table1[[#This Row],[2023 U.S. Units]]-1</f>
        <v>1.6519823788546217E-2</v>
      </c>
      <c r="L18" s="8">
        <f>(Table1[[#This Row],[2024 Market share (%)]]-Table1[[#This Row],[2023 Market share (%)]])*10000</f>
        <v>1139.209082672299</v>
      </c>
      <c r="M18" s="6">
        <f>_xlfn.RRI(5,Table1[[#This Row],[2019 U.S. Sales ($000)]],Table1[[#This Row],[2024 U.S. Sales ($000)]])</f>
        <v>3.304724023114658E-2</v>
      </c>
      <c r="N18" s="9">
        <f>(Table1[[#This Row],[2024 Market share (%)]]-Table1[[#This Row],[2019 Market share (%)]])*10000</f>
        <v>1658.2233747321113</v>
      </c>
      <c r="O18" s="6">
        <f>IF(Table1[[#This Row],[2024 AUV]]=0,"",_xlfn.RRI(5,Table1[[#This Row],[2019 AUV]],Table1[[#This Row],[2024 AUV]]))</f>
        <v>1.9960657025320128E-2</v>
      </c>
      <c r="P18" s="6">
        <f>_xlfn.RRI(5,Table1[[#This Row],[2019 U.S. Units]],Table1[[#This Row],[2024 U.S. Units]])</f>
        <v>1.2830478426484548E-2</v>
      </c>
      <c r="Q18" s="5">
        <v>5112400</v>
      </c>
      <c r="R18" s="6">
        <f>Table1[[#This Row],[2023 U.S. Sales ($000)]]/SUMIF($E:$E, E18, $Q:$Q)</f>
        <v>0.53198734693423089</v>
      </c>
      <c r="S18" s="8">
        <f>(Table1[[#This Row],[2023 Market share (%)]]-Table1[[#This Row],[2022 Market share (%)]])*10000</f>
        <v>205.47069264734819</v>
      </c>
      <c r="T18" s="10">
        <v>8.8439429423035981E-2</v>
      </c>
      <c r="U18" s="5">
        <v>908</v>
      </c>
      <c r="V18" s="5">
        <f t="shared" si="0"/>
        <v>5630.3964757709255</v>
      </c>
      <c r="W18" s="10">
        <v>2.367531003382187E-2</v>
      </c>
      <c r="X18" s="10">
        <f t="shared" si="1"/>
        <v>3.9471221890872155E-2</v>
      </c>
      <c r="Y18" s="8">
        <f>(Table1[[#This Row],[2023 Market share (%)]]-Table1[[#This Row],[2019 Market share (%)]])*10000</f>
        <v>519.01429205981231</v>
      </c>
      <c r="Z18" s="10">
        <f t="shared" si="2"/>
        <v>2.7236591468191795E-2</v>
      </c>
      <c r="AA18" s="10">
        <f t="shared" si="3"/>
        <v>1.1910236185408651E-2</v>
      </c>
      <c r="AB18" s="5">
        <v>4697000</v>
      </c>
      <c r="AC18" s="6">
        <f>Table1[[#This Row],[2022 U.S. Sales ($000)]]/SUMIF($E:$E, E18, $AB:$AB)</f>
        <v>0.51144027766949607</v>
      </c>
      <c r="AD18" s="5">
        <v>887</v>
      </c>
      <c r="AE18" s="5">
        <f t="shared" si="4"/>
        <v>5295.3776775648248</v>
      </c>
      <c r="AF18" s="5">
        <v>4181700</v>
      </c>
      <c r="AG18" s="6">
        <f>Table1[[#This Row],[2021 U.S. Sales ($000)]]/SUMIF($E:$E, E18, $AF:$AF)</f>
        <v>0.49940036606212834</v>
      </c>
      <c r="AH18" s="5">
        <v>876</v>
      </c>
      <c r="AI18" s="12">
        <f t="shared" si="5"/>
        <v>4773.6301369863013</v>
      </c>
      <c r="AJ18" s="5">
        <v>3544400</v>
      </c>
      <c r="AK18" s="6">
        <f>Table1[[#This Row],[2020 U.S. Sales ($000)]]/SUMIF($E:$E, E18, $AJ:$AJ)</f>
        <v>0.51376462755760754</v>
      </c>
      <c r="AL18" s="5">
        <v>868</v>
      </c>
      <c r="AM18" s="5">
        <f t="shared" si="6"/>
        <v>4083.4101382488479</v>
      </c>
      <c r="AN18" s="5">
        <v>4379000</v>
      </c>
      <c r="AO18" s="6">
        <f>Table1[[#This Row],[2019 U.S. Sales ($000)]]/SUMIF($E:$E, E18, $AN:$AN)</f>
        <v>0.48008591772824966</v>
      </c>
      <c r="AP18" s="5">
        <v>866</v>
      </c>
      <c r="AQ18" s="5">
        <f t="shared" si="7"/>
        <v>5056.5819861431874</v>
      </c>
      <c r="AV18" s="8"/>
      <c r="AW18" s="8"/>
    </row>
    <row r="19" spans="1:49" x14ac:dyDescent="0.25">
      <c r="A19" t="s">
        <v>74</v>
      </c>
      <c r="B19">
        <v>2440</v>
      </c>
      <c r="C19" t="s">
        <v>44</v>
      </c>
      <c r="D19" t="s">
        <v>56</v>
      </c>
      <c r="E19" t="s">
        <v>50</v>
      </c>
      <c r="F19" s="5">
        <v>28</v>
      </c>
      <c r="G19" s="5">
        <v>4960000</v>
      </c>
      <c r="H19" s="6">
        <f>Table1[[#This Row],[2024 U.S. Sales ($000)]]/SUMIF($E:$E, E19, $G:$G)</f>
        <v>9.4429425427407385E-2</v>
      </c>
      <c r="I19" s="5">
        <v>828</v>
      </c>
      <c r="J19" s="5">
        <f>Table1[[#This Row],[2024 U.S. Sales ($000)]]/Table1[[#This Row],[2024 U.S. Units]]</f>
        <v>5990.3381642512077</v>
      </c>
      <c r="K19" s="6">
        <f>Table1[[#This Row],[2024 U.S. Units]]/Table1[[#This Row],[2023 U.S. Units]]-1</f>
        <v>0.13892709766162303</v>
      </c>
      <c r="L19" s="8">
        <f>(Table1[[#This Row],[2024 Market share (%)]]-Table1[[#This Row],[2023 Market share (%)]])*10000</f>
        <v>177.08485739212063</v>
      </c>
      <c r="M19" s="6">
        <f>_xlfn.RRI(5,Table1[[#This Row],[2019 U.S. Sales ($000)]],Table1[[#This Row],[2024 U.S. Sales ($000)]])</f>
        <v>0.27602671151060876</v>
      </c>
      <c r="N19" s="9">
        <f>(Table1[[#This Row],[2024 Market share (%)]]-Table1[[#This Row],[2019 Market share (%)]])*10000</f>
        <v>466.71061805725583</v>
      </c>
      <c r="O19" s="6">
        <f>IF(Table1[[#This Row],[2024 AUV]]=0,"",_xlfn.RRI(5,Table1[[#This Row],[2019 AUV]],Table1[[#This Row],[2024 AUV]]))</f>
        <v>0.13301833633163285</v>
      </c>
      <c r="P19" s="6">
        <f>_xlfn.RRI(5,Table1[[#This Row],[2019 U.S. Units]],Table1[[#This Row],[2024 U.S. Units]])</f>
        <v>0.12621894155922764</v>
      </c>
      <c r="Q19" s="5">
        <v>3758000</v>
      </c>
      <c r="R19" s="6">
        <f>Table1[[#This Row],[2023 U.S. Sales ($000)]]/SUMIF($E:$E, E19, $Q:$Q)</f>
        <v>7.6720939688195322E-2</v>
      </c>
      <c r="S19" s="8">
        <f>(Table1[[#This Row],[2023 Market share (%)]]-Table1[[#This Row],[2022 Market share (%)]])*10000</f>
        <v>52.592796709620139</v>
      </c>
      <c r="T19" s="10">
        <v>0.20525978191148173</v>
      </c>
      <c r="U19" s="5">
        <v>727</v>
      </c>
      <c r="V19" s="5">
        <f t="shared" si="0"/>
        <v>5169.1884456671251</v>
      </c>
      <c r="W19" s="10">
        <v>0.12538699690402477</v>
      </c>
      <c r="X19" s="10">
        <f t="shared" si="1"/>
        <v>0.26529992403400904</v>
      </c>
      <c r="Y19" s="8">
        <f>(Table1[[#This Row],[2023 Market share (%)]]-Table1[[#This Row],[2019 Market share (%)]])*10000</f>
        <v>289.6257606651352</v>
      </c>
      <c r="Z19" s="10">
        <f t="shared" si="2"/>
        <v>0.12664976193587041</v>
      </c>
      <c r="AA19" s="10">
        <f t="shared" si="3"/>
        <v>0.12306412053014815</v>
      </c>
      <c r="AB19" s="5">
        <v>3118000</v>
      </c>
      <c r="AC19" s="6">
        <f>Table1[[#This Row],[2022 U.S. Sales ($000)]]/SUMIF($E:$E, E19, $AB:$AB)</f>
        <v>7.1461660017233308E-2</v>
      </c>
      <c r="AD19" s="5">
        <v>646</v>
      </c>
      <c r="AE19" s="5">
        <f t="shared" si="4"/>
        <v>4826.6253869969041</v>
      </c>
      <c r="AF19" s="5">
        <v>2377000</v>
      </c>
      <c r="AG19" s="6">
        <f>Table1[[#This Row],[2021 U.S. Sales ($000)]]/SUMIF($E:$E, E19, $AF:$AF)</f>
        <v>6.0460588611427835E-2</v>
      </c>
      <c r="AH19" s="5">
        <v>567</v>
      </c>
      <c r="AI19" s="12">
        <f t="shared" si="5"/>
        <v>4192.239858906526</v>
      </c>
      <c r="AJ19" s="5">
        <v>1722500</v>
      </c>
      <c r="AK19" s="6">
        <f>Table1[[#This Row],[2020 U.S. Sales ($000)]]/SUMIF($E:$E, E19, $AJ:$AJ)</f>
        <v>5.0932424101595652E-2</v>
      </c>
      <c r="AL19" s="5">
        <v>509</v>
      </c>
      <c r="AM19" s="5">
        <f t="shared" si="6"/>
        <v>3384.0864440078585</v>
      </c>
      <c r="AN19" s="5">
        <v>1466165</v>
      </c>
      <c r="AO19" s="6">
        <f>Table1[[#This Row],[2019 U.S. Sales ($000)]]/SUMIF($E:$E, E19, $AN:$AN)</f>
        <v>4.7758363621681801E-2</v>
      </c>
      <c r="AP19" s="5">
        <v>457</v>
      </c>
      <c r="AQ19" s="5">
        <f t="shared" si="7"/>
        <v>3208.2385120350109</v>
      </c>
      <c r="AV19" s="8"/>
      <c r="AW19" s="8"/>
    </row>
    <row r="20" spans="1:49" x14ac:dyDescent="0.25">
      <c r="A20" t="s">
        <v>75</v>
      </c>
      <c r="B20">
        <v>491</v>
      </c>
      <c r="C20" t="s">
        <v>44</v>
      </c>
      <c r="D20" t="s">
        <v>45</v>
      </c>
      <c r="E20" t="s">
        <v>76</v>
      </c>
      <c r="F20" s="5">
        <v>18</v>
      </c>
      <c r="G20" s="5">
        <v>4909000</v>
      </c>
      <c r="H20" s="6">
        <f>Table1[[#This Row],[2024 U.S. Sales ($000)]]/SUMIF($E:$E, E20, $G:$G)</f>
        <v>0.69769755542922118</v>
      </c>
      <c r="I20" s="5">
        <v>4212</v>
      </c>
      <c r="J20" s="5">
        <f>Table1[[#This Row],[2024 U.S. Sales ($000)]]/Table1[[#This Row],[2024 U.S. Units]]</f>
        <v>1165.4795821462487</v>
      </c>
      <c r="K20" s="6">
        <f>Table1[[#This Row],[2024 U.S. Units]]/Table1[[#This Row],[2023 U.S. Units]]-1</f>
        <v>-9.873060648801113E-3</v>
      </c>
      <c r="L20" s="8">
        <f>(Table1[[#This Row],[2024 Market share (%)]]-Table1[[#This Row],[2023 Market share (%)]])*10000</f>
        <v>854.46379403483206</v>
      </c>
      <c r="M20" s="6">
        <f>_xlfn.RRI(5,Table1[[#This Row],[2019 U.S. Sales ($000)]],Table1[[#This Row],[2024 U.S. Sales ($000)]])</f>
        <v>5.4757853556200775E-2</v>
      </c>
      <c r="N20" s="9">
        <f>(Table1[[#This Row],[2024 Market share (%)]]-Table1[[#This Row],[2019 Market share (%)]])*10000</f>
        <v>1054.366603625052</v>
      </c>
      <c r="O20" s="6">
        <f>IF(Table1[[#This Row],[2024 AUV]]=0,"",_xlfn.RRI(5,Table1[[#This Row],[2019 AUV]],Table1[[#This Row],[2024 AUV]]))</f>
        <v>6.3089297281553547E-2</v>
      </c>
      <c r="P20" s="6">
        <f>_xlfn.RRI(5,Table1[[#This Row],[2019 U.S. Units]],Table1[[#This Row],[2024 U.S. Units]])</f>
        <v>-7.8370121368518397E-3</v>
      </c>
      <c r="Q20" s="5">
        <v>4967664</v>
      </c>
      <c r="R20" s="6">
        <f>Table1[[#This Row],[2023 U.S. Sales ($000)]]/SUMIF($E:$E, E20, $Q:$Q)</f>
        <v>0.61225117602573798</v>
      </c>
      <c r="S20" s="8">
        <f>(Table1[[#This Row],[2023 Market share (%)]]-Table1[[#This Row],[2022 Market share (%)]])*10000</f>
        <v>41.199828165359165</v>
      </c>
      <c r="T20" s="10">
        <v>8.4866163491740768E-2</v>
      </c>
      <c r="U20" s="5">
        <v>4254</v>
      </c>
      <c r="V20" s="5">
        <f t="shared" si="0"/>
        <v>1167.7630465444288</v>
      </c>
      <c r="W20" s="10">
        <v>-1.2305549106106338E-2</v>
      </c>
      <c r="X20" s="10">
        <f t="shared" si="1"/>
        <v>7.2088790271647607E-2</v>
      </c>
      <c r="Y20" s="8">
        <f>(Table1[[#This Row],[2023 Market share (%)]]-Table1[[#This Row],[2019 Market share (%)]])*10000</f>
        <v>199.90280959021999</v>
      </c>
      <c r="Z20" s="10">
        <f t="shared" si="2"/>
        <v>8.0002341271795618E-2</v>
      </c>
      <c r="AA20" s="10">
        <f t="shared" si="3"/>
        <v>-7.3273461526287553E-3</v>
      </c>
      <c r="AB20" s="5">
        <v>4579057</v>
      </c>
      <c r="AC20" s="6">
        <f>Table1[[#This Row],[2022 U.S. Sales ($000)]]/SUMIF($E:$E, E20, $AB:$AB)</f>
        <v>0.60813119320920206</v>
      </c>
      <c r="AD20" s="5">
        <v>4307</v>
      </c>
      <c r="AE20" s="5">
        <f t="shared" si="4"/>
        <v>1063.1662410030183</v>
      </c>
      <c r="AF20" s="5">
        <v>4493655</v>
      </c>
      <c r="AG20" s="6">
        <f>Table1[[#This Row],[2021 U.S. Sales ($000)]]/SUMIF($E:$E, E20, $AF:$AF)</f>
        <v>0.6154804814429482</v>
      </c>
      <c r="AH20" s="5">
        <v>4339</v>
      </c>
      <c r="AI20" s="12">
        <f t="shared" si="5"/>
        <v>1035.6430053007605</v>
      </c>
      <c r="AJ20" s="5">
        <v>3981900</v>
      </c>
      <c r="AK20" s="6">
        <f>Table1[[#This Row],[2020 U.S. Sales ($000)]]/SUMIF($E:$E, E20, $AJ:$AJ)</f>
        <v>0.62312467156811968</v>
      </c>
      <c r="AL20" s="5">
        <v>4361</v>
      </c>
      <c r="AM20" s="5">
        <f t="shared" si="6"/>
        <v>913.07039669800508</v>
      </c>
      <c r="AN20" s="5">
        <v>3760358</v>
      </c>
      <c r="AO20" s="6">
        <f>Table1[[#This Row],[2019 U.S. Sales ($000)]]/SUMIF($E:$E, E20, $AN:$AN)</f>
        <v>0.59226089506671598</v>
      </c>
      <c r="AP20" s="5">
        <v>4381</v>
      </c>
      <c r="AQ20" s="5">
        <f t="shared" si="7"/>
        <v>858.33325724720385</v>
      </c>
      <c r="AV20" s="8"/>
      <c r="AW20" s="8"/>
    </row>
    <row r="21" spans="1:49" x14ac:dyDescent="0.25">
      <c r="A21" t="s">
        <v>77</v>
      </c>
      <c r="B21">
        <v>516</v>
      </c>
      <c r="C21" t="s">
        <v>44</v>
      </c>
      <c r="D21" t="s">
        <v>45</v>
      </c>
      <c r="E21" t="s">
        <v>50</v>
      </c>
      <c r="F21" s="5">
        <v>16</v>
      </c>
      <c r="G21" s="5">
        <v>4907000</v>
      </c>
      <c r="H21" s="6">
        <f>Table1[[#This Row],[2024 U.S. Sales ($000)]]/SUMIF($E:$E, E21, $G:$G)</f>
        <v>9.3420401325058064E-2</v>
      </c>
      <c r="I21" s="5">
        <v>3669</v>
      </c>
      <c r="J21" s="5">
        <f>Table1[[#This Row],[2024 U.S. Sales ($000)]]/Table1[[#This Row],[2024 U.S. Units]]</f>
        <v>1337.4216407740528</v>
      </c>
      <c r="K21" s="6">
        <f>Table1[[#This Row],[2024 U.S. Units]]/Table1[[#This Row],[2023 U.S. Units]]-1</f>
        <v>-3.2181482458454203E-2</v>
      </c>
      <c r="L21" s="8">
        <f>(Table1[[#This Row],[2024 Market share (%)]]-Table1[[#This Row],[2023 Market share (%)]])*10000</f>
        <v>-122.49525185346138</v>
      </c>
      <c r="M21" s="6">
        <f>_xlfn.RRI(5,Table1[[#This Row],[2019 U.S. Sales ($000)]],Table1[[#This Row],[2024 U.S. Sales ($000)]])</f>
        <v>1.5400388699587042E-2</v>
      </c>
      <c r="N21" s="9">
        <f>(Table1[[#This Row],[2024 Market share (%)]]-Table1[[#This Row],[2019 Market share (%)]])*10000</f>
        <v>-546.59467601130643</v>
      </c>
      <c r="O21" s="6">
        <f>IF(Table1[[#This Row],[2024 AUV]]=0,"",_xlfn.RRI(5,Table1[[#This Row],[2019 AUV]],Table1[[#This Row],[2024 AUV]]))</f>
        <v>3.642980330754475E-2</v>
      </c>
      <c r="P21" s="6">
        <f>_xlfn.RRI(5,Table1[[#This Row],[2019 U.S. Units]],Table1[[#This Row],[2024 U.S. Units]])</f>
        <v>-2.0290244974475624E-2</v>
      </c>
      <c r="Q21" s="5">
        <v>5176000</v>
      </c>
      <c r="R21" s="6">
        <f>Table1[[#This Row],[2023 U.S. Sales ($000)]]/SUMIF($E:$E, E21, $Q:$Q)</f>
        <v>0.1056699265104042</v>
      </c>
      <c r="S21" s="8">
        <f>(Table1[[#This Row],[2023 Market share (%)]]-Table1[[#This Row],[2022 Market share (%)]])*10000</f>
        <v>-109.19382183523257</v>
      </c>
      <c r="T21" s="10">
        <v>1.7495576960880676E-2</v>
      </c>
      <c r="U21" s="5">
        <v>3791</v>
      </c>
      <c r="V21" s="5">
        <f t="shared" si="0"/>
        <v>1365.3389606963863</v>
      </c>
      <c r="W21" s="10">
        <v>-3.2414497192445123E-2</v>
      </c>
      <c r="X21" s="10">
        <f t="shared" si="1"/>
        <v>3.297832561949976E-2</v>
      </c>
      <c r="Y21" s="8">
        <f>(Table1[[#This Row],[2023 Market share (%)]]-Table1[[#This Row],[2019 Market share (%)]])*10000</f>
        <v>-424.09942415784508</v>
      </c>
      <c r="Z21" s="10">
        <f t="shared" si="2"/>
        <v>5.1157759228442901E-2</v>
      </c>
      <c r="AA21" s="10">
        <f t="shared" si="3"/>
        <v>-1.7294676702274359E-2</v>
      </c>
      <c r="AB21" s="5">
        <v>5087000</v>
      </c>
      <c r="AC21" s="6">
        <f>Table1[[#This Row],[2022 U.S. Sales ($000)]]/SUMIF($E:$E, E21, $AB:$AB)</f>
        <v>0.11658930869392746</v>
      </c>
      <c r="AD21" s="5">
        <v>3918</v>
      </c>
      <c r="AE21" s="5">
        <f t="shared" si="4"/>
        <v>1298.36651352731</v>
      </c>
      <c r="AF21" s="5">
        <v>5079000</v>
      </c>
      <c r="AG21" s="6">
        <f>Table1[[#This Row],[2021 U.S. Sales ($000)]]/SUMIF($E:$E, E21, $AF:$AF)</f>
        <v>0.1291877701125124</v>
      </c>
      <c r="AH21" s="5">
        <v>3953</v>
      </c>
      <c r="AI21" s="12">
        <f t="shared" si="5"/>
        <v>1284.8469516822665</v>
      </c>
      <c r="AJ21" s="5">
        <v>4742000</v>
      </c>
      <c r="AK21" s="6">
        <f>Table1[[#This Row],[2020 U.S. Sales ($000)]]/SUMIF($E:$E, E21, $AJ:$AJ)</f>
        <v>0.14021570687359453</v>
      </c>
      <c r="AL21" s="5">
        <v>3943</v>
      </c>
      <c r="AM21" s="5">
        <f t="shared" si="6"/>
        <v>1202.6375855947249</v>
      </c>
      <c r="AN21" s="5">
        <v>4546000</v>
      </c>
      <c r="AO21" s="6">
        <f>Table1[[#This Row],[2019 U.S. Sales ($000)]]/SUMIF($E:$E, E21, $AN:$AN)</f>
        <v>0.14807986892618871</v>
      </c>
      <c r="AP21" s="5">
        <v>4065</v>
      </c>
      <c r="AQ21" s="5">
        <f t="shared" si="7"/>
        <v>1118.3271832718326</v>
      </c>
      <c r="AV21" s="8"/>
      <c r="AW21" s="8"/>
    </row>
    <row r="22" spans="1:49" x14ac:dyDescent="0.25">
      <c r="A22" t="s">
        <v>78</v>
      </c>
      <c r="B22">
        <v>482</v>
      </c>
      <c r="C22" t="s">
        <v>68</v>
      </c>
      <c r="D22" t="s">
        <v>69</v>
      </c>
      <c r="E22" t="s">
        <v>79</v>
      </c>
      <c r="F22" s="5">
        <v>24</v>
      </c>
      <c r="G22" s="5">
        <v>4571000</v>
      </c>
      <c r="H22" s="6">
        <f>Table1[[#This Row],[2024 U.S. Sales ($000)]]/SUMIF($E:$E, E22, $G:$G)</f>
        <v>0.21974905052641699</v>
      </c>
      <c r="I22" s="5">
        <v>1209</v>
      </c>
      <c r="J22" s="5">
        <f>Table1[[#This Row],[2024 U.S. Sales ($000)]]/Table1[[#This Row],[2024 U.S. Units]]</f>
        <v>3780.8105872622</v>
      </c>
      <c r="K22" s="6">
        <f>Table1[[#This Row],[2024 U.S. Units]]/Table1[[#This Row],[2023 U.S. Units]]-1</f>
        <v>-1.7073170731707332E-2</v>
      </c>
      <c r="L22" s="8">
        <f>(Table1[[#This Row],[2024 Market share (%)]]-Table1[[#This Row],[2023 Market share (%)]])*10000</f>
        <v>529.64141084740402</v>
      </c>
      <c r="M22" s="6">
        <f>_xlfn.RRI(5,Table1[[#This Row],[2019 U.S. Sales ($000)]],Table1[[#This Row],[2024 U.S. Sales ($000)]])</f>
        <v>6.1791403633364217E-2</v>
      </c>
      <c r="N22" s="9">
        <f>(Table1[[#This Row],[2024 Market share (%)]]-Table1[[#This Row],[2019 Market share (%)]])*10000</f>
        <v>714.36230369745749</v>
      </c>
      <c r="O22" s="6">
        <f>IF(Table1[[#This Row],[2024 AUV]]=0,"",_xlfn.RRI(5,Table1[[#This Row],[2019 AUV]],Table1[[#This Row],[2024 AUV]]))</f>
        <v>6.7181484796018154E-2</v>
      </c>
      <c r="P22" s="6">
        <f>_xlfn.RRI(5,Table1[[#This Row],[2019 U.S. Units]],Table1[[#This Row],[2024 U.S. Units]])</f>
        <v>-5.0507633794680817E-3</v>
      </c>
      <c r="Q22" s="5">
        <v>4023300</v>
      </c>
      <c r="R22" s="6">
        <f>Table1[[#This Row],[2023 U.S. Sales ($000)]]/SUMIF($E:$E, E22, $Q:$Q)</f>
        <v>0.16678490944167659</v>
      </c>
      <c r="S22" s="8">
        <f>(Table1[[#This Row],[2023 Market share (%)]]-Table1[[#This Row],[2022 Market share (%)]])*10000</f>
        <v>58.744729959836484</v>
      </c>
      <c r="T22" s="10">
        <v>6.3211860151687324E-2</v>
      </c>
      <c r="U22" s="5">
        <v>1230</v>
      </c>
      <c r="V22" s="5">
        <f t="shared" si="0"/>
        <v>3270.9756097560976</v>
      </c>
      <c r="W22" s="10">
        <v>2.4449877750611247E-3</v>
      </c>
      <c r="X22" s="10">
        <f t="shared" si="1"/>
        <v>4.3979101867506643E-2</v>
      </c>
      <c r="Y22" s="8">
        <f>(Table1[[#This Row],[2023 Market share (%)]]-Table1[[#This Row],[2019 Market share (%)]])*10000</f>
        <v>184.7208928500535</v>
      </c>
      <c r="Z22" s="10">
        <f t="shared" si="2"/>
        <v>4.6094571887365765E-2</v>
      </c>
      <c r="AA22" s="10">
        <f t="shared" si="3"/>
        <v>-2.0222550395634364E-3</v>
      </c>
      <c r="AB22" s="5">
        <v>3784100</v>
      </c>
      <c r="AC22" s="6">
        <f>Table1[[#This Row],[2022 U.S. Sales ($000)]]/SUMIF($E:$E, E22, $AB:$AB)</f>
        <v>0.16091043644569294</v>
      </c>
      <c r="AD22" s="5">
        <v>1227</v>
      </c>
      <c r="AE22" s="5">
        <f t="shared" si="4"/>
        <v>3084.0260798696008</v>
      </c>
      <c r="AF22" s="5">
        <v>3585800</v>
      </c>
      <c r="AG22" s="6">
        <f>Table1[[#This Row],[2021 U.S. Sales ($000)]]/SUMIF($E:$E, E22, $AF:$AF)</f>
        <v>0.16509128293808892</v>
      </c>
      <c r="AH22" s="5">
        <v>1234</v>
      </c>
      <c r="AI22" s="12">
        <f t="shared" si="5"/>
        <v>2905.8346839546193</v>
      </c>
      <c r="AJ22" s="5">
        <v>2930000</v>
      </c>
      <c r="AK22" s="6">
        <f>Table1[[#This Row],[2020 U.S. Sales ($000)]]/SUMIF($E:$E, E22, $AJ:$AJ)</f>
        <v>0.17968518542253953</v>
      </c>
      <c r="AL22" s="5">
        <v>1232</v>
      </c>
      <c r="AM22" s="5">
        <f t="shared" si="6"/>
        <v>2378.2467532467531</v>
      </c>
      <c r="AN22" s="5">
        <v>3387000</v>
      </c>
      <c r="AO22" s="6">
        <f>Table1[[#This Row],[2019 U.S. Sales ($000)]]/SUMIF($E:$E, E22, $AN:$AN)</f>
        <v>0.14831282015667124</v>
      </c>
      <c r="AP22" s="5">
        <v>1240</v>
      </c>
      <c r="AQ22" s="5">
        <f t="shared" si="7"/>
        <v>2731.4516129032259</v>
      </c>
      <c r="AV22" s="8"/>
      <c r="AW22" s="8"/>
    </row>
    <row r="23" spans="1:49" x14ac:dyDescent="0.25">
      <c r="A23" t="s">
        <v>80</v>
      </c>
      <c r="B23">
        <v>821</v>
      </c>
      <c r="C23" t="s">
        <v>44</v>
      </c>
      <c r="D23" t="s">
        <v>45</v>
      </c>
      <c r="E23" t="s">
        <v>61</v>
      </c>
      <c r="F23" s="5">
        <v>21</v>
      </c>
      <c r="G23" s="5">
        <v>4420000</v>
      </c>
      <c r="H23" s="6">
        <f>Table1[[#This Row],[2024 U.S. Sales ($000)]]/SUMIF($E:$E, E23, $G:$G)</f>
        <v>0.15039128955427017</v>
      </c>
      <c r="I23" s="5">
        <v>4285</v>
      </c>
      <c r="J23" s="5">
        <f>Table1[[#This Row],[2024 U.S. Sales ($000)]]/Table1[[#This Row],[2024 U.S. Units]]</f>
        <v>1031.5052508751457</v>
      </c>
      <c r="K23" s="6">
        <f>Table1[[#This Row],[2024 U.S. Units]]/Table1[[#This Row],[2023 U.S. Units]]-1</f>
        <v>1.6125207493478788E-2</v>
      </c>
      <c r="L23" s="8">
        <f>(Table1[[#This Row],[2024 Market share (%)]]-Table1[[#This Row],[2023 Market share (%)]])*10000</f>
        <v>46.737888176130724</v>
      </c>
      <c r="M23" s="6">
        <f>_xlfn.RRI(5,Table1[[#This Row],[2019 U.S. Sales ($000)]],Table1[[#This Row],[2024 U.S. Sales ($000)]])</f>
        <v>2.9942242816905607E-2</v>
      </c>
      <c r="N23" s="9">
        <f>(Table1[[#This Row],[2024 Market share (%)]]-Table1[[#This Row],[2019 Market share (%)]])*10000</f>
        <v>26.19167975065173</v>
      </c>
      <c r="O23" s="6">
        <f>IF(Table1[[#This Row],[2024 AUV]]=0,"",_xlfn.RRI(5,Table1[[#This Row],[2019 AUV]],Table1[[#This Row],[2024 AUV]]))</f>
        <v>2.650628314755421E-2</v>
      </c>
      <c r="P23" s="6">
        <f>_xlfn.RRI(5,Table1[[#This Row],[2019 U.S. Units]],Table1[[#This Row],[2024 U.S. Units]])</f>
        <v>3.3472368613427506E-3</v>
      </c>
      <c r="Q23" s="5">
        <v>4451200</v>
      </c>
      <c r="R23" s="6">
        <f>Table1[[#This Row],[2023 U.S. Sales ($000)]]/SUMIF($E:$E, E23, $Q:$Q)</f>
        <v>0.1457175007366571</v>
      </c>
      <c r="S23" s="8">
        <f>(Table1[[#This Row],[2023 Market share (%)]]-Table1[[#This Row],[2022 Market share (%)]])*10000</f>
        <v>7.7954548735828517</v>
      </c>
      <c r="T23" s="10">
        <v>3.4609394974780931E-2</v>
      </c>
      <c r="U23" s="5">
        <v>4217</v>
      </c>
      <c r="V23" s="5">
        <f t="shared" si="0"/>
        <v>1055.5371116907754</v>
      </c>
      <c r="W23" s="10">
        <v>1.054397316079559E-2</v>
      </c>
      <c r="X23" s="10">
        <f t="shared" si="1"/>
        <v>3.9393025898796008E-2</v>
      </c>
      <c r="Y23" s="8">
        <f>(Table1[[#This Row],[2023 Market share (%)]]-Table1[[#This Row],[2019 Market share (%)]])*10000</f>
        <v>-20.546208425478994</v>
      </c>
      <c r="Z23" s="10">
        <f t="shared" si="2"/>
        <v>3.9208118898406807E-2</v>
      </c>
      <c r="AA23" s="10">
        <f t="shared" si="3"/>
        <v>1.7793067339111346E-4</v>
      </c>
      <c r="AB23" s="5">
        <v>4302300</v>
      </c>
      <c r="AC23" s="6">
        <f>Table1[[#This Row],[2022 U.S. Sales ($000)]]/SUMIF($E:$E, E23, $AB:$AB)</f>
        <v>0.14493795524929881</v>
      </c>
      <c r="AD23" s="5">
        <v>4173</v>
      </c>
      <c r="AE23" s="5">
        <f t="shared" si="4"/>
        <v>1030.9849029475197</v>
      </c>
      <c r="AF23" s="5">
        <v>4233500</v>
      </c>
      <c r="AG23" s="6">
        <f>Table1[[#This Row],[2021 U.S. Sales ($000)]]/SUMIF($E:$E, E23, $AF:$AF)</f>
        <v>0.14563844923862757</v>
      </c>
      <c r="AH23" s="5">
        <v>4181</v>
      </c>
      <c r="AI23" s="12">
        <f t="shared" si="5"/>
        <v>1012.5568045922029</v>
      </c>
      <c r="AJ23" s="5">
        <v>3985000</v>
      </c>
      <c r="AK23" s="6">
        <f>Table1[[#This Row],[2020 U.S. Sales ($000)]]/SUMIF($E:$E, E23, $AJ:$AJ)</f>
        <v>0.14722769148568404</v>
      </c>
      <c r="AL23" s="5">
        <v>4209</v>
      </c>
      <c r="AM23" s="5">
        <f t="shared" si="6"/>
        <v>946.78070800665239</v>
      </c>
      <c r="AN23" s="5">
        <v>3813800</v>
      </c>
      <c r="AO23" s="6">
        <f>Table1[[#This Row],[2019 U.S. Sales ($000)]]/SUMIF($E:$E, E23, $AN:$AN)</f>
        <v>0.147772121579205</v>
      </c>
      <c r="AP23" s="5">
        <v>4214</v>
      </c>
      <c r="AQ23" s="5">
        <f t="shared" si="7"/>
        <v>905.03084954912197</v>
      </c>
      <c r="AU23" s="8"/>
      <c r="AV23" s="8"/>
      <c r="AW23" s="8"/>
    </row>
    <row r="24" spans="1:49" x14ac:dyDescent="0.25">
      <c r="A24" t="s">
        <v>81</v>
      </c>
      <c r="B24">
        <v>514</v>
      </c>
      <c r="C24" t="s">
        <v>44</v>
      </c>
      <c r="D24" t="s">
        <v>45</v>
      </c>
      <c r="E24" t="s">
        <v>46</v>
      </c>
      <c r="F24" s="5">
        <v>22</v>
      </c>
      <c r="G24" s="5">
        <v>4396000</v>
      </c>
      <c r="H24" s="6">
        <f>Table1[[#This Row],[2024 U.S. Sales ($000)]]/SUMIF($E:$E, E24, $G:$G)</f>
        <v>3.9870243218550962E-2</v>
      </c>
      <c r="I24" s="5">
        <v>2191</v>
      </c>
      <c r="J24" s="7">
        <f>Table1[[#This Row],[2024 U.S. Sales ($000)]]/Table1[[#This Row],[2024 U.S. Units]]</f>
        <v>2006.3897763578275</v>
      </c>
      <c r="K24" s="6">
        <f>Table1[[#This Row],[2024 U.S. Units]]/Table1[[#This Row],[2023 U.S. Units]]-1</f>
        <v>2.2872827081428238E-3</v>
      </c>
      <c r="L24" s="8">
        <f>(Table1[[#This Row],[2024 Market share (%)]]-Table1[[#This Row],[2023 Market share (%)]])*10000</f>
        <v>-4.9886082703475694</v>
      </c>
      <c r="M24" s="6">
        <f>_xlfn.RRI(5,Table1[[#This Row],[2019 U.S. Sales ($000)]],Table1[[#This Row],[2024 U.S. Sales ($000)]])</f>
        <v>4.6358960832440177E-2</v>
      </c>
      <c r="N24" s="9">
        <f>(Table1[[#This Row],[2024 Market share (%)]]-Table1[[#This Row],[2019 Market share (%)]])*10000</f>
        <v>-6.4289301872354212</v>
      </c>
      <c r="O24" s="6">
        <f>IF(Table1[[#This Row],[2024 AUV]]=0,"",_xlfn.RRI(5,Table1[[#This Row],[2019 AUV]],Table1[[#This Row],[2024 AUV]]))</f>
        <v>5.1279212797038065E-2</v>
      </c>
      <c r="P24" s="6">
        <f>_xlfn.RRI(5,Table1[[#This Row],[2019 U.S. Units]],Table1[[#This Row],[2024 U.S. Units]])</f>
        <v>-4.6802523104276794E-3</v>
      </c>
      <c r="Q24" s="5">
        <v>4419733</v>
      </c>
      <c r="R24" s="6">
        <f>Table1[[#This Row],[2023 U.S. Sales ($000)]]/SUMIF($E:$E, E24, $Q:$Q)</f>
        <v>4.0369104045585719E-2</v>
      </c>
      <c r="S24" s="8">
        <f>(Table1[[#This Row],[2023 Market share (%)]]-Table1[[#This Row],[2022 Market share (%)]])*10000</f>
        <v>1.3207700199921457</v>
      </c>
      <c r="T24" s="10">
        <v>7.5088262294571551E-2</v>
      </c>
      <c r="U24" s="5">
        <v>2186</v>
      </c>
      <c r="V24" s="5">
        <f t="shared" si="0"/>
        <v>2021.8357731015553</v>
      </c>
      <c r="W24" s="10">
        <v>2.2925263640531865E-3</v>
      </c>
      <c r="X24" s="10">
        <f t="shared" si="1"/>
        <v>5.9706162572899402E-2</v>
      </c>
      <c r="Y24" s="8">
        <f>(Table1[[#This Row],[2023 Market share (%)]]-Table1[[#This Row],[2019 Market share (%)]])*10000</f>
        <v>-1.4403219168878518</v>
      </c>
      <c r="Z24" s="10">
        <f t="shared" si="2"/>
        <v>6.6547590523215128E-2</v>
      </c>
      <c r="AA24" s="10">
        <f t="shared" si="3"/>
        <v>-6.4145547850888995E-3</v>
      </c>
      <c r="AB24" s="5">
        <v>4111042</v>
      </c>
      <c r="AC24" s="6">
        <f>Table1[[#This Row],[2022 U.S. Sales ($000)]]/SUMIF($E:$E, E24, $AB:$AB)</f>
        <v>4.0237027043586504E-2</v>
      </c>
      <c r="AD24" s="5">
        <v>2181</v>
      </c>
      <c r="AE24" s="5">
        <f t="shared" si="4"/>
        <v>1884.9344337459881</v>
      </c>
      <c r="AF24" s="5">
        <v>4155340</v>
      </c>
      <c r="AG24" s="6">
        <f>Table1[[#This Row],[2021 U.S. Sales ($000)]]/SUMIF($E:$E, E24, $AF:$AF)</f>
        <v>4.2709478968900955E-2</v>
      </c>
      <c r="AH24" s="5">
        <v>2218</v>
      </c>
      <c r="AI24" s="12">
        <f t="shared" si="5"/>
        <v>1873.4625788999099</v>
      </c>
      <c r="AJ24" s="5">
        <v>3672732</v>
      </c>
      <c r="AK24" s="6">
        <f>Table1[[#This Row],[2020 U.S. Sales ($000)]]/SUMIF($E:$E, E24, $AJ:$AJ)</f>
        <v>4.2030109738862738E-2</v>
      </c>
      <c r="AL24" s="5">
        <v>2241</v>
      </c>
      <c r="AM24" s="5">
        <f t="shared" si="6"/>
        <v>1638.8808567603749</v>
      </c>
      <c r="AN24" s="5">
        <v>3504727</v>
      </c>
      <c r="AO24" s="6">
        <f>Table1[[#This Row],[2019 U.S. Sales ($000)]]/SUMIF($E:$E, E24, $AN:$AN)</f>
        <v>4.0513136237274504E-2</v>
      </c>
      <c r="AP24" s="5">
        <v>2243</v>
      </c>
      <c r="AQ24" s="5">
        <f t="shared" si="7"/>
        <v>1562.5176103432902</v>
      </c>
      <c r="AU24" s="8"/>
      <c r="AV24" s="8"/>
      <c r="AW24" s="8"/>
    </row>
    <row r="25" spans="1:49" x14ac:dyDescent="0.25">
      <c r="A25" t="s">
        <v>82</v>
      </c>
      <c r="B25">
        <v>2409</v>
      </c>
      <c r="C25" t="s">
        <v>44</v>
      </c>
      <c r="D25" t="s">
        <v>56</v>
      </c>
      <c r="E25" t="s">
        <v>50</v>
      </c>
      <c r="F25" s="5">
        <v>32</v>
      </c>
      <c r="G25" s="5">
        <v>4392000</v>
      </c>
      <c r="H25" s="6">
        <f>Table1[[#This Row],[2024 U.S. Sales ($000)]]/SUMIF($E:$E, E25, $G:$G)</f>
        <v>8.3615733160720407E-2</v>
      </c>
      <c r="I25" s="5">
        <v>2204</v>
      </c>
      <c r="J25" s="5">
        <f>Table1[[#This Row],[2024 U.S. Sales ($000)]]/Table1[[#This Row],[2024 U.S. Units]]</f>
        <v>1992.7404718693285</v>
      </c>
      <c r="K25" s="6">
        <f>Table1[[#This Row],[2024 U.S. Units]]/Table1[[#This Row],[2023 U.S. Units]]-1</f>
        <v>0.1443406022845275</v>
      </c>
      <c r="L25" s="8">
        <f>(Table1[[#This Row],[2024 Market share (%)]]-Table1[[#This Row],[2023 Market share (%)]])*10000</f>
        <v>180.6608091195576</v>
      </c>
      <c r="M25" s="6">
        <f>_xlfn.RRI(5,Table1[[#This Row],[2019 U.S. Sales ($000)]],Table1[[#This Row],[2024 U.S. Sales ($000)]])</f>
        <v>0.26107051218415167</v>
      </c>
      <c r="N25" s="9">
        <f>(Table1[[#This Row],[2024 Market share (%)]]-Table1[[#This Row],[2019 Market share (%)]])*10000</f>
        <v>387.58542773950842</v>
      </c>
      <c r="O25" s="6">
        <f>IF(Table1[[#This Row],[2024 AUV]]=0,"",_xlfn.RRI(5,Table1[[#This Row],[2019 AUV]],Table1[[#This Row],[2024 AUV]]))</f>
        <v>0.12240259776129769</v>
      </c>
      <c r="P25" s="6">
        <f>_xlfn.RRI(5,Table1[[#This Row],[2019 U.S. Units]],Table1[[#This Row],[2024 U.S. Units]])</f>
        <v>0.12354561072776904</v>
      </c>
      <c r="Q25" s="5">
        <v>3210800</v>
      </c>
      <c r="R25" s="6">
        <f>Table1[[#This Row],[2023 U.S. Sales ($000)]]/SUMIF($E:$E, E25, $Q:$Q)</f>
        <v>6.5549652248764648E-2</v>
      </c>
      <c r="S25" s="8">
        <f>(Table1[[#This Row],[2023 Market share (%)]]-Table1[[#This Row],[2022 Market share (%)]])*10000</f>
        <v>75.87324415671948</v>
      </c>
      <c r="T25" s="10">
        <v>0.26959272439699489</v>
      </c>
      <c r="U25" s="5">
        <v>1926</v>
      </c>
      <c r="V25" s="5">
        <f t="shared" si="0"/>
        <v>1667.0820353063343</v>
      </c>
      <c r="W25" s="10">
        <v>0.11911679256246369</v>
      </c>
      <c r="X25" s="10">
        <f t="shared" si="1"/>
        <v>0.23569686256548605</v>
      </c>
      <c r="Y25" s="8">
        <f>(Table1[[#This Row],[2023 Market share (%)]]-Table1[[#This Row],[2019 Market share (%)]])*10000</f>
        <v>206.92461861995082</v>
      </c>
      <c r="Z25" s="10">
        <f t="shared" si="2"/>
        <v>0.10487306557406506</v>
      </c>
      <c r="AA25" s="10">
        <f t="shared" si="3"/>
        <v>0.11840617811010556</v>
      </c>
      <c r="AB25" s="5">
        <v>2529000</v>
      </c>
      <c r="AC25" s="6">
        <f>Table1[[#This Row],[2022 U.S. Sales ($000)]]/SUMIF($E:$E, E25, $AB:$AB)</f>
        <v>5.79623278330927E-2</v>
      </c>
      <c r="AD25" s="5">
        <v>1721</v>
      </c>
      <c r="AE25" s="5">
        <f t="shared" si="4"/>
        <v>1469.4944799535153</v>
      </c>
      <c r="AF25" s="5">
        <v>2165000</v>
      </c>
      <c r="AG25" s="6">
        <f>Table1[[#This Row],[2021 U.S. Sales ($000)]]/SUMIF($E:$E, E25, $AF:$AF)</f>
        <v>5.5068226480328678E-2</v>
      </c>
      <c r="AH25" s="5">
        <v>1534</v>
      </c>
      <c r="AI25" s="12">
        <f t="shared" si="5"/>
        <v>1411.3428943937417</v>
      </c>
      <c r="AJ25" s="5">
        <v>1804000</v>
      </c>
      <c r="AK25" s="6">
        <f>Table1[[#This Row],[2020 U.S. Sales ($000)]]/SUMIF($E:$E, E25, $AJ:$AJ)</f>
        <v>5.3342289160684217E-2</v>
      </c>
      <c r="AL25" s="5">
        <v>1359</v>
      </c>
      <c r="AM25" s="5">
        <f t="shared" si="6"/>
        <v>1327.4466519499631</v>
      </c>
      <c r="AN25" s="5">
        <v>1377100</v>
      </c>
      <c r="AO25" s="6">
        <f>Table1[[#This Row],[2019 U.S. Sales ($000)]]/SUMIF($E:$E, E25, $AN:$AN)</f>
        <v>4.4857190386769566E-2</v>
      </c>
      <c r="AP25" s="5">
        <v>1231</v>
      </c>
      <c r="AQ25" s="5">
        <f t="shared" si="7"/>
        <v>1118.6839967506094</v>
      </c>
      <c r="AU25" s="8"/>
      <c r="AV25" s="8"/>
      <c r="AW25" s="8"/>
    </row>
    <row r="26" spans="1:49" x14ac:dyDescent="0.25">
      <c r="A26" t="s">
        <v>83</v>
      </c>
      <c r="B26">
        <v>463</v>
      </c>
      <c r="C26" t="s">
        <v>44</v>
      </c>
      <c r="D26" t="s">
        <v>45</v>
      </c>
      <c r="E26" t="s">
        <v>59</v>
      </c>
      <c r="F26" s="5">
        <v>20</v>
      </c>
      <c r="G26" s="5">
        <v>4325000</v>
      </c>
      <c r="H26" s="6">
        <f>Table1[[#This Row],[2024 U.S. Sales ($000)]]/SUMIF($E:$E, E26, $G:$G)</f>
        <v>0.12384388511868968</v>
      </c>
      <c r="I26" s="5">
        <v>3365</v>
      </c>
      <c r="J26" s="5">
        <f>Table1[[#This Row],[2024 U.S. Sales ($000)]]/Table1[[#This Row],[2024 U.S. Units]]</f>
        <v>1285.2897473997027</v>
      </c>
      <c r="K26" s="6">
        <f>Table1[[#This Row],[2024 U.S. Units]]/Table1[[#This Row],[2023 U.S. Units]]-1</f>
        <v>-1.4063873425139151E-2</v>
      </c>
      <c r="L26" s="8">
        <f>(Table1[[#This Row],[2024 Market share (%)]]-Table1[[#This Row],[2023 Market share (%)]])*10000</f>
        <v>16.095701168782341</v>
      </c>
      <c r="M26" s="6">
        <f>_xlfn.RRI(5,Table1[[#This Row],[2019 U.S. Sales ($000)]],Table1[[#This Row],[2024 U.S. Sales ($000)]])</f>
        <v>2.1702855782780972E-2</v>
      </c>
      <c r="N26" s="9">
        <f>(Table1[[#This Row],[2024 Market share (%)]]-Table1[[#This Row],[2019 Market share (%)]])*10000</f>
        <v>49.165786560241841</v>
      </c>
      <c r="O26" s="6">
        <f>IF(Table1[[#This Row],[2024 AUV]]=0,"",_xlfn.RRI(5,Table1[[#This Row],[2019 AUV]],Table1[[#This Row],[2024 AUV]]))</f>
        <v>2.1338243952864211E-2</v>
      </c>
      <c r="P26" s="6">
        <f>_xlfn.RRI(5,Table1[[#This Row],[2019 U.S. Units]],Table1[[#This Row],[2024 U.S. Units]])</f>
        <v>3.5699420057500042E-4</v>
      </c>
      <c r="Q26" s="5">
        <v>4616904</v>
      </c>
      <c r="R26" s="6">
        <f>Table1[[#This Row],[2023 U.S. Sales ($000)]]/SUMIF($E:$E, E26, $Q:$Q)</f>
        <v>0.12223431500181145</v>
      </c>
      <c r="S26" s="8">
        <f>(Table1[[#This Row],[2023 Market share (%)]]-Table1[[#This Row],[2022 Market share (%)]])*10000</f>
        <v>-45.165276980285995</v>
      </c>
      <c r="T26" s="10">
        <v>1.7995770059145086E-2</v>
      </c>
      <c r="U26" s="5">
        <v>3413</v>
      </c>
      <c r="V26" s="5">
        <f t="shared" si="0"/>
        <v>1352.740697333724</v>
      </c>
      <c r="W26" s="10">
        <v>-5.856515373352855E-4</v>
      </c>
      <c r="X26" s="10">
        <f t="shared" si="1"/>
        <v>4.4111651606485447E-2</v>
      </c>
      <c r="Y26" s="8">
        <f>(Table1[[#This Row],[2023 Market share (%)]]-Table1[[#This Row],[2019 Market share (%)]])*10000</f>
        <v>33.0700853914595</v>
      </c>
      <c r="Z26" s="10">
        <f t="shared" si="2"/>
        <v>3.9956972708506289E-2</v>
      </c>
      <c r="AA26" s="10">
        <f t="shared" si="3"/>
        <v>3.9950488404905116E-3</v>
      </c>
      <c r="AB26" s="5">
        <v>4535288</v>
      </c>
      <c r="AC26" s="6">
        <f>Table1[[#This Row],[2022 U.S. Sales ($000)]]/SUMIF($E:$E, E26, $AB:$AB)</f>
        <v>0.12675084269984005</v>
      </c>
      <c r="AD26" s="5">
        <v>3415</v>
      </c>
      <c r="AE26" s="5">
        <f t="shared" si="4"/>
        <v>1328.0491947291362</v>
      </c>
      <c r="AF26" s="5">
        <v>4462374</v>
      </c>
      <c r="AG26" s="6">
        <f>Table1[[#This Row],[2021 U.S. Sales ($000)]]/SUMIF($E:$E, E26, $AF:$AF)</f>
        <v>0.13449735630258391</v>
      </c>
      <c r="AH26" s="5">
        <v>3409</v>
      </c>
      <c r="AI26" s="12">
        <f t="shared" si="5"/>
        <v>1308.9979466119096</v>
      </c>
      <c r="AJ26" s="5">
        <v>4214876</v>
      </c>
      <c r="AK26" s="6">
        <f>Table1[[#This Row],[2020 U.S. Sales ($000)]]/SUMIF($E:$E, E26, $AJ:$AJ)</f>
        <v>0.14799706848333058</v>
      </c>
      <c r="AL26" s="5">
        <v>3369</v>
      </c>
      <c r="AM26" s="5">
        <f t="shared" si="6"/>
        <v>1251.076283763728</v>
      </c>
      <c r="AN26" s="5">
        <v>3884750</v>
      </c>
      <c r="AO26" s="6">
        <f>Table1[[#This Row],[2019 U.S. Sales ($000)]]/SUMIF($E:$E, E26, $AN:$AN)</f>
        <v>0.1189273064626655</v>
      </c>
      <c r="AP26" s="5">
        <v>3359</v>
      </c>
      <c r="AQ26" s="5">
        <f t="shared" si="7"/>
        <v>1156.5197975587973</v>
      </c>
      <c r="AU26" s="8"/>
      <c r="AV26" s="8"/>
      <c r="AW26" s="8"/>
    </row>
    <row r="27" spans="1:49" x14ac:dyDescent="0.25">
      <c r="A27" t="s">
        <v>84</v>
      </c>
      <c r="B27">
        <v>853</v>
      </c>
      <c r="C27" t="s">
        <v>44</v>
      </c>
      <c r="D27" t="s">
        <v>45</v>
      </c>
      <c r="E27" t="s">
        <v>46</v>
      </c>
      <c r="F27" s="5">
        <v>27</v>
      </c>
      <c r="G27" s="5">
        <v>4122000</v>
      </c>
      <c r="H27" s="6">
        <f>Table1[[#This Row],[2024 U.S. Sales ($000)]]/SUMIF($E:$E, E27, $G:$G)</f>
        <v>3.7385155265438369E-2</v>
      </c>
      <c r="I27" s="5">
        <v>1085</v>
      </c>
      <c r="J27" s="7">
        <f>Table1[[#This Row],[2024 U.S. Sales ($000)]]/Table1[[#This Row],[2024 U.S. Units]]</f>
        <v>3799.0783410138247</v>
      </c>
      <c r="K27" s="6">
        <f>Table1[[#This Row],[2024 U.S. Units]]/Table1[[#This Row],[2023 U.S. Units]]-1</f>
        <v>8.8264794383149381E-2</v>
      </c>
      <c r="L27" s="8">
        <f>(Table1[[#This Row],[2024 Market share (%)]]-Table1[[#This Row],[2023 Market share (%)]])*10000</f>
        <v>29.588245214280107</v>
      </c>
      <c r="M27" s="6">
        <f>_xlfn.RRI(5,Table1[[#This Row],[2019 U.S. Sales ($000)]],Table1[[#This Row],[2024 U.S. Sales ($000)]])</f>
        <v>0.10028746512463349</v>
      </c>
      <c r="N27" s="9">
        <f>(Table1[[#This Row],[2024 Market share (%)]]-Table1[[#This Row],[2019 Market share (%)]])*10000</f>
        <v>78.377852467315165</v>
      </c>
      <c r="O27" s="6">
        <f>IF(Table1[[#This Row],[2024 AUV]]=0,"",_xlfn.RRI(5,Table1[[#This Row],[2019 AUV]],Table1[[#This Row],[2024 AUV]]))</f>
        <v>4.2883595742478686E-2</v>
      </c>
      <c r="P27" s="6">
        <f>_xlfn.RRI(5,Table1[[#This Row],[2019 U.S. Units]],Table1[[#This Row],[2024 U.S. Units]])</f>
        <v>5.5043410037805884E-2</v>
      </c>
      <c r="Q27" s="5">
        <v>3769100</v>
      </c>
      <c r="R27" s="6">
        <f>Table1[[#This Row],[2023 U.S. Sales ($000)]]/SUMIF($E:$E, E27, $Q:$Q)</f>
        <v>3.4426330744010358E-2</v>
      </c>
      <c r="S27" s="8">
        <f>(Table1[[#This Row],[2023 Market share (%)]]-Table1[[#This Row],[2022 Market share (%)]])*10000</f>
        <v>17.349366818034326</v>
      </c>
      <c r="T27" s="10">
        <v>0.12843926828538069</v>
      </c>
      <c r="U27" s="5">
        <v>997</v>
      </c>
      <c r="V27" s="5">
        <f t="shared" si="0"/>
        <v>3780.4413239719156</v>
      </c>
      <c r="W27" s="10">
        <v>7.7837837837837834E-2</v>
      </c>
      <c r="X27" s="10">
        <f t="shared" si="1"/>
        <v>0.10195820985340931</v>
      </c>
      <c r="Y27" s="8">
        <f>(Table1[[#This Row],[2023 Market share (%)]]-Table1[[#This Row],[2019 Market share (%)]])*10000</f>
        <v>48.789607253035065</v>
      </c>
      <c r="Z27" s="10">
        <f t="shared" si="2"/>
        <v>5.2593923029569556E-2</v>
      </c>
      <c r="AA27" s="10">
        <f t="shared" si="3"/>
        <v>4.6897750161581486E-2</v>
      </c>
      <c r="AB27" s="5">
        <v>3340100</v>
      </c>
      <c r="AC27" s="6">
        <f>Table1[[#This Row],[2022 U.S. Sales ($000)]]/SUMIF($E:$E, E27, $AB:$AB)</f>
        <v>3.2691394062206926E-2</v>
      </c>
      <c r="AD27" s="5">
        <v>925</v>
      </c>
      <c r="AE27" s="5">
        <f t="shared" si="4"/>
        <v>3610.9189189189187</v>
      </c>
      <c r="AF27" s="5">
        <v>3089500</v>
      </c>
      <c r="AG27" s="6">
        <f>Table1[[#This Row],[2021 U.S. Sales ($000)]]/SUMIF($E:$E, E27, $AF:$AF)</f>
        <v>3.1754546023771701E-2</v>
      </c>
      <c r="AH27" s="5">
        <v>873</v>
      </c>
      <c r="AI27" s="12">
        <f t="shared" si="5"/>
        <v>3538.946162657503</v>
      </c>
      <c r="AJ27" s="5">
        <v>2698300</v>
      </c>
      <c r="AK27" s="6">
        <f>Table1[[#This Row],[2020 U.S. Sales ($000)]]/SUMIF($E:$E, E27, $AJ:$AJ)</f>
        <v>3.0878878477485786E-2</v>
      </c>
      <c r="AL27" s="5">
        <v>844</v>
      </c>
      <c r="AM27" s="5">
        <f t="shared" si="6"/>
        <v>3197.0379146919431</v>
      </c>
      <c r="AN27" s="5">
        <v>2556096</v>
      </c>
      <c r="AO27" s="6">
        <f>Table1[[#This Row],[2019 U.S. Sales ($000)]]/SUMIF($E:$E, E27, $AN:$AN)</f>
        <v>2.9547370018706852E-2</v>
      </c>
      <c r="AP27" s="5">
        <v>830</v>
      </c>
      <c r="AQ27" s="5">
        <f t="shared" si="7"/>
        <v>3079.6337349397591</v>
      </c>
      <c r="AU27" s="8"/>
      <c r="AV27" s="8"/>
      <c r="AW27" s="8"/>
    </row>
    <row r="28" spans="1:49" x14ac:dyDescent="0.25">
      <c r="A28" t="s">
        <v>85</v>
      </c>
      <c r="B28">
        <v>1029</v>
      </c>
      <c r="C28" t="s">
        <v>68</v>
      </c>
      <c r="D28" t="s">
        <v>69</v>
      </c>
      <c r="E28" t="s">
        <v>79</v>
      </c>
      <c r="F28" s="5">
        <v>23</v>
      </c>
      <c r="G28" s="5">
        <v>4105000</v>
      </c>
      <c r="H28" s="6">
        <f>Table1[[#This Row],[2024 U.S. Sales ($000)]]/SUMIF($E:$E, E28, $G:$G)</f>
        <v>0.19734628142877747</v>
      </c>
      <c r="I28" s="5">
        <v>1501</v>
      </c>
      <c r="J28" s="5">
        <f>Table1[[#This Row],[2024 U.S. Sales ($000)]]/Table1[[#This Row],[2024 U.S. Units]]</f>
        <v>2734.8434377081944</v>
      </c>
      <c r="K28" s="6">
        <f>Table1[[#This Row],[2024 U.S. Units]]/Table1[[#This Row],[2023 U.S. Units]]-1</f>
        <v>-2.278645833333337E-2</v>
      </c>
      <c r="L28" s="8">
        <f>(Table1[[#This Row],[2024 Market share (%)]]-Table1[[#This Row],[2023 Market share (%)]])*10000</f>
        <v>167.4450267163574</v>
      </c>
      <c r="M28" s="6">
        <f>_xlfn.RRI(5,Table1[[#This Row],[2019 U.S. Sales ($000)]],Table1[[#This Row],[2024 U.S. Sales ($000)]])</f>
        <v>9.5277821741857061E-4</v>
      </c>
      <c r="N28" s="9">
        <f>(Table1[[#This Row],[2024 Market share (%)]]-Table1[[#This Row],[2019 Market share (%)]])*10000</f>
        <v>184.46952597930027</v>
      </c>
      <c r="O28" s="6">
        <f>IF(Table1[[#This Row],[2024 AUV]]=0,"",_xlfn.RRI(5,Table1[[#This Row],[2019 AUV]],Table1[[#This Row],[2024 AUV]]))</f>
        <v>2.192799955712621E-2</v>
      </c>
      <c r="P28" s="6">
        <f>_xlfn.RRI(5,Table1[[#This Row],[2019 U.S. Units]],Table1[[#This Row],[2024 U.S. Units]])</f>
        <v>-2.0525145948440238E-2</v>
      </c>
      <c r="Q28" s="5">
        <v>4356600</v>
      </c>
      <c r="R28" s="6">
        <f>Table1[[#This Row],[2023 U.S. Sales ($000)]]/SUMIF($E:$E, E28, $Q:$Q)</f>
        <v>0.18060177875714173</v>
      </c>
      <c r="S28" s="8">
        <f>(Table1[[#This Row],[2023 Market share (%)]]-Table1[[#This Row],[2022 Market share (%)]])*10000</f>
        <v>-48.82569905978351</v>
      </c>
      <c r="T28" s="10">
        <v>-1.2379642365887209E-3</v>
      </c>
      <c r="U28" s="5">
        <v>1536</v>
      </c>
      <c r="V28" s="5">
        <f t="shared" si="0"/>
        <v>2836.328125</v>
      </c>
      <c r="W28" s="10">
        <v>-2.1032504780114723E-2</v>
      </c>
      <c r="X28" s="10">
        <f t="shared" si="1"/>
        <v>1.6191640793382422E-2</v>
      </c>
      <c r="Y28" s="8">
        <f>(Table1[[#This Row],[2023 Market share (%)]]-Table1[[#This Row],[2019 Market share (%)]])*10000</f>
        <v>17.024499262942861</v>
      </c>
      <c r="Z28" s="10">
        <f t="shared" si="2"/>
        <v>3.6886866492110926E-2</v>
      </c>
      <c r="AA28" s="10">
        <f t="shared" si="3"/>
        <v>-1.9959000704428354E-2</v>
      </c>
      <c r="AB28" s="5">
        <v>4362000</v>
      </c>
      <c r="AC28" s="6">
        <f>Table1[[#This Row],[2022 U.S. Sales ($000)]]/SUMIF($E:$E, E28, $AB:$AB)</f>
        <v>0.18548434866312008</v>
      </c>
      <c r="AD28" s="5">
        <v>1569</v>
      </c>
      <c r="AE28" s="5">
        <f t="shared" si="4"/>
        <v>2780.1147227533461</v>
      </c>
      <c r="AF28" s="5">
        <v>4167700</v>
      </c>
      <c r="AG28" s="6">
        <f>Table1[[#This Row],[2021 U.S. Sales ($000)]]/SUMIF($E:$E, E28, $AF:$AF)</f>
        <v>0.19188212948325986</v>
      </c>
      <c r="AH28" s="5">
        <v>1578</v>
      </c>
      <c r="AI28" s="12">
        <f t="shared" si="5"/>
        <v>2641.1280101394168</v>
      </c>
      <c r="AJ28" s="5">
        <v>3101000</v>
      </c>
      <c r="AK28" s="6">
        <f>Table1[[#This Row],[2020 U.S. Sales ($000)]]/SUMIF($E:$E, E28, $AJ:$AJ)</f>
        <v>0.19017193173900857</v>
      </c>
      <c r="AL28" s="5">
        <v>1598</v>
      </c>
      <c r="AM28" s="5">
        <f t="shared" si="6"/>
        <v>1940.5506883604505</v>
      </c>
      <c r="AN28" s="5">
        <v>4085500</v>
      </c>
      <c r="AO28" s="6">
        <f>Table1[[#This Row],[2019 U.S. Sales ($000)]]/SUMIF($E:$E, E28, $AN:$AN)</f>
        <v>0.17889932883084744</v>
      </c>
      <c r="AP28" s="5">
        <v>1665</v>
      </c>
      <c r="AQ28" s="5">
        <f t="shared" si="7"/>
        <v>2453.7537537537537</v>
      </c>
      <c r="AU28" s="8"/>
      <c r="AV28" s="8"/>
      <c r="AW28" s="8"/>
    </row>
    <row r="29" spans="1:49" x14ac:dyDescent="0.25">
      <c r="A29" t="s">
        <v>86</v>
      </c>
      <c r="B29">
        <v>1588</v>
      </c>
      <c r="C29" t="s">
        <v>68</v>
      </c>
      <c r="D29" t="s">
        <v>69</v>
      </c>
      <c r="E29" t="s">
        <v>87</v>
      </c>
      <c r="F29" s="5">
        <v>25</v>
      </c>
      <c r="G29" s="5">
        <v>4054000</v>
      </c>
      <c r="H29" s="6">
        <f>Table1[[#This Row],[2024 U.S. Sales ($000)]]/SUMIF($E:$E, E29, $G:$G)</f>
        <v>0.50795639644154866</v>
      </c>
      <c r="I29" s="5">
        <v>1323</v>
      </c>
      <c r="J29" s="5">
        <f>Table1[[#This Row],[2024 U.S. Sales ($000)]]/Table1[[#This Row],[2024 U.S. Units]]</f>
        <v>3064.2479213907786</v>
      </c>
      <c r="K29" s="6">
        <f>Table1[[#This Row],[2024 U.S. Units]]/Table1[[#This Row],[2023 U.S. Units]]-1</f>
        <v>4.6677215189873333E-2</v>
      </c>
      <c r="L29" s="8">
        <f>(Table1[[#This Row],[2024 Market share (%)]]-Table1[[#This Row],[2023 Market share (%)]])*10000</f>
        <v>1020.0176966588015</v>
      </c>
      <c r="M29" s="6">
        <f>_xlfn.RRI(5,Table1[[#This Row],[2019 U.S. Sales ($000)]],Table1[[#This Row],[2024 U.S. Sales ($000)]])</f>
        <v>2.0126313946871033E-2</v>
      </c>
      <c r="N29" s="9">
        <f>(Table1[[#This Row],[2024 Market share (%)]]-Table1[[#This Row],[2019 Market share (%)]])*10000</f>
        <v>792.11980718505436</v>
      </c>
      <c r="O29" s="6">
        <f>IF(Table1[[#This Row],[2024 AUV]]=0,"",_xlfn.RRI(5,Table1[[#This Row],[2019 AUV]],Table1[[#This Row],[2024 AUV]]))</f>
        <v>1.4088910219718365E-3</v>
      </c>
      <c r="P29" s="6">
        <f>_xlfn.RRI(5,Table1[[#This Row],[2019 U.S. Units]],Table1[[#This Row],[2024 U.S. Units]])</f>
        <v>1.8691089217110379E-2</v>
      </c>
      <c r="Q29" s="5">
        <v>3958425</v>
      </c>
      <c r="R29" s="6">
        <f>Table1[[#This Row],[2023 U.S. Sales ($000)]]/SUMIF($E:$E, E29, $Q:$Q)</f>
        <v>0.40595462677566851</v>
      </c>
      <c r="S29" s="8">
        <f>(Table1[[#This Row],[2023 Market share (%)]]-Table1[[#This Row],[2022 Market share (%)]])*10000</f>
        <v>-145.74107933344573</v>
      </c>
      <c r="T29" s="10">
        <v>5.3336902502753069E-3</v>
      </c>
      <c r="U29" s="5">
        <v>1264</v>
      </c>
      <c r="V29" s="5">
        <f t="shared" si="0"/>
        <v>3131.6653481012659</v>
      </c>
      <c r="W29" s="10">
        <v>1.7713365539452495E-2</v>
      </c>
      <c r="X29" s="10">
        <f t="shared" si="1"/>
        <v>1.9124182408478241E-2</v>
      </c>
      <c r="Y29" s="8">
        <f>(Table1[[#This Row],[2023 Market share (%)]]-Table1[[#This Row],[2019 Market share (%)]])*10000</f>
        <v>-227.89788947374711</v>
      </c>
      <c r="Z29" s="10">
        <f t="shared" si="2"/>
        <v>7.2265507957995911E-3</v>
      </c>
      <c r="AA29" s="10">
        <f t="shared" si="3"/>
        <v>1.1812269646067852E-2</v>
      </c>
      <c r="AB29" s="5">
        <v>3937424</v>
      </c>
      <c r="AC29" s="6">
        <f>Table1[[#This Row],[2022 U.S. Sales ($000)]]/SUMIF($E:$E, E29, $AB:$AB)</f>
        <v>0.42052873470901309</v>
      </c>
      <c r="AD29" s="5">
        <v>1242</v>
      </c>
      <c r="AE29" s="5">
        <f t="shared" si="4"/>
        <v>3170.2286634460547</v>
      </c>
      <c r="AF29" s="5">
        <v>3740250</v>
      </c>
      <c r="AG29" s="6">
        <f>Table1[[#This Row],[2021 U.S. Sales ($000)]]/SUMIF($E:$E, E29, $AF:$AF)</f>
        <v>0.43855596690554255</v>
      </c>
      <c r="AH29" s="5">
        <v>1212</v>
      </c>
      <c r="AI29" s="12">
        <f t="shared" si="5"/>
        <v>3086.0148514851485</v>
      </c>
      <c r="AJ29" s="5">
        <v>3163919</v>
      </c>
      <c r="AK29" s="6">
        <f>Table1[[#This Row],[2020 U.S. Sales ($000)]]/SUMIF($E:$E, E29, $AJ:$AJ)</f>
        <v>0.47753281876999548</v>
      </c>
      <c r="AL29" s="5">
        <v>1170</v>
      </c>
      <c r="AM29" s="5">
        <f t="shared" si="6"/>
        <v>2704.2042735042737</v>
      </c>
      <c r="AN29" s="5">
        <v>3669560</v>
      </c>
      <c r="AO29" s="6">
        <f>Table1[[#This Row],[2019 U.S. Sales ($000)]]/SUMIF($E:$E, E29, $AN:$AN)</f>
        <v>0.42874441572304323</v>
      </c>
      <c r="AP29" s="5">
        <v>1206</v>
      </c>
      <c r="AQ29" s="5">
        <f t="shared" si="7"/>
        <v>3042.7529021558871</v>
      </c>
      <c r="AU29" s="8"/>
      <c r="AV29" s="8"/>
      <c r="AW29" s="8"/>
    </row>
    <row r="30" spans="1:49" x14ac:dyDescent="0.25">
      <c r="A30" t="s">
        <v>88</v>
      </c>
      <c r="B30">
        <v>1607</v>
      </c>
      <c r="C30" t="s">
        <v>44</v>
      </c>
      <c r="D30" t="s">
        <v>45</v>
      </c>
      <c r="E30" t="s">
        <v>46</v>
      </c>
      <c r="F30" s="5">
        <v>31</v>
      </c>
      <c r="G30" s="5">
        <v>3823000</v>
      </c>
      <c r="H30" s="6">
        <f>Table1[[#This Row],[2024 U.S. Sales ($000)]]/SUMIF($E:$E, E30, $G:$G)</f>
        <v>3.4673325710764404E-2</v>
      </c>
      <c r="I30" s="5">
        <v>997</v>
      </c>
      <c r="J30" s="7">
        <f>Table1[[#This Row],[2024 U.S. Sales ($000)]]/Table1[[#This Row],[2024 U.S. Units]]</f>
        <v>3834.5035105315947</v>
      </c>
      <c r="K30" s="6">
        <f>Table1[[#This Row],[2024 U.S. Units]]/Table1[[#This Row],[2023 U.S. Units]]-1</f>
        <v>5.5026455026454979E-2</v>
      </c>
      <c r="L30" s="8">
        <f>(Table1[[#This Row],[2024 Market share (%)]]-Table1[[#This Row],[2023 Market share (%)]])*10000</f>
        <v>44.360540247403577</v>
      </c>
      <c r="M30" s="6">
        <f>_xlfn.RRI(5,Table1[[#This Row],[2019 U.S. Sales ($000)]],Table1[[#This Row],[2024 U.S. Sales ($000)]])</f>
        <v>0.16318957772887743</v>
      </c>
      <c r="N30" s="9">
        <f>(Table1[[#This Row],[2024 Market share (%)]]-Table1[[#This Row],[2019 Market share (%)]])*10000</f>
        <v>139.19724991481735</v>
      </c>
      <c r="O30" s="6">
        <f>IF(Table1[[#This Row],[2024 AUV]]=0,"",_xlfn.RRI(5,Table1[[#This Row],[2019 AUV]],Table1[[#This Row],[2024 AUV]]))</f>
        <v>9.3487157380401031E-2</v>
      </c>
      <c r="P30" s="6">
        <f>_xlfn.RRI(5,Table1[[#This Row],[2019 U.S. Units]],Table1[[#This Row],[2024 U.S. Units]])</f>
        <v>6.3743245522387415E-2</v>
      </c>
      <c r="Q30" s="5">
        <v>3310469</v>
      </c>
      <c r="R30" s="6">
        <f>Table1[[#This Row],[2023 U.S. Sales ($000)]]/SUMIF($E:$E, E30, $Q:$Q)</f>
        <v>3.0237271686024046E-2</v>
      </c>
      <c r="S30" s="8">
        <f>(Table1[[#This Row],[2023 Market share (%)]]-Table1[[#This Row],[2022 Market share (%)]])*10000</f>
        <v>15.082593730910316</v>
      </c>
      <c r="T30" s="10">
        <v>0.12782781497113885</v>
      </c>
      <c r="U30" s="5">
        <v>945</v>
      </c>
      <c r="V30" s="5">
        <f t="shared" si="0"/>
        <v>3503.1417989417992</v>
      </c>
      <c r="W30" s="10">
        <v>5.823068309070549E-2</v>
      </c>
      <c r="X30" s="10">
        <f t="shared" si="1"/>
        <v>0.16529111371262006</v>
      </c>
      <c r="Y30" s="8">
        <f>(Table1[[#This Row],[2023 Market share (%)]]-Table1[[#This Row],[2019 Market share (%)]])*10000</f>
        <v>94.836709667413771</v>
      </c>
      <c r="Z30" s="10">
        <f t="shared" si="2"/>
        <v>9.3211653970232344E-2</v>
      </c>
      <c r="AA30" s="10">
        <f t="shared" si="3"/>
        <v>6.5933673027190887E-2</v>
      </c>
      <c r="AB30" s="5">
        <v>2935261</v>
      </c>
      <c r="AC30" s="6">
        <f>Table1[[#This Row],[2022 U.S. Sales ($000)]]/SUMIF($E:$E, E30, $AB:$AB)</f>
        <v>2.8729012312933015E-2</v>
      </c>
      <c r="AD30" s="5">
        <v>893</v>
      </c>
      <c r="AE30" s="5">
        <f t="shared" si="4"/>
        <v>3286.9664053751399</v>
      </c>
      <c r="AF30" s="5">
        <v>2489100</v>
      </c>
      <c r="AG30" s="6">
        <f>Table1[[#This Row],[2021 U.S. Sales ($000)]]/SUMIF($E:$E, E30, $AF:$AF)</f>
        <v>2.5583505585942756E-2</v>
      </c>
      <c r="AH30" s="5">
        <v>837</v>
      </c>
      <c r="AI30" s="12">
        <f t="shared" si="5"/>
        <v>2973.8351254480285</v>
      </c>
      <c r="AJ30" s="5">
        <v>1985820</v>
      </c>
      <c r="AK30" s="6">
        <f>Table1[[#This Row],[2020 U.S. Sales ($000)]]/SUMIF($E:$E, E30, $AJ:$AJ)</f>
        <v>2.272538059450796E-2</v>
      </c>
      <c r="AL30" s="5">
        <v>782</v>
      </c>
      <c r="AM30" s="5">
        <f t="shared" si="6"/>
        <v>2539.4117647058824</v>
      </c>
      <c r="AN30" s="5">
        <v>1795361</v>
      </c>
      <c r="AO30" s="6">
        <f>Table1[[#This Row],[2019 U.S. Sales ($000)]]/SUMIF($E:$E, E30, $AN:$AN)</f>
        <v>2.0753600719282669E-2</v>
      </c>
      <c r="AP30" s="5">
        <v>732</v>
      </c>
      <c r="AQ30" s="5">
        <f t="shared" si="7"/>
        <v>2452.6789617486338</v>
      </c>
      <c r="AU30" s="8"/>
      <c r="AV30" s="8"/>
      <c r="AW30" s="8"/>
    </row>
    <row r="31" spans="1:49" x14ac:dyDescent="0.25">
      <c r="A31" t="s">
        <v>89</v>
      </c>
      <c r="B31">
        <v>2499</v>
      </c>
      <c r="C31" t="s">
        <v>44</v>
      </c>
      <c r="D31" t="s">
        <v>56</v>
      </c>
      <c r="E31" t="s">
        <v>59</v>
      </c>
      <c r="F31" s="5">
        <v>30</v>
      </c>
      <c r="G31" s="5">
        <v>3731000</v>
      </c>
      <c r="H31" s="6">
        <f>Table1[[#This Row],[2024 U.S. Sales ($000)]]/SUMIF($E:$E, E31, $G:$G)</f>
        <v>0.10683503708157947</v>
      </c>
      <c r="I31" s="5">
        <v>2997</v>
      </c>
      <c r="J31" s="5">
        <f>Table1[[#This Row],[2024 U.S. Sales ($000)]]/Table1[[#This Row],[2024 U.S. Units]]</f>
        <v>1244.9115782449117</v>
      </c>
      <c r="K31" s="6">
        <f>Table1[[#This Row],[2024 U.S. Units]]/Table1[[#This Row],[2023 U.S. Units]]-1</f>
        <v>0.1166169895678093</v>
      </c>
      <c r="L31" s="8">
        <f>(Table1[[#This Row],[2024 Market share (%)]]-Table1[[#This Row],[2023 Market share (%)]])*10000</f>
        <v>183.5429744825509</v>
      </c>
      <c r="M31" s="6">
        <f>_xlfn.RRI(5,Table1[[#This Row],[2019 U.S. Sales ($000)]],Table1[[#This Row],[2024 U.S. Sales ($000)]])</f>
        <v>0.2283832444490943</v>
      </c>
      <c r="N31" s="9">
        <f>(Table1[[#This Row],[2024 Market share (%)]]-Table1[[#This Row],[2019 Market share (%)]])*10000</f>
        <v>659.96108753837461</v>
      </c>
      <c r="O31" s="6">
        <f>IF(Table1[[#This Row],[2024 AUV]]=0,"",_xlfn.RRI(5,Table1[[#This Row],[2019 AUV]],Table1[[#This Row],[2024 AUV]]))</f>
        <v>9.2142688999812261E-2</v>
      </c>
      <c r="P31" s="6">
        <f>_xlfn.RRI(5,Table1[[#This Row],[2019 U.S. Units]],Table1[[#This Row],[2024 U.S. Units]])</f>
        <v>0.12474611314209483</v>
      </c>
      <c r="Q31" s="5">
        <v>3342000</v>
      </c>
      <c r="R31" s="6">
        <f>Table1[[#This Row],[2023 U.S. Sales ($000)]]/SUMIF($E:$E, E31, $Q:$Q)</f>
        <v>8.8480739633324382E-2</v>
      </c>
      <c r="S31" s="8">
        <f>(Table1[[#This Row],[2023 Market share (%)]]-Table1[[#This Row],[2022 Market share (%)]])*10000</f>
        <v>136.36814230974696</v>
      </c>
      <c r="T31" s="10">
        <v>0.24794622852875281</v>
      </c>
      <c r="U31" s="5">
        <v>2684</v>
      </c>
      <c r="V31" s="5">
        <f t="shared" si="0"/>
        <v>1245.1564828614009</v>
      </c>
      <c r="W31" s="10">
        <v>0.11973299958281185</v>
      </c>
      <c r="X31" s="10">
        <f t="shared" si="1"/>
        <v>0.25809273360651663</v>
      </c>
      <c r="Y31" s="8">
        <f>(Table1[[#This Row],[2023 Market share (%)]]-Table1[[#This Row],[2019 Market share (%)]])*10000</f>
        <v>476.41811305582371</v>
      </c>
      <c r="Z31" s="10">
        <f t="shared" si="2"/>
        <v>0.11653048583753667</v>
      </c>
      <c r="AA31" s="10">
        <f t="shared" si="3"/>
        <v>0.12678762430995394</v>
      </c>
      <c r="AB31" s="5">
        <v>2678000</v>
      </c>
      <c r="AC31" s="6">
        <f>Table1[[#This Row],[2022 U.S. Sales ($000)]]/SUMIF($E:$E, E31, $AB:$AB)</f>
        <v>7.4843925402349687E-2</v>
      </c>
      <c r="AD31" s="5">
        <v>2397</v>
      </c>
      <c r="AE31" s="5">
        <f t="shared" si="4"/>
        <v>1117.2298706716729</v>
      </c>
      <c r="AF31" s="5">
        <v>2203000</v>
      </c>
      <c r="AG31" s="6">
        <f>Table1[[#This Row],[2021 U.S. Sales ($000)]]/SUMIF($E:$E, E31, $AF:$AF)</f>
        <v>6.6399113103158186E-2</v>
      </c>
      <c r="AH31" s="5">
        <v>2100</v>
      </c>
      <c r="AI31" s="12">
        <f t="shared" si="5"/>
        <v>1049.047619047619</v>
      </c>
      <c r="AJ31" s="5">
        <v>1595000</v>
      </c>
      <c r="AK31" s="6">
        <f>Table1[[#This Row],[2020 U.S. Sales ($000)]]/SUMIF($E:$E, E31, $AJ:$AJ)</f>
        <v>5.6005283246983367E-2</v>
      </c>
      <c r="AL31" s="5">
        <v>1854</v>
      </c>
      <c r="AM31" s="5">
        <f t="shared" si="6"/>
        <v>860.30204962243795</v>
      </c>
      <c r="AN31" s="5">
        <v>1334000</v>
      </c>
      <c r="AO31" s="6">
        <f>Table1[[#This Row],[2019 U.S. Sales ($000)]]/SUMIF($E:$E, E31, $AN:$AN)</f>
        <v>4.0838928327742011E-2</v>
      </c>
      <c r="AP31" s="5">
        <v>1665</v>
      </c>
      <c r="AQ31" s="5">
        <f t="shared" si="7"/>
        <v>801.20120120120123</v>
      </c>
      <c r="AU31" s="8"/>
      <c r="AV31" s="8"/>
      <c r="AW31" s="8"/>
    </row>
    <row r="32" spans="1:49" x14ac:dyDescent="0.25">
      <c r="A32" t="s">
        <v>90</v>
      </c>
      <c r="B32">
        <v>834</v>
      </c>
      <c r="C32" t="s">
        <v>44</v>
      </c>
      <c r="D32" t="s">
        <v>45</v>
      </c>
      <c r="E32" t="s">
        <v>61</v>
      </c>
      <c r="F32" s="5">
        <v>26</v>
      </c>
      <c r="G32" s="5">
        <v>3663000</v>
      </c>
      <c r="H32" s="6">
        <f>Table1[[#This Row],[2024 U.S. Sales ($000)]]/SUMIF($E:$E, E32, $G:$G)</f>
        <v>0.12463422932970399</v>
      </c>
      <c r="I32" s="5">
        <v>3291</v>
      </c>
      <c r="J32" s="5">
        <f>Table1[[#This Row],[2024 U.S. Sales ($000)]]/Table1[[#This Row],[2024 U.S. Units]]</f>
        <v>1113.0355515041022</v>
      </c>
      <c r="K32" s="6">
        <f>Table1[[#This Row],[2024 U.S. Units]]/Table1[[#This Row],[2023 U.S. Units]]-1</f>
        <v>2.2049689440993836E-2</v>
      </c>
      <c r="L32" s="8">
        <f>(Table1[[#This Row],[2024 Market share (%)]]-Table1[[#This Row],[2023 Market share (%)]])*10000</f>
        <v>-3.0202826631015034</v>
      </c>
      <c r="M32" s="6">
        <f>_xlfn.RRI(5,Table1[[#This Row],[2019 U.S. Sales ($000)]],Table1[[#This Row],[2024 U.S. Sales ($000)]])</f>
        <v>5.7699777176799527E-2</v>
      </c>
      <c r="N32" s="9">
        <f>(Table1[[#This Row],[2024 Market share (%)]]-Table1[[#This Row],[2019 Market share (%)]])*10000</f>
        <v>174.18266871835689</v>
      </c>
      <c r="O32" s="6">
        <f>IF(Table1[[#This Row],[2024 AUV]]=0,"",_xlfn.RRI(5,Table1[[#This Row],[2019 AUV]],Table1[[#This Row],[2024 AUV]]))</f>
        <v>4.7943992980847616E-2</v>
      </c>
      <c r="P32" s="6">
        <f>_xlfn.RRI(5,Table1[[#This Row],[2019 U.S. Units]],Table1[[#This Row],[2024 U.S. Units]])</f>
        <v>9.3094518994301101E-3</v>
      </c>
      <c r="Q32" s="5">
        <v>3816400</v>
      </c>
      <c r="R32" s="6">
        <f>Table1[[#This Row],[2023 U.S. Sales ($000)]]/SUMIF($E:$E, E32, $Q:$Q)</f>
        <v>0.12493625759601414</v>
      </c>
      <c r="S32" s="8">
        <f>(Table1[[#This Row],[2023 Market share (%)]]-Table1[[#This Row],[2022 Market share (%)]])*10000</f>
        <v>3.4277650589797926</v>
      </c>
      <c r="T32" s="10">
        <v>3.1905688946571489E-2</v>
      </c>
      <c r="U32" s="5">
        <v>3220</v>
      </c>
      <c r="V32" s="5">
        <f t="shared" si="0"/>
        <v>1185.2173913043478</v>
      </c>
      <c r="W32" s="10">
        <v>1.2578616352201259E-2</v>
      </c>
      <c r="X32" s="10">
        <f t="shared" si="1"/>
        <v>8.3695470612839662E-2</v>
      </c>
      <c r="Y32" s="8">
        <f>(Table1[[#This Row],[2023 Market share (%)]]-Table1[[#This Row],[2019 Market share (%)]])*10000</f>
        <v>177.20295138145838</v>
      </c>
      <c r="Z32" s="10">
        <f t="shared" si="2"/>
        <v>7.7072246802237565E-2</v>
      </c>
      <c r="AA32" s="10">
        <f t="shared" si="3"/>
        <v>6.1492846280890578E-3</v>
      </c>
      <c r="AB32" s="5">
        <v>3698400</v>
      </c>
      <c r="AC32" s="6">
        <f>Table1[[#This Row],[2022 U.S. Sales ($000)]]/SUMIF($E:$E, E32, $AB:$AB)</f>
        <v>0.12459348109011616</v>
      </c>
      <c r="AD32" s="5">
        <v>3180</v>
      </c>
      <c r="AE32" s="5">
        <f t="shared" si="4"/>
        <v>1163.0188679245282</v>
      </c>
      <c r="AF32" s="5">
        <v>3614300</v>
      </c>
      <c r="AG32" s="6">
        <f>Table1[[#This Row],[2021 U.S. Sales ($000)]]/SUMIF($E:$E, E32, $AF:$AF)</f>
        <v>0.12433708446514034</v>
      </c>
      <c r="AH32" s="5">
        <v>3164</v>
      </c>
      <c r="AI32" s="12">
        <f t="shared" si="5"/>
        <v>1142.3198482932996</v>
      </c>
      <c r="AJ32" s="5">
        <v>3210800</v>
      </c>
      <c r="AK32" s="6">
        <f>Table1[[#This Row],[2020 U.S. Sales ($000)]]/SUMIF($E:$E, E32, $AJ:$AJ)</f>
        <v>0.11862450986756196</v>
      </c>
      <c r="AL32" s="5">
        <v>3134</v>
      </c>
      <c r="AM32" s="5">
        <f t="shared" si="6"/>
        <v>1024.505424377792</v>
      </c>
      <c r="AN32" s="5">
        <v>2767100</v>
      </c>
      <c r="AO32" s="6">
        <f>Table1[[#This Row],[2019 U.S. Sales ($000)]]/SUMIF($E:$E, E32, $AN:$AN)</f>
        <v>0.1072159624578683</v>
      </c>
      <c r="AP32" s="5">
        <v>3142</v>
      </c>
      <c r="AQ32" s="5">
        <f t="shared" si="7"/>
        <v>880.6810948440484</v>
      </c>
      <c r="AU32" s="8"/>
      <c r="AV32" s="8"/>
      <c r="AW32" s="8"/>
    </row>
    <row r="33" spans="1:49" x14ac:dyDescent="0.25">
      <c r="A33" t="s">
        <v>91</v>
      </c>
      <c r="B33">
        <v>818</v>
      </c>
      <c r="C33" t="s">
        <v>68</v>
      </c>
      <c r="D33" t="s">
        <v>92</v>
      </c>
      <c r="E33" t="s">
        <v>93</v>
      </c>
      <c r="F33" s="5">
        <v>29</v>
      </c>
      <c r="G33" s="5">
        <v>3348000</v>
      </c>
      <c r="H33" s="6">
        <f>Table1[[#This Row],[2024 U.S. Sales ($000)]]/SUMIF($E:$E, E33, $G:$G)</f>
        <v>0.20832555534814262</v>
      </c>
      <c r="I33" s="5">
        <v>1694</v>
      </c>
      <c r="J33" s="5">
        <f>Table1[[#This Row],[2024 U.S. Sales ($000)]]/Table1[[#This Row],[2024 U.S. Units]]</f>
        <v>1976.3872491145219</v>
      </c>
      <c r="K33" s="6">
        <f>Table1[[#This Row],[2024 U.S. Units]]/Table1[[#This Row],[2023 U.S. Units]]-1</f>
        <v>-1.179245283018826E-3</v>
      </c>
      <c r="L33" s="8">
        <f>(Table1[[#This Row],[2024 Market share (%)]]-Table1[[#This Row],[2023 Market share (%)]])*10000</f>
        <v>141.12241267763059</v>
      </c>
      <c r="M33" s="6">
        <f>_xlfn.RRI(5,Table1[[#This Row],[2019 U.S. Sales ($000)]],Table1[[#This Row],[2024 U.S. Sales ($000)]])</f>
        <v>4.7442012649023813E-3</v>
      </c>
      <c r="N33" s="9">
        <f>(Table1[[#This Row],[2024 Market share (%)]]-Table1[[#This Row],[2019 Market share (%)]])*10000</f>
        <v>153.59318390419375</v>
      </c>
      <c r="O33" s="6">
        <f>IF(Table1[[#This Row],[2024 AUV]]=0,"",_xlfn.RRI(5,Table1[[#This Row],[2019 AUV]],Table1[[#This Row],[2024 AUV]]))</f>
        <v>6.6350529448684359E-3</v>
      </c>
      <c r="P33" s="6">
        <f>_xlfn.RRI(5,Table1[[#This Row],[2019 U.S. Units]],Table1[[#This Row],[2024 U.S. Units]])</f>
        <v>-1.878388472996706E-3</v>
      </c>
      <c r="Q33" s="5">
        <v>3398800</v>
      </c>
      <c r="R33" s="6">
        <f>Table1[[#This Row],[2023 U.S. Sales ($000)]]/SUMIF($E:$E, E33, $Q:$Q)</f>
        <v>0.19421331408037956</v>
      </c>
      <c r="S33" s="8">
        <f>(Table1[[#This Row],[2023 Market share (%)]]-Table1[[#This Row],[2022 Market share (%)]])*10000</f>
        <v>-6.3598498405076365</v>
      </c>
      <c r="T33" s="10">
        <v>5.611832701510161E-2</v>
      </c>
      <c r="U33" s="5">
        <v>1696</v>
      </c>
      <c r="V33" s="5">
        <f t="shared" si="0"/>
        <v>2004.0094339622642</v>
      </c>
      <c r="W33" s="10">
        <v>1.7396520695860829E-2</v>
      </c>
      <c r="X33" s="10">
        <f t="shared" si="1"/>
        <v>9.72806057222253E-3</v>
      </c>
      <c r="Y33" s="8">
        <f>(Table1[[#This Row],[2023 Market share (%)]]-Table1[[#This Row],[2019 Market share (%)]])*10000</f>
        <v>12.470771226563148</v>
      </c>
      <c r="Z33" s="10">
        <f t="shared" si="2"/>
        <v>1.1805395996420609E-2</v>
      </c>
      <c r="AA33" s="10">
        <f t="shared" si="3"/>
        <v>-2.0530977917472271E-3</v>
      </c>
      <c r="AB33" s="5">
        <v>3218200</v>
      </c>
      <c r="AC33" s="6">
        <f>Table1[[#This Row],[2022 U.S. Sales ($000)]]/SUMIF($E:$E, E33, $AB:$AB)</f>
        <v>0.19484929906443033</v>
      </c>
      <c r="AD33" s="5">
        <v>1667</v>
      </c>
      <c r="AE33" s="5">
        <f t="shared" si="4"/>
        <v>1930.5338932213558</v>
      </c>
      <c r="AF33" s="5">
        <v>2997000</v>
      </c>
      <c r="AG33" s="6">
        <f>Table1[[#This Row],[2021 U.S. Sales ($000)]]/SUMIF($E:$E, E33, $AF:$AF)</f>
        <v>0.19850859571363177</v>
      </c>
      <c r="AH33" s="5">
        <v>1657</v>
      </c>
      <c r="AI33" s="12">
        <f t="shared" si="5"/>
        <v>1808.6904043452021</v>
      </c>
      <c r="AJ33" s="5">
        <v>2141000</v>
      </c>
      <c r="AK33" s="6">
        <f>Table1[[#This Row],[2020 U.S. Sales ($000)]]/SUMIF($E:$E, E33, $AJ:$AJ)</f>
        <v>0.20062011386714151</v>
      </c>
      <c r="AL33" s="5">
        <v>1670</v>
      </c>
      <c r="AM33" s="5">
        <f t="shared" si="6"/>
        <v>1282.0359281437127</v>
      </c>
      <c r="AN33" s="5">
        <v>3269700</v>
      </c>
      <c r="AO33" s="6">
        <f>Table1[[#This Row],[2019 U.S. Sales ($000)]]/SUMIF($E:$E, E33, $AN:$AN)</f>
        <v>0.19296623695772325</v>
      </c>
      <c r="AP33" s="5">
        <v>1710</v>
      </c>
      <c r="AQ33" s="5">
        <f t="shared" si="7"/>
        <v>1912.1052631578948</v>
      </c>
      <c r="AU33" s="8"/>
      <c r="AV33" s="8"/>
      <c r="AW33" s="8"/>
    </row>
    <row r="34" spans="1:49" x14ac:dyDescent="0.25">
      <c r="A34" t="s">
        <v>94</v>
      </c>
      <c r="B34">
        <v>896</v>
      </c>
      <c r="C34" t="s">
        <v>68</v>
      </c>
      <c r="D34" t="s">
        <v>69</v>
      </c>
      <c r="E34" t="s">
        <v>70</v>
      </c>
      <c r="F34" s="5">
        <v>34</v>
      </c>
      <c r="G34" s="5">
        <v>3011000</v>
      </c>
      <c r="H34" s="6">
        <f>Table1[[#This Row],[2024 U.S. Sales ($000)]]/SUMIF($E:$E, E34, $G:$G)</f>
        <v>0.18547492916102007</v>
      </c>
      <c r="I34" s="5">
        <v>594</v>
      </c>
      <c r="J34" s="5">
        <f>Table1[[#This Row],[2024 U.S. Sales ($000)]]/Table1[[#This Row],[2024 U.S. Units]]</f>
        <v>5069.0235690235686</v>
      </c>
      <c r="K34" s="6">
        <f>Table1[[#This Row],[2024 U.S. Units]]/Table1[[#This Row],[2023 U.S. Units]]-1</f>
        <v>2.4137931034482696E-2</v>
      </c>
      <c r="L34" s="8">
        <f>(Table1[[#This Row],[2024 Market share (%)]]-Table1[[#This Row],[2023 Market share (%)]])*10000</f>
        <v>95.669665321293223</v>
      </c>
      <c r="M34" s="6">
        <f>_xlfn.RRI(5,Table1[[#This Row],[2019 U.S. Sales ($000)]],Table1[[#This Row],[2024 U.S. Sales ($000)]])</f>
        <v>9.3741477778455984E-2</v>
      </c>
      <c r="N34" s="9">
        <f>(Table1[[#This Row],[2024 Market share (%)]]-Table1[[#This Row],[2019 Market share (%)]])*10000</f>
        <v>320.56453372021872</v>
      </c>
      <c r="O34" s="6">
        <f>IF(Table1[[#This Row],[2024 AUV]]=0,"",_xlfn.RRI(5,Table1[[#This Row],[2019 AUV]],Table1[[#This Row],[2024 AUV]]))</f>
        <v>6.9085814541167911E-2</v>
      </c>
      <c r="P34" s="6">
        <f>_xlfn.RRI(5,Table1[[#This Row],[2019 U.S. Units]],Table1[[#This Row],[2024 U.S. Units]])</f>
        <v>2.3062379934271071E-2</v>
      </c>
      <c r="Q34" s="5">
        <v>2808400</v>
      </c>
      <c r="R34" s="6">
        <f>Table1[[#This Row],[2023 U.S. Sales ($000)]]/SUMIF($E:$E, E34, $Q:$Q)</f>
        <v>0.17590796262889075</v>
      </c>
      <c r="S34" s="8">
        <f>(Table1[[#This Row],[2023 Market share (%)]]-Table1[[#This Row],[2022 Market share (%)]])*10000</f>
        <v>18.043597081275063</v>
      </c>
      <c r="T34" s="10">
        <v>0.10245740755279893</v>
      </c>
      <c r="U34" s="5">
        <v>580</v>
      </c>
      <c r="V34" s="5">
        <f t="shared" si="0"/>
        <v>4842.0689655172409</v>
      </c>
      <c r="W34" s="10">
        <v>2.8368794326241134E-2</v>
      </c>
      <c r="X34" s="10">
        <f t="shared" si="1"/>
        <v>9.9209327105285183E-2</v>
      </c>
      <c r="Y34" s="8">
        <f>(Table1[[#This Row],[2023 Market share (%)]]-Table1[[#This Row],[2019 Market share (%)]])*10000</f>
        <v>224.89486839892547</v>
      </c>
      <c r="Z34" s="10">
        <f t="shared" si="2"/>
        <v>7.4712682280880571E-2</v>
      </c>
      <c r="AA34" s="10">
        <f t="shared" si="3"/>
        <v>2.2793668697027814E-2</v>
      </c>
      <c r="AB34" s="5">
        <v>2547400</v>
      </c>
      <c r="AC34" s="6">
        <f>Table1[[#This Row],[2022 U.S. Sales ($000)]]/SUMIF($E:$E, E34, $AB:$AB)</f>
        <v>0.17410360292076324</v>
      </c>
      <c r="AD34" s="5">
        <v>564</v>
      </c>
      <c r="AE34" s="5">
        <f t="shared" si="4"/>
        <v>4516.666666666667</v>
      </c>
      <c r="AF34" s="5">
        <v>2208600</v>
      </c>
      <c r="AG34" s="6">
        <f>Table1[[#This Row],[2021 U.S. Sales ($000)]]/SUMIF($E:$E, E34, $AF:$AF)</f>
        <v>0.16992557389119639</v>
      </c>
      <c r="AH34" s="5">
        <v>551</v>
      </c>
      <c r="AI34" s="12">
        <f t="shared" si="5"/>
        <v>4008.3484573502724</v>
      </c>
      <c r="AJ34" s="5">
        <v>1636100</v>
      </c>
      <c r="AK34" s="6">
        <f>Table1[[#This Row],[2020 U.S. Sales ($000)]]/SUMIF($E:$E, E34, $AJ:$AJ)</f>
        <v>0.17421068536214973</v>
      </c>
      <c r="AL34" s="5">
        <v>538</v>
      </c>
      <c r="AM34" s="5">
        <f t="shared" si="6"/>
        <v>3041.0780669144983</v>
      </c>
      <c r="AN34" s="5">
        <v>1923700</v>
      </c>
      <c r="AO34" s="6">
        <f>Table1[[#This Row],[2019 U.S. Sales ($000)]]/SUMIF($E:$E, E34, $AN:$AN)</f>
        <v>0.1534184757889982</v>
      </c>
      <c r="AP34" s="5">
        <v>530</v>
      </c>
      <c r="AQ34" s="5">
        <f t="shared" si="7"/>
        <v>3629.6226415094338</v>
      </c>
      <c r="AU34" s="8"/>
      <c r="AV34" s="8"/>
      <c r="AW34" s="8"/>
    </row>
    <row r="35" spans="1:49" x14ac:dyDescent="0.25">
      <c r="A35" t="s">
        <v>95</v>
      </c>
      <c r="B35">
        <v>805</v>
      </c>
      <c r="C35" t="s">
        <v>68</v>
      </c>
      <c r="D35" t="s">
        <v>92</v>
      </c>
      <c r="E35" t="s">
        <v>93</v>
      </c>
      <c r="F35" s="5">
        <v>36</v>
      </c>
      <c r="G35" s="5">
        <v>2767000</v>
      </c>
      <c r="H35" s="6">
        <f>Table1[[#This Row],[2024 U.S. Sales ($000)]]/SUMIF($E:$E, E35, $G:$G)</f>
        <v>0.17217348018169373</v>
      </c>
      <c r="I35" s="5">
        <v>657</v>
      </c>
      <c r="J35" s="5">
        <f>Table1[[#This Row],[2024 U.S. Sales ($000)]]/Table1[[#This Row],[2024 U.S. Units]]</f>
        <v>4211.5677321156772</v>
      </c>
      <c r="K35" s="6">
        <f>Table1[[#This Row],[2024 U.S. Units]]/Table1[[#This Row],[2023 U.S. Units]]-1</f>
        <v>-7.5528700906344337E-3</v>
      </c>
      <c r="L35" s="8">
        <f>(Table1[[#This Row],[2024 Market share (%)]]-Table1[[#This Row],[2023 Market share (%)]])*10000</f>
        <v>185.80393873966651</v>
      </c>
      <c r="M35" s="6">
        <f>_xlfn.RRI(5,Table1[[#This Row],[2019 U.S. Sales ($000)]],Table1[[#This Row],[2024 U.S. Sales ($000)]])</f>
        <v>1.9047787067348887E-2</v>
      </c>
      <c r="N35" s="9">
        <f>(Table1[[#This Row],[2024 Market share (%)]]-Table1[[#This Row],[2019 Market share (%)]])*10000</f>
        <v>235.76553111623738</v>
      </c>
      <c r="O35" s="6">
        <f>IF(Table1[[#This Row],[2024 AUV]]=0,"",_xlfn.RRI(5,Table1[[#This Row],[2019 AUV]],Table1[[#This Row],[2024 AUV]]))</f>
        <v>1.9976729163887263E-2</v>
      </c>
      <c r="P35" s="6">
        <f>_xlfn.RRI(5,Table1[[#This Row],[2019 U.S. Units]],Table1[[#This Row],[2024 U.S. Units]])</f>
        <v>-9.1074832393467364E-4</v>
      </c>
      <c r="Q35" s="5">
        <v>2687932</v>
      </c>
      <c r="R35" s="6">
        <f>Table1[[#This Row],[2023 U.S. Sales ($000)]]/SUMIF($E:$E, E35, $Q:$Q)</f>
        <v>0.15359308630772708</v>
      </c>
      <c r="S35" s="8">
        <f>(Table1[[#This Row],[2023 Market share (%)]]-Table1[[#This Row],[2022 Market share (%)]])*10000</f>
        <v>-48.841417778419107</v>
      </c>
      <c r="T35" s="10">
        <v>2.692145762351832E-2</v>
      </c>
      <c r="U35" s="5">
        <v>662</v>
      </c>
      <c r="V35" s="5">
        <f t="shared" si="0"/>
        <v>4060.320241691843</v>
      </c>
      <c r="W35" s="10">
        <v>-4.5112781954887221E-3</v>
      </c>
      <c r="X35" s="10">
        <f t="shared" si="1"/>
        <v>1.6472111050670257E-2</v>
      </c>
      <c r="Y35" s="8">
        <f>(Table1[[#This Row],[2023 Market share (%)]]-Table1[[#This Row],[2019 Market share (%)]])*10000</f>
        <v>49.961592376570884</v>
      </c>
      <c r="Z35" s="10">
        <f t="shared" si="2"/>
        <v>1.5703511551395932E-2</v>
      </c>
      <c r="AA35" s="10">
        <f t="shared" si="3"/>
        <v>7.5671639463026352E-4</v>
      </c>
      <c r="AB35" s="5">
        <v>2617466</v>
      </c>
      <c r="AC35" s="6">
        <f>Table1[[#This Row],[2022 U.S. Sales ($000)]]/SUMIF($E:$E, E35, $AB:$AB)</f>
        <v>0.15847722808556899</v>
      </c>
      <c r="AD35" s="5">
        <v>665</v>
      </c>
      <c r="AE35" s="5">
        <f t="shared" si="4"/>
        <v>3936.0390977443608</v>
      </c>
      <c r="AF35" s="5">
        <v>2418076</v>
      </c>
      <c r="AG35" s="6">
        <f>Table1[[#This Row],[2021 U.S. Sales ($000)]]/SUMIF($E:$E, E35, $AF:$AF)</f>
        <v>0.16016312014976172</v>
      </c>
      <c r="AH35" s="5">
        <v>664</v>
      </c>
      <c r="AI35" s="12">
        <f t="shared" si="5"/>
        <v>3641.6807228915663</v>
      </c>
      <c r="AJ35" s="5">
        <v>1770011</v>
      </c>
      <c r="AK35" s="6">
        <f>Table1[[#This Row],[2020 U.S. Sales ($000)]]/SUMIF($E:$E, E35, $AJ:$AJ)</f>
        <v>0.16585698662591919</v>
      </c>
      <c r="AL35" s="5">
        <v>663</v>
      </c>
      <c r="AM35" s="5">
        <f t="shared" si="6"/>
        <v>2669.6998491704376</v>
      </c>
      <c r="AN35" s="5">
        <v>2517888</v>
      </c>
      <c r="AO35" s="6">
        <f>Table1[[#This Row],[2019 U.S. Sales ($000)]]/SUMIF($E:$E, E35, $AN:$AN)</f>
        <v>0.14859692707007</v>
      </c>
      <c r="AP35" s="5">
        <v>660</v>
      </c>
      <c r="AQ35" s="5">
        <f t="shared" si="7"/>
        <v>3814.9818181818182</v>
      </c>
      <c r="AU35" s="8"/>
      <c r="AV35" s="8"/>
      <c r="AW35" s="8"/>
    </row>
    <row r="36" spans="1:49" x14ac:dyDescent="0.25">
      <c r="A36" t="s">
        <v>96</v>
      </c>
      <c r="B36">
        <v>831</v>
      </c>
      <c r="C36" t="s">
        <v>68</v>
      </c>
      <c r="D36" t="s">
        <v>69</v>
      </c>
      <c r="E36" t="s">
        <v>70</v>
      </c>
      <c r="F36" s="5">
        <v>33</v>
      </c>
      <c r="G36" s="5">
        <v>2719000</v>
      </c>
      <c r="H36" s="6">
        <f>Table1[[#This Row],[2024 U.S. Sales ($000)]]/SUMIF($E:$E, E36, $G:$G)</f>
        <v>0.16748798817297031</v>
      </c>
      <c r="I36" s="5">
        <v>675</v>
      </c>
      <c r="J36" s="5">
        <f>Table1[[#This Row],[2024 U.S. Sales ($000)]]/Table1[[#This Row],[2024 U.S. Units]]</f>
        <v>4028.1481481481483</v>
      </c>
      <c r="K36" s="6">
        <f>Table1[[#This Row],[2024 U.S. Units]]/Table1[[#This Row],[2023 U.S. Units]]-1</f>
        <v>-1.8895348837209336E-2</v>
      </c>
      <c r="L36" s="8">
        <f>(Table1[[#This Row],[2024 Market share (%)]]-Table1[[#This Row],[2023 Market share (%)]])*10000</f>
        <v>-98.010436298288653</v>
      </c>
      <c r="M36" s="6">
        <f>_xlfn.RRI(5,Table1[[#This Row],[2019 U.S. Sales ($000)]],Table1[[#This Row],[2024 U.S. Sales ($000)]])</f>
        <v>6.2366735358094783E-3</v>
      </c>
      <c r="N36" s="9">
        <f>(Table1[[#This Row],[2024 Market share (%)]]-Table1[[#This Row],[2019 Market share (%)]])*10000</f>
        <v>-427.19807450683322</v>
      </c>
      <c r="O36" s="6">
        <f>IF(Table1[[#This Row],[2024 AUV]]=0,"",_xlfn.RRI(5,Table1[[#This Row],[2019 AUV]],Table1[[#This Row],[2024 AUV]]))</f>
        <v>2.043912185425012E-2</v>
      </c>
      <c r="P36" s="6">
        <f>_xlfn.RRI(5,Table1[[#This Row],[2019 U.S. Units]],Table1[[#This Row],[2024 U.S. Units]])</f>
        <v>-1.391797708875897E-2</v>
      </c>
      <c r="Q36" s="5">
        <v>2830449</v>
      </c>
      <c r="R36" s="6">
        <f>Table1[[#This Row],[2023 U.S. Sales ($000)]]/SUMIF($E:$E, E36, $Q:$Q)</f>
        <v>0.17728903180279917</v>
      </c>
      <c r="S36" s="8">
        <f>(Table1[[#This Row],[2023 Market share (%)]]-Table1[[#This Row],[2022 Market share (%)]])*10000</f>
        <v>-95.973869542976544</v>
      </c>
      <c r="T36" s="10">
        <v>3.5114056593837401E-2</v>
      </c>
      <c r="U36" s="5">
        <v>688</v>
      </c>
      <c r="V36" s="5">
        <f t="shared" si="0"/>
        <v>4114.0247093023254</v>
      </c>
      <c r="W36" s="10">
        <v>-7.215007215007215E-3</v>
      </c>
      <c r="X36" s="10">
        <f t="shared" si="1"/>
        <v>1.797405354912085E-2</v>
      </c>
      <c r="Y36" s="8">
        <f>(Table1[[#This Row],[2023 Market share (%)]]-Table1[[#This Row],[2019 Market share (%)]])*10000</f>
        <v>-329.18763820854457</v>
      </c>
      <c r="Z36" s="10">
        <f t="shared" si="2"/>
        <v>3.103697614704215E-2</v>
      </c>
      <c r="AA36" s="10">
        <f t="shared" si="3"/>
        <v>-1.2669693619269728E-2</v>
      </c>
      <c r="AB36" s="5">
        <v>2734432</v>
      </c>
      <c r="AC36" s="6">
        <f>Table1[[#This Row],[2022 U.S. Sales ($000)]]/SUMIF($E:$E, E36, $AB:$AB)</f>
        <v>0.18688641875709683</v>
      </c>
      <c r="AD36" s="5">
        <v>693</v>
      </c>
      <c r="AE36" s="5">
        <f t="shared" si="4"/>
        <v>3945.789321789322</v>
      </c>
      <c r="AF36" s="5">
        <v>2620909</v>
      </c>
      <c r="AG36" s="6">
        <f>Table1[[#This Row],[2021 U.S. Sales ($000)]]/SUMIF($E:$E, E36, $AF:$AF)</f>
        <v>0.201647861062031</v>
      </c>
      <c r="AH36" s="5">
        <v>694</v>
      </c>
      <c r="AI36" s="12">
        <f t="shared" si="5"/>
        <v>3776.5259365994239</v>
      </c>
      <c r="AJ36" s="5">
        <v>2087071</v>
      </c>
      <c r="AK36" s="6">
        <f>Table1[[#This Row],[2020 U.S. Sales ($000)]]/SUMIF($E:$E, E36, $AJ:$AJ)</f>
        <v>0.22222973492418999</v>
      </c>
      <c r="AL36" s="5">
        <v>706</v>
      </c>
      <c r="AM36" s="5">
        <f t="shared" si="6"/>
        <v>2956.1912181303114</v>
      </c>
      <c r="AN36" s="5">
        <v>2635776</v>
      </c>
      <c r="AO36" s="6">
        <f>Table1[[#This Row],[2019 U.S. Sales ($000)]]/SUMIF($E:$E, E36, $AN:$AN)</f>
        <v>0.21020779562365363</v>
      </c>
      <c r="AP36" s="5">
        <v>724</v>
      </c>
      <c r="AQ36" s="5">
        <f t="shared" si="7"/>
        <v>3640.5745856353592</v>
      </c>
      <c r="AU36" s="8"/>
      <c r="AV36" s="8"/>
      <c r="AW36" s="8"/>
    </row>
    <row r="37" spans="1:49" x14ac:dyDescent="0.25">
      <c r="A37" t="s">
        <v>97</v>
      </c>
      <c r="B37">
        <v>494</v>
      </c>
      <c r="C37" t="s">
        <v>68</v>
      </c>
      <c r="D37" t="s">
        <v>92</v>
      </c>
      <c r="E37" t="s">
        <v>93</v>
      </c>
      <c r="F37" s="5">
        <v>35</v>
      </c>
      <c r="G37" s="5">
        <v>2652000</v>
      </c>
      <c r="H37" s="6">
        <f>Table1[[#This Row],[2024 U.S. Sales ($000)]]/SUMIF($E:$E, E37, $G:$G)</f>
        <v>0.16501773380623483</v>
      </c>
      <c r="I37" s="5">
        <v>1334</v>
      </c>
      <c r="J37" s="5">
        <f>Table1[[#This Row],[2024 U.S. Sales ($000)]]/Table1[[#This Row],[2024 U.S. Units]]</f>
        <v>1988.0059970014993</v>
      </c>
      <c r="K37" s="6">
        <f>Table1[[#This Row],[2024 U.S. Units]]/Table1[[#This Row],[2023 U.S. Units]]-1</f>
        <v>-5.1883439943141485E-2</v>
      </c>
      <c r="L37" s="8">
        <f>(Table1[[#This Row],[2024 Market share (%)]]-Table1[[#This Row],[2023 Market share (%)]])*10000</f>
        <v>110.60768957827565</v>
      </c>
      <c r="M37" s="6">
        <f>_xlfn.RRI(5,Table1[[#This Row],[2019 U.S. Sales ($000)]],Table1[[#This Row],[2024 U.S. Sales ($000)]])</f>
        <v>-2.9689227405738094E-3</v>
      </c>
      <c r="N37" s="9">
        <f>(Table1[[#This Row],[2024 Market share (%)]]-Table1[[#This Row],[2019 Market share (%)]])*10000</f>
        <v>61.617921877133163</v>
      </c>
      <c r="O37" s="6">
        <f>IF(Table1[[#This Row],[2024 AUV]]=0,"",_xlfn.RRI(5,Table1[[#This Row],[2019 AUV]],Table1[[#This Row],[2024 AUV]]))</f>
        <v>2.8600550736663788E-2</v>
      </c>
      <c r="P37" s="6">
        <f>_xlfn.RRI(5,Table1[[#This Row],[2019 U.S. Units]],Table1[[#This Row],[2024 U.S. Units]])</f>
        <v>-3.0691674678404834E-2</v>
      </c>
      <c r="Q37" s="5">
        <v>2694300</v>
      </c>
      <c r="R37" s="6">
        <f>Table1[[#This Row],[2023 U.S. Sales ($000)]]/SUMIF($E:$E, E37, $Q:$Q)</f>
        <v>0.15395696484840726</v>
      </c>
      <c r="S37" s="8">
        <f>(Table1[[#This Row],[2023 Market share (%)]]-Table1[[#This Row],[2022 Market share (%)]])*10000</f>
        <v>-44.757618901937747</v>
      </c>
      <c r="T37" s="10">
        <v>2.9643475007557138E-2</v>
      </c>
      <c r="U37" s="5">
        <v>1407</v>
      </c>
      <c r="V37" s="5">
        <f t="shared" si="0"/>
        <v>1914.9253731343283</v>
      </c>
      <c r="W37" s="10">
        <v>-2.6297577854671281E-2</v>
      </c>
      <c r="X37" s="10">
        <f t="shared" si="1"/>
        <v>2.394447541904654E-4</v>
      </c>
      <c r="Y37" s="8">
        <f>(Table1[[#This Row],[2023 Market share (%)]]-Table1[[#This Row],[2019 Market share (%)]])*10000</f>
        <v>-48.989767701142497</v>
      </c>
      <c r="Z37" s="10">
        <f t="shared" si="2"/>
        <v>2.6223561362730186E-2</v>
      </c>
      <c r="AA37" s="10">
        <f t="shared" si="3"/>
        <v>-2.5320132558674935E-2</v>
      </c>
      <c r="AB37" s="5">
        <v>2616731</v>
      </c>
      <c r="AC37" s="6">
        <f>Table1[[#This Row],[2022 U.S. Sales ($000)]]/SUMIF($E:$E, E37, $AB:$AB)</f>
        <v>0.15843272673860104</v>
      </c>
      <c r="AD37" s="5">
        <v>1445</v>
      </c>
      <c r="AE37" s="5">
        <f t="shared" si="4"/>
        <v>1810.8865051903115</v>
      </c>
      <c r="AF37" s="5">
        <v>2462351</v>
      </c>
      <c r="AG37" s="6">
        <f>Table1[[#This Row],[2021 U.S. Sales ($000)]]/SUMIF($E:$E, E37, $AF:$AF)</f>
        <v>0.16309570876344909</v>
      </c>
      <c r="AH37" s="5">
        <v>1487</v>
      </c>
      <c r="AI37" s="12">
        <f t="shared" si="5"/>
        <v>1655.9186281102891</v>
      </c>
      <c r="AJ37" s="5">
        <v>1744452</v>
      </c>
      <c r="AK37" s="6">
        <f>Table1[[#This Row],[2020 U.S. Sales ($000)]]/SUMIF($E:$E, E37, $AJ:$AJ)</f>
        <v>0.16346200788218718</v>
      </c>
      <c r="AL37" s="5">
        <v>1504</v>
      </c>
      <c r="AM37" s="5">
        <f t="shared" si="6"/>
        <v>1159.875</v>
      </c>
      <c r="AN37" s="5">
        <v>2691721</v>
      </c>
      <c r="AO37" s="6">
        <f>Table1[[#This Row],[2019 U.S. Sales ($000)]]/SUMIF($E:$E, E37, $AN:$AN)</f>
        <v>0.15885594161852151</v>
      </c>
      <c r="AP37" s="5">
        <v>1559</v>
      </c>
      <c r="AQ37" s="5">
        <f t="shared" si="7"/>
        <v>1726.5689544579859</v>
      </c>
      <c r="AU37" s="8"/>
      <c r="AV37" s="8"/>
      <c r="AW37" s="8"/>
    </row>
    <row r="38" spans="1:49" x14ac:dyDescent="0.25">
      <c r="A38" t="s">
        <v>98</v>
      </c>
      <c r="B38">
        <v>869</v>
      </c>
      <c r="C38" t="s">
        <v>68</v>
      </c>
      <c r="D38" t="s">
        <v>69</v>
      </c>
      <c r="E38" t="s">
        <v>79</v>
      </c>
      <c r="F38" s="5">
        <v>37</v>
      </c>
      <c r="G38" s="5">
        <v>2622000</v>
      </c>
      <c r="H38" s="6">
        <f>Table1[[#This Row],[2024 U.S. Sales ($000)]]/SUMIF($E:$E, E38, $G:$G)</f>
        <v>0.12605163213307052</v>
      </c>
      <c r="I38" s="5">
        <v>215</v>
      </c>
      <c r="J38" s="5">
        <f>Table1[[#This Row],[2024 U.S. Sales ($000)]]/Table1[[#This Row],[2024 U.S. Units]]</f>
        <v>12195.348837209302</v>
      </c>
      <c r="K38" s="6">
        <f>Table1[[#This Row],[2024 U.S. Units]]/Table1[[#This Row],[2023 U.S. Units]]-1</f>
        <v>-4.6296296296296502E-3</v>
      </c>
      <c r="L38" s="8">
        <f>(Table1[[#This Row],[2024 Market share (%)]]-Table1[[#This Row],[2023 Market share (%)]])*10000</f>
        <v>184.73810989935794</v>
      </c>
      <c r="M38" s="6">
        <f>_xlfn.RRI(5,Table1[[#This Row],[2019 U.S. Sales ($000)]],Table1[[#This Row],[2024 U.S. Sales ($000)]])</f>
        <v>3.7528663946768237E-2</v>
      </c>
      <c r="N38" s="9">
        <f>(Table1[[#This Row],[2024 Market share (%)]]-Table1[[#This Row],[2019 Market share (%)]])*10000</f>
        <v>305.53326892763033</v>
      </c>
      <c r="O38" s="6">
        <f>IF(Table1[[#This Row],[2024 AUV]]=0,"",_xlfn.RRI(5,Table1[[#This Row],[2019 AUV]],Table1[[#This Row],[2024 AUV]]))</f>
        <v>2.8693169062857127E-2</v>
      </c>
      <c r="P38" s="6">
        <f>_xlfn.RRI(5,Table1[[#This Row],[2019 U.S. Units]],Table1[[#This Row],[2024 U.S. Units]])</f>
        <v>8.5890478809733661E-3</v>
      </c>
      <c r="Q38" s="5">
        <v>2595066</v>
      </c>
      <c r="R38" s="6">
        <f>Table1[[#This Row],[2023 U.S. Sales ($000)]]/SUMIF($E:$E, E38, $Q:$Q)</f>
        <v>0.10757782114313473</v>
      </c>
      <c r="S38" s="8">
        <f>(Table1[[#This Row],[2023 Market share (%)]]-Table1[[#This Row],[2022 Market share (%)]])*10000</f>
        <v>0.78415080007707139</v>
      </c>
      <c r="T38" s="10">
        <v>2.6511811705734436E-2</v>
      </c>
      <c r="U38" s="5">
        <v>216</v>
      </c>
      <c r="V38" s="5">
        <f t="shared" si="0"/>
        <v>12014.194444444445</v>
      </c>
      <c r="W38" s="10">
        <v>2.3696682464454975E-2</v>
      </c>
      <c r="X38" s="10">
        <f t="shared" si="1"/>
        <v>4.4429331423833318E-2</v>
      </c>
      <c r="Y38" s="8">
        <f>(Table1[[#This Row],[2023 Market share (%)]]-Table1[[#This Row],[2019 Market share (%)]])*10000</f>
        <v>120.79515902827242</v>
      </c>
      <c r="Z38" s="10">
        <f t="shared" si="2"/>
        <v>3.2125308030110489E-2</v>
      </c>
      <c r="AA38" s="10">
        <f t="shared" si="3"/>
        <v>1.1921055803976177E-2</v>
      </c>
      <c r="AB38" s="5">
        <v>2528043</v>
      </c>
      <c r="AC38" s="6">
        <f>Table1[[#This Row],[2022 U.S. Sales ($000)]]/SUMIF($E:$E, E38, $AB:$AB)</f>
        <v>0.10749940606312702</v>
      </c>
      <c r="AD38" s="5">
        <v>211</v>
      </c>
      <c r="AE38" s="5">
        <f t="shared" si="4"/>
        <v>11981.246445497631</v>
      </c>
      <c r="AF38" s="5">
        <v>2293225</v>
      </c>
      <c r="AG38" s="6">
        <f>Table1[[#This Row],[2021 U.S. Sales ($000)]]/SUMIF($E:$E, E38, $AF:$AF)</f>
        <v>0.10558075110594539</v>
      </c>
      <c r="AH38" s="5">
        <v>207</v>
      </c>
      <c r="AI38" s="12">
        <f t="shared" si="5"/>
        <v>11078.381642512077</v>
      </c>
      <c r="AJ38" s="5">
        <v>1585008</v>
      </c>
      <c r="AK38" s="6">
        <f>Table1[[#This Row],[2020 U.S. Sales ($000)]]/SUMIF($E:$E, E38, $AJ:$AJ)</f>
        <v>9.7202203541368104E-2</v>
      </c>
      <c r="AL38" s="5">
        <v>206</v>
      </c>
      <c r="AM38" s="5">
        <f t="shared" si="6"/>
        <v>7694.2135922330099</v>
      </c>
      <c r="AN38" s="5">
        <v>2180882</v>
      </c>
      <c r="AO38" s="6">
        <f>Table1[[#This Row],[2019 U.S. Sales ($000)]]/SUMIF($E:$E, E38, $AN:$AN)</f>
        <v>9.5498305240307488E-2</v>
      </c>
      <c r="AP38" s="5">
        <v>206</v>
      </c>
      <c r="AQ38" s="5">
        <f t="shared" si="7"/>
        <v>10586.805825242718</v>
      </c>
      <c r="AU38" s="8"/>
      <c r="AV38" s="8"/>
      <c r="AW38" s="8"/>
    </row>
    <row r="39" spans="1:49" x14ac:dyDescent="0.25">
      <c r="A39" t="s">
        <v>99</v>
      </c>
      <c r="B39">
        <v>1652</v>
      </c>
      <c r="C39" t="s">
        <v>44</v>
      </c>
      <c r="D39" t="s">
        <v>56</v>
      </c>
      <c r="E39" t="s">
        <v>59</v>
      </c>
      <c r="F39" s="5">
        <v>38</v>
      </c>
      <c r="G39" s="5">
        <v>2599000</v>
      </c>
      <c r="H39" s="6">
        <f>Table1[[#This Row],[2024 U.S. Sales ($000)]]/SUMIF($E:$E, E39, $G:$G)</f>
        <v>7.4420868768433415E-2</v>
      </c>
      <c r="I39" s="5">
        <v>2689</v>
      </c>
      <c r="J39" s="5">
        <f>Table1[[#This Row],[2024 U.S. Sales ($000)]]/Table1[[#This Row],[2024 U.S. Units]]</f>
        <v>966.53030866493123</v>
      </c>
      <c r="K39" s="6">
        <f>Table1[[#This Row],[2024 U.S. Units]]/Table1[[#This Row],[2023 U.S. Units]]-1</f>
        <v>1.7019667170953046E-2</v>
      </c>
      <c r="L39" s="8">
        <f>(Table1[[#This Row],[2024 Market share (%)]]-Table1[[#This Row],[2023 Market share (%)]])*10000</f>
        <v>68.791941282630304</v>
      </c>
      <c r="M39" s="6">
        <f>_xlfn.RRI(5,Table1[[#This Row],[2019 U.S. Sales ($000)]],Table1[[#This Row],[2024 U.S. Sales ($000)]])</f>
        <v>4.3039926945876772E-2</v>
      </c>
      <c r="N39" s="9">
        <f>(Table1[[#This Row],[2024 Market share (%)]]-Table1[[#This Row],[2019 Market share (%)]])*10000</f>
        <v>99.712844560679031</v>
      </c>
      <c r="O39" s="6">
        <f>IF(Table1[[#This Row],[2024 AUV]]=0,"",_xlfn.RRI(5,Table1[[#This Row],[2019 AUV]],Table1[[#This Row],[2024 AUV]]))</f>
        <v>5.0534130347854811E-2</v>
      </c>
      <c r="P39" s="6">
        <f>_xlfn.RRI(5,Table1[[#This Row],[2019 U.S. Units]],Table1[[#This Row],[2024 U.S. Units]])</f>
        <v>-7.1337076878184025E-3</v>
      </c>
      <c r="Q39" s="5">
        <v>2551112</v>
      </c>
      <c r="R39" s="6">
        <f>Table1[[#This Row],[2023 U.S. Sales ($000)]]/SUMIF($E:$E, E39, $Q:$Q)</f>
        <v>6.7541674640170385E-2</v>
      </c>
      <c r="S39" s="8">
        <f>(Table1[[#This Row],[2023 Market share (%)]]-Table1[[#This Row],[2022 Market share (%)]])*10000</f>
        <v>14.598824149003459</v>
      </c>
      <c r="T39" s="10">
        <v>7.8931063518801803E-2</v>
      </c>
      <c r="U39" s="5">
        <v>2644</v>
      </c>
      <c r="V39" s="5">
        <f t="shared" si="0"/>
        <v>964.86838124054464</v>
      </c>
      <c r="W39" s="10">
        <v>2.6545316647705727E-3</v>
      </c>
      <c r="X39" s="10">
        <f t="shared" si="1"/>
        <v>4.9196850206081999E-2</v>
      </c>
      <c r="Y39" s="8">
        <f>(Table1[[#This Row],[2023 Market share (%)]]-Table1[[#This Row],[2019 Market share (%)]])*10000</f>
        <v>30.920903278048723</v>
      </c>
      <c r="Z39" s="10">
        <f t="shared" si="2"/>
        <v>6.3104257968759958E-2</v>
      </c>
      <c r="AA39" s="10">
        <f t="shared" si="3"/>
        <v>-1.3081885109979985E-2</v>
      </c>
      <c r="AB39" s="5">
        <v>2364481</v>
      </c>
      <c r="AC39" s="6">
        <f>Table1[[#This Row],[2022 U.S. Sales ($000)]]/SUMIF($E:$E, E39, $AB:$AB)</f>
        <v>6.6081792225270039E-2</v>
      </c>
      <c r="AD39" s="5">
        <v>2637</v>
      </c>
      <c r="AE39" s="5">
        <f t="shared" si="4"/>
        <v>896.65566932119827</v>
      </c>
      <c r="AF39" s="5">
        <v>2301060</v>
      </c>
      <c r="AG39" s="6">
        <f>Table1[[#This Row],[2021 U.S. Sales ($000)]]/SUMIF($E:$E, E39, $AF:$AF)</f>
        <v>6.9354672354586089E-2</v>
      </c>
      <c r="AH39" s="5">
        <v>2663</v>
      </c>
      <c r="AI39" s="12">
        <f t="shared" si="5"/>
        <v>864.08561772437099</v>
      </c>
      <c r="AJ39" s="5">
        <v>1925405</v>
      </c>
      <c r="AK39" s="6">
        <f>Table1[[#This Row],[2020 U.S. Sales ($000)]]/SUMIF($E:$E, E39, $AJ:$AJ)</f>
        <v>6.7606804006368662E-2</v>
      </c>
      <c r="AL39" s="5">
        <v>2705</v>
      </c>
      <c r="AM39" s="5">
        <f t="shared" si="6"/>
        <v>711.79482439926062</v>
      </c>
      <c r="AN39" s="5">
        <v>2105240</v>
      </c>
      <c r="AO39" s="6">
        <f>Table1[[#This Row],[2019 U.S. Sales ($000)]]/SUMIF($E:$E, E39, $AN:$AN)</f>
        <v>6.4449584312365513E-2</v>
      </c>
      <c r="AP39" s="5">
        <v>2787</v>
      </c>
      <c r="AQ39" s="5">
        <f t="shared" si="7"/>
        <v>755.37854323645502</v>
      </c>
      <c r="AU39" s="8"/>
      <c r="AV39" s="8"/>
      <c r="AW39" s="8"/>
    </row>
    <row r="40" spans="1:49" x14ac:dyDescent="0.25">
      <c r="A40" t="s">
        <v>100</v>
      </c>
      <c r="B40">
        <v>2716</v>
      </c>
      <c r="C40" t="s">
        <v>44</v>
      </c>
      <c r="D40" t="s">
        <v>56</v>
      </c>
      <c r="E40" t="s">
        <v>50</v>
      </c>
      <c r="F40" s="5">
        <v>39</v>
      </c>
      <c r="G40" s="5">
        <v>2588000</v>
      </c>
      <c r="H40" s="6">
        <f>Table1[[#This Row],[2024 U.S. Sales ($000)]]/SUMIF($E:$E, E40, $G:$G)</f>
        <v>4.9270837299623046E-2</v>
      </c>
      <c r="I40" s="5">
        <v>960</v>
      </c>
      <c r="J40" s="5">
        <f>Table1[[#This Row],[2024 U.S. Sales ($000)]]/Table1[[#This Row],[2024 U.S. Units]]</f>
        <v>2695.8333333333335</v>
      </c>
      <c r="K40" s="6">
        <f>Table1[[#This Row],[2024 U.S. Units]]/Table1[[#This Row],[2023 U.S. Units]]-1</f>
        <v>2.0191285866099973E-2</v>
      </c>
      <c r="L40" s="8">
        <f>(Table1[[#This Row],[2024 Market share (%)]]-Table1[[#This Row],[2023 Market share (%)]])*10000</f>
        <v>-12.469820879339871</v>
      </c>
      <c r="M40" s="6">
        <f>_xlfn.RRI(5,Table1[[#This Row],[2019 U.S. Sales ($000)]],Table1[[#This Row],[2024 U.S. Sales ($000)]])</f>
        <v>6.2807037654889708E-2</v>
      </c>
      <c r="N40" s="9">
        <f>(Table1[[#This Row],[2024 Market share (%)]]-Table1[[#This Row],[2019 Market share (%)]])*10000</f>
        <v>-128.95997246270295</v>
      </c>
      <c r="O40" s="6">
        <f>IF(Table1[[#This Row],[2024 AUV]]=0,"",_xlfn.RRI(5,Table1[[#This Row],[2019 AUV]],Table1[[#This Row],[2024 AUV]]))</f>
        <v>5.0339965608148463E-2</v>
      </c>
      <c r="P40" s="6">
        <f>_xlfn.RRI(5,Table1[[#This Row],[2019 U.S. Units]],Table1[[#This Row],[2024 U.S. Units]])</f>
        <v>1.1869558861851592E-2</v>
      </c>
      <c r="Q40" s="5">
        <v>2474500</v>
      </c>
      <c r="R40" s="6">
        <f>Table1[[#This Row],[2023 U.S. Sales ($000)]]/SUMIF($E:$E, E40, $Q:$Q)</f>
        <v>5.0517819387557034E-2</v>
      </c>
      <c r="S40" s="8">
        <f>(Table1[[#This Row],[2023 Market share (%)]]-Table1[[#This Row],[2022 Market share (%)]])*10000</f>
        <v>-40.295670271367698</v>
      </c>
      <c r="T40" s="10">
        <v>3.9705882352941174E-2</v>
      </c>
      <c r="U40" s="5">
        <v>941</v>
      </c>
      <c r="V40" s="5">
        <f t="shared" si="0"/>
        <v>2629.6493092454834</v>
      </c>
      <c r="W40" s="10">
        <v>2.0607375271149676E-2</v>
      </c>
      <c r="X40" s="10">
        <f t="shared" si="1"/>
        <v>6.7084529201677734E-2</v>
      </c>
      <c r="Y40" s="8">
        <f>(Table1[[#This Row],[2023 Market share (%)]]-Table1[[#This Row],[2019 Market share (%)]])*10000</f>
        <v>-116.49015158336309</v>
      </c>
      <c r="Z40" s="10">
        <f t="shared" si="2"/>
        <v>5.6728845255593185E-2</v>
      </c>
      <c r="AA40" s="10">
        <f t="shared" si="3"/>
        <v>9.7997551524959814E-3</v>
      </c>
      <c r="AB40" s="5">
        <v>2380000</v>
      </c>
      <c r="AC40" s="6">
        <f>Table1[[#This Row],[2022 U.S. Sales ($000)]]/SUMIF($E:$E, E40, $AB:$AB)</f>
        <v>5.4547386414693803E-2</v>
      </c>
      <c r="AD40" s="5">
        <v>922</v>
      </c>
      <c r="AE40" s="5">
        <f t="shared" si="4"/>
        <v>2581.3449023861172</v>
      </c>
      <c r="AF40" s="5">
        <v>2266000</v>
      </c>
      <c r="AG40" s="6">
        <f>Table1[[#This Row],[2021 U.S. Sales ($000)]]/SUMIF($E:$E, E40, $AF:$AF)</f>
        <v>5.763722919372969E-2</v>
      </c>
      <c r="AH40" s="5">
        <v>911</v>
      </c>
      <c r="AI40" s="12">
        <f t="shared" si="5"/>
        <v>2487.376509330406</v>
      </c>
      <c r="AJ40" s="5">
        <v>2028700</v>
      </c>
      <c r="AK40" s="6">
        <f>Table1[[#This Row],[2020 U.S. Sales ($000)]]/SUMIF($E:$E, E40, $AJ:$AJ)</f>
        <v>5.9986420188625315E-2</v>
      </c>
      <c r="AL40" s="5">
        <v>908</v>
      </c>
      <c r="AM40" s="5">
        <f t="shared" si="6"/>
        <v>2234.2511013215858</v>
      </c>
      <c r="AN40" s="5">
        <v>1908500</v>
      </c>
      <c r="AO40" s="6">
        <f>Table1[[#This Row],[2019 U.S. Sales ($000)]]/SUMIF($E:$E, E40, $AN:$AN)</f>
        <v>6.2166834545893342E-2</v>
      </c>
      <c r="AP40" s="5">
        <v>905</v>
      </c>
      <c r="AQ40" s="5">
        <f t="shared" si="7"/>
        <v>2108.8397790055251</v>
      </c>
      <c r="AW40" s="8"/>
    </row>
    <row r="41" spans="1:49" x14ac:dyDescent="0.25">
      <c r="A41" t="s">
        <v>101</v>
      </c>
      <c r="B41">
        <v>2553</v>
      </c>
      <c r="C41" t="s">
        <v>44</v>
      </c>
      <c r="D41" t="s">
        <v>56</v>
      </c>
      <c r="E41" t="s">
        <v>46</v>
      </c>
      <c r="F41" s="5">
        <v>40</v>
      </c>
      <c r="G41" s="5">
        <v>2270000</v>
      </c>
      <c r="H41" s="6">
        <f>Table1[[#This Row],[2024 U.S. Sales ($000)]]/SUMIF($E:$E, E41, $G:$G)</f>
        <v>2.0588137421772221E-2</v>
      </c>
      <c r="I41" s="5">
        <v>1488</v>
      </c>
      <c r="J41" s="7">
        <f>Table1[[#This Row],[2024 U.S. Sales ($000)]]/Table1[[#This Row],[2024 U.S. Units]]</f>
        <v>1525.5376344086021</v>
      </c>
      <c r="K41" s="6">
        <f>Table1[[#This Row],[2024 U.S. Units]]/Table1[[#This Row],[2023 U.S. Units]]-1</f>
        <v>2.4088093599449412E-2</v>
      </c>
      <c r="L41" s="8">
        <f>(Table1[[#This Row],[2024 Market share (%)]]-Table1[[#This Row],[2023 Market share (%)]])*10000</f>
        <v>-8.453155839571874</v>
      </c>
      <c r="M41" s="6">
        <f>_xlfn.RRI(5,Table1[[#This Row],[2019 U.S. Sales ($000)]],Table1[[#This Row],[2024 U.S. Sales ($000)]])</f>
        <v>6.437879951845904E-2</v>
      </c>
      <c r="N41" s="9">
        <f>(Table1[[#This Row],[2024 Market share (%)]]-Table1[[#This Row],[2019 Market share (%)]])*10000</f>
        <v>13.799471429311247</v>
      </c>
      <c r="O41" s="6">
        <f>IF(Table1[[#This Row],[2024 AUV]]=0,"",_xlfn.RRI(5,Table1[[#This Row],[2019 AUV]],Table1[[#This Row],[2024 AUV]]))</f>
        <v>4.6629204470359786E-2</v>
      </c>
      <c r="P41" s="6">
        <f>_xlfn.RRI(5,Table1[[#This Row],[2019 U.S. Units]],Table1[[#This Row],[2024 U.S. Units]])</f>
        <v>1.6958818817865318E-2</v>
      </c>
      <c r="Q41" s="5">
        <v>2346600</v>
      </c>
      <c r="R41" s="6">
        <f>Table1[[#This Row],[2023 U.S. Sales ($000)]]/SUMIF($E:$E, E41, $Q:$Q)</f>
        <v>2.1433453005729408E-2</v>
      </c>
      <c r="S41" s="8">
        <f>(Table1[[#This Row],[2023 Market share (%)]]-Table1[[#This Row],[2022 Market share (%)]])*10000</f>
        <v>-1.3820820176840138</v>
      </c>
      <c r="T41" s="10">
        <v>6.4705375251248864E-2</v>
      </c>
      <c r="U41" s="5">
        <v>1453</v>
      </c>
      <c r="V41" s="5">
        <f t="shared" si="0"/>
        <v>1615.0034411562285</v>
      </c>
      <c r="W41" s="10">
        <v>3.1227821149751596E-2</v>
      </c>
      <c r="X41" s="10">
        <f t="shared" si="1"/>
        <v>9.0118153214983732E-2</v>
      </c>
      <c r="Y41" s="8">
        <f>(Table1[[#This Row],[2023 Market share (%)]]-Table1[[#This Row],[2019 Market share (%)]])*10000</f>
        <v>22.252627268883121</v>
      </c>
      <c r="Z41" s="10">
        <f t="shared" si="2"/>
        <v>7.381308697229283E-2</v>
      </c>
      <c r="AA41" s="10">
        <f t="shared" si="3"/>
        <v>1.5184268510513688E-2</v>
      </c>
      <c r="AB41" s="5">
        <v>2203990</v>
      </c>
      <c r="AC41" s="6">
        <f>Table1[[#This Row],[2022 U.S. Sales ($000)]]/SUMIF($E:$E, E41, $AB:$AB)</f>
        <v>2.157166120749781E-2</v>
      </c>
      <c r="AD41" s="5">
        <v>1409</v>
      </c>
      <c r="AE41" s="5">
        <f t="shared" si="4"/>
        <v>1564.222853087296</v>
      </c>
      <c r="AF41" s="5">
        <v>2092822</v>
      </c>
      <c r="AG41" s="6">
        <f>Table1[[#This Row],[2021 U.S. Sales ($000)]]/SUMIF($E:$E, E41, $AF:$AF)</f>
        <v>2.1510475001962112E-2</v>
      </c>
      <c r="AH41" s="5">
        <v>1390</v>
      </c>
      <c r="AI41" s="12">
        <f t="shared" si="5"/>
        <v>1505.6273381294964</v>
      </c>
      <c r="AJ41" s="5">
        <v>1710956</v>
      </c>
      <c r="AK41" s="6">
        <f>Table1[[#This Row],[2020 U.S. Sales ($000)]]/SUMIF($E:$E, E41, $AJ:$AJ)</f>
        <v>1.9579884521485815E-2</v>
      </c>
      <c r="AL41" s="5">
        <v>1382</v>
      </c>
      <c r="AM41" s="5">
        <f t="shared" si="6"/>
        <v>1238.028943560058</v>
      </c>
      <c r="AN41" s="5">
        <v>1661670</v>
      </c>
      <c r="AO41" s="6">
        <f>Table1[[#This Row],[2019 U.S. Sales ($000)]]/SUMIF($E:$E, E41, $AN:$AN)</f>
        <v>1.9208190278841096E-2</v>
      </c>
      <c r="AP41" s="5">
        <v>1368</v>
      </c>
      <c r="AQ41" s="5">
        <f t="shared" si="7"/>
        <v>1214.671052631579</v>
      </c>
    </row>
    <row r="42" spans="1:49" x14ac:dyDescent="0.25">
      <c r="A42" t="s">
        <v>102</v>
      </c>
      <c r="B42">
        <v>711</v>
      </c>
      <c r="C42" t="s">
        <v>44</v>
      </c>
      <c r="D42" t="s">
        <v>45</v>
      </c>
      <c r="E42" t="s">
        <v>50</v>
      </c>
      <c r="F42" s="5">
        <v>44</v>
      </c>
      <c r="G42" s="5">
        <v>1881000</v>
      </c>
      <c r="H42" s="6">
        <f>Table1[[#This Row],[2024 U.S. Sales ($000)]]/SUMIF($E:$E, E42, $G:$G)</f>
        <v>3.5810836538095421E-2</v>
      </c>
      <c r="I42" s="5">
        <v>840</v>
      </c>
      <c r="J42" s="5">
        <f>Table1[[#This Row],[2024 U.S. Sales ($000)]]/Table1[[#This Row],[2024 U.S. Units]]</f>
        <v>2239.2857142857142</v>
      </c>
      <c r="K42" s="6">
        <f>Table1[[#This Row],[2024 U.S. Units]]/Table1[[#This Row],[2023 U.S. Units]]-1</f>
        <v>2.9411764705882248E-2</v>
      </c>
      <c r="L42" s="8">
        <f>(Table1[[#This Row],[2024 Market share (%)]]-Table1[[#This Row],[2023 Market share (%)]])*10000</f>
        <v>-5.3667836899956578</v>
      </c>
      <c r="M42" s="6">
        <f>_xlfn.RRI(5,Table1[[#This Row],[2019 U.S. Sales ($000)]],Table1[[#This Row],[2024 U.S. Sales ($000)]])</f>
        <v>7.1523009989012509E-2</v>
      </c>
      <c r="N42" s="9">
        <f>(Table1[[#This Row],[2024 Market share (%)]]-Table1[[#This Row],[2019 Market share (%)]])*10000</f>
        <v>-75.650014071527508</v>
      </c>
      <c r="O42" s="6">
        <f>IF(Table1[[#This Row],[2024 AUV]]=0,"",_xlfn.RRI(5,Table1[[#This Row],[2019 AUV]],Table1[[#This Row],[2024 AUV]]))</f>
        <v>4.6389588593120257E-2</v>
      </c>
      <c r="P42" s="6">
        <f>_xlfn.RRI(5,Table1[[#This Row],[2019 U.S. Units]],Table1[[#This Row],[2024 U.S. Units]])</f>
        <v>2.4019181450079419E-2</v>
      </c>
      <c r="Q42" s="5">
        <v>1780400</v>
      </c>
      <c r="R42" s="6">
        <f>Table1[[#This Row],[2023 U.S. Sales ($000)]]/SUMIF($E:$E, E42, $Q:$Q)</f>
        <v>3.6347514907094987E-2</v>
      </c>
      <c r="S42" s="8">
        <f>(Table1[[#This Row],[2023 Market share (%)]]-Table1[[#This Row],[2022 Market share (%)]])*10000</f>
        <v>-7.5845929685008224</v>
      </c>
      <c r="T42" s="10">
        <v>9.9691167387276097E-2</v>
      </c>
      <c r="U42" s="5">
        <v>816</v>
      </c>
      <c r="V42" s="5">
        <f t="shared" si="0"/>
        <v>2181.8627450980393</v>
      </c>
      <c r="W42" s="10">
        <v>3.553299492385787E-2</v>
      </c>
      <c r="X42" s="10">
        <f t="shared" si="1"/>
        <v>7.5310965287447962E-2</v>
      </c>
      <c r="Y42" s="8">
        <f>(Table1[[#This Row],[2023 Market share (%)]]-Table1[[#This Row],[2019 Market share (%)]])*10000</f>
        <v>-70.283230381531851</v>
      </c>
      <c r="Z42" s="10">
        <f t="shared" si="2"/>
        <v>5.1468439630955487E-2</v>
      </c>
      <c r="AA42" s="10">
        <f t="shared" si="3"/>
        <v>2.2675455351623075E-2</v>
      </c>
      <c r="AB42" s="5">
        <v>1619000</v>
      </c>
      <c r="AC42" s="6">
        <f>Table1[[#This Row],[2022 U.S. Sales ($000)]]/SUMIF($E:$E, E42, $AB:$AB)</f>
        <v>3.7105974203945069E-2</v>
      </c>
      <c r="AD42" s="5">
        <v>788</v>
      </c>
      <c r="AE42" s="5">
        <f t="shared" si="4"/>
        <v>2054.5685279187819</v>
      </c>
      <c r="AF42" s="5">
        <v>1484844</v>
      </c>
      <c r="AG42" s="6">
        <f>Table1[[#This Row],[2021 U.S. Sales ($000)]]/SUMIF($E:$E, E42, $AF:$AF)</f>
        <v>3.7768002623536794E-2</v>
      </c>
      <c r="AH42" s="5">
        <v>773</v>
      </c>
      <c r="AI42" s="12">
        <f t="shared" si="5"/>
        <v>1920.8848641655886</v>
      </c>
      <c r="AJ42" s="5">
        <v>1374188</v>
      </c>
      <c r="AK42" s="6">
        <f>Table1[[#This Row],[2020 U.S. Sales ($000)]]/SUMIF($E:$E, E42, $AJ:$AJ)</f>
        <v>4.0633222648083327E-2</v>
      </c>
      <c r="AL42" s="5">
        <v>758</v>
      </c>
      <c r="AM42" s="5">
        <f t="shared" si="6"/>
        <v>1812.9129287598944</v>
      </c>
      <c r="AN42" s="5">
        <v>1331623</v>
      </c>
      <c r="AO42" s="6">
        <f>Table1[[#This Row],[2019 U.S. Sales ($000)]]/SUMIF($E:$E, E42, $AN:$AN)</f>
        <v>4.3375837945248172E-2</v>
      </c>
      <c r="AP42" s="5">
        <v>746</v>
      </c>
      <c r="AQ42" s="5">
        <f t="shared" si="7"/>
        <v>1785.0174262734583</v>
      </c>
    </row>
    <row r="43" spans="1:49" x14ac:dyDescent="0.25">
      <c r="A43" t="s">
        <v>103</v>
      </c>
      <c r="B43">
        <v>888</v>
      </c>
      <c r="C43" t="s">
        <v>44</v>
      </c>
      <c r="D43" t="s">
        <v>45</v>
      </c>
      <c r="E43" t="s">
        <v>46</v>
      </c>
      <c r="F43" s="5">
        <v>42</v>
      </c>
      <c r="G43" s="5">
        <v>1831000</v>
      </c>
      <c r="H43" s="6">
        <f>Table1[[#This Row],[2024 U.S. Sales ($000)]]/SUMIF($E:$E, E43, $G:$G)</f>
        <v>1.6606554898354598E-2</v>
      </c>
      <c r="I43" s="5">
        <v>415</v>
      </c>
      <c r="J43" s="7">
        <f>Table1[[#This Row],[2024 U.S. Sales ($000)]]/Table1[[#This Row],[2024 U.S. Units]]</f>
        <v>4412.0481927710844</v>
      </c>
      <c r="K43" s="6">
        <f>Table1[[#This Row],[2024 U.S. Units]]/Table1[[#This Row],[2023 U.S. Units]]-1</f>
        <v>3.7500000000000089E-2</v>
      </c>
      <c r="L43" s="8">
        <f>(Table1[[#This Row],[2024 Market share (%)]]-Table1[[#This Row],[2023 Market share (%)]])*10000</f>
        <v>-26.813606868319635</v>
      </c>
      <c r="M43" s="6">
        <f>_xlfn.RRI(5,Table1[[#This Row],[2019 U.S. Sales ($000)]],Table1[[#This Row],[2024 U.S. Sales ($000)]])</f>
        <v>6.3288836006593296E-2</v>
      </c>
      <c r="N43" s="9">
        <f>(Table1[[#This Row],[2024 Market share (%)]]-Table1[[#This Row],[2019 Market share (%)]])*10000</f>
        <v>10.335025211348579</v>
      </c>
      <c r="O43" s="6">
        <f>IF(Table1[[#This Row],[2024 AUV]]=0,"",_xlfn.RRI(5,Table1[[#This Row],[2019 AUV]],Table1[[#This Row],[2024 AUV]]))</f>
        <v>2.8260275102619969E-2</v>
      </c>
      <c r="P43" s="6">
        <f>_xlfn.RRI(5,Table1[[#This Row],[2019 U.S. Units]],Table1[[#This Row],[2024 U.S. Units]])</f>
        <v>3.4065850594566127E-2</v>
      </c>
      <c r="Q43" s="5">
        <v>2111700</v>
      </c>
      <c r="R43" s="6">
        <f>Table1[[#This Row],[2023 U.S. Sales ($000)]]/SUMIF($E:$E, E43, $Q:$Q)</f>
        <v>1.9287915585186562E-2</v>
      </c>
      <c r="S43" s="8">
        <f>(Table1[[#This Row],[2023 Market share (%)]]-Table1[[#This Row],[2022 Market share (%)]])*10000</f>
        <v>9.4409032504817745</v>
      </c>
      <c r="T43" s="10">
        <v>0.12672073417991678</v>
      </c>
      <c r="U43" s="5">
        <v>400</v>
      </c>
      <c r="V43" s="5">
        <f t="shared" si="0"/>
        <v>5279.25</v>
      </c>
      <c r="W43" s="10">
        <v>3.896103896103896E-2</v>
      </c>
      <c r="X43" s="10">
        <f t="shared" si="1"/>
        <v>0.11892257584450694</v>
      </c>
      <c r="Y43" s="8">
        <f>(Table1[[#This Row],[2023 Market share (%)]]-Table1[[#This Row],[2019 Market share (%)]])*10000</f>
        <v>37.148632079668211</v>
      </c>
      <c r="Z43" s="10">
        <f t="shared" si="2"/>
        <v>8.295850837806884E-2</v>
      </c>
      <c r="AA43" s="10">
        <f t="shared" si="3"/>
        <v>3.3209090826850751E-2</v>
      </c>
      <c r="AB43" s="5">
        <v>1874200</v>
      </c>
      <c r="AC43" s="6">
        <f>Table1[[#This Row],[2022 U.S. Sales ($000)]]/SUMIF($E:$E, E43, $AB:$AB)</f>
        <v>1.8343825260138384E-2</v>
      </c>
      <c r="AD43" s="5">
        <v>385</v>
      </c>
      <c r="AE43" s="5">
        <f t="shared" si="4"/>
        <v>4868.0519480519479</v>
      </c>
      <c r="AF43" s="5">
        <v>1650500</v>
      </c>
      <c r="AG43" s="6">
        <f>Table1[[#This Row],[2021 U.S. Sales ($000)]]/SUMIF($E:$E, E43, $AF:$AF)</f>
        <v>1.6964194274877876E-2</v>
      </c>
      <c r="AH43" s="5">
        <v>373</v>
      </c>
      <c r="AI43" s="12">
        <f t="shared" si="5"/>
        <v>4424.9329758713138</v>
      </c>
      <c r="AJ43" s="5">
        <v>1472600</v>
      </c>
      <c r="AK43" s="6">
        <f>Table1[[#This Row],[2020 U.S. Sales ($000)]]/SUMIF($E:$E, E43, $AJ:$AJ)</f>
        <v>1.6852179685707878E-2</v>
      </c>
      <c r="AL43" s="5">
        <v>363</v>
      </c>
      <c r="AM43" s="5">
        <f t="shared" si="6"/>
        <v>4056.7493112947659</v>
      </c>
      <c r="AN43" s="5">
        <v>1347200</v>
      </c>
      <c r="AO43" s="6">
        <f>Table1[[#This Row],[2019 U.S. Sales ($000)]]/SUMIF($E:$E, E43, $AN:$AN)</f>
        <v>1.557305237721974E-2</v>
      </c>
      <c r="AP43" s="5">
        <v>351</v>
      </c>
      <c r="AQ43" s="5">
        <f t="shared" si="7"/>
        <v>3838.1766381766383</v>
      </c>
    </row>
    <row r="44" spans="1:49" x14ac:dyDescent="0.25">
      <c r="A44" t="s">
        <v>104</v>
      </c>
      <c r="B44">
        <v>506</v>
      </c>
      <c r="C44" t="s">
        <v>44</v>
      </c>
      <c r="D44" t="s">
        <v>45</v>
      </c>
      <c r="E44" t="s">
        <v>46</v>
      </c>
      <c r="F44" s="5">
        <v>43</v>
      </c>
      <c r="G44" s="5">
        <v>1831000</v>
      </c>
      <c r="H44" s="6">
        <f>Table1[[#This Row],[2024 U.S. Sales ($000)]]/SUMIF($E:$E, E44, $G:$G)</f>
        <v>1.6606554898354598E-2</v>
      </c>
      <c r="I44" s="5">
        <v>1574</v>
      </c>
      <c r="J44" s="7">
        <f>Table1[[#This Row],[2024 U.S. Sales ($000)]]/Table1[[#This Row],[2024 U.S. Units]]</f>
        <v>1163.2782719186785</v>
      </c>
      <c r="K44" s="6">
        <f>Table1[[#This Row],[2024 U.S. Units]]/Table1[[#This Row],[2023 U.S. Units]]-1</f>
        <v>-1.4402003757044479E-2</v>
      </c>
      <c r="L44" s="8">
        <f>(Table1[[#This Row],[2024 Market share (%)]]-Table1[[#This Row],[2023 Market share (%)]])*10000</f>
        <v>-10.473179259332214</v>
      </c>
      <c r="M44" s="6">
        <f>_xlfn.RRI(5,Table1[[#This Row],[2019 U.S. Sales ($000)]],Table1[[#This Row],[2024 U.S. Sales ($000)]])</f>
        <v>-1.5535082677139211E-2</v>
      </c>
      <c r="N44" s="9">
        <f>(Table1[[#This Row],[2024 Market share (%)]]-Table1[[#This Row],[2019 Market share (%)]])*10000</f>
        <v>-62.825491783473076</v>
      </c>
      <c r="O44" s="6">
        <f>IF(Table1[[#This Row],[2024 AUV]]=0,"",_xlfn.RRI(5,Table1[[#This Row],[2019 AUV]],Table1[[#This Row],[2024 AUV]]))</f>
        <v>1.1688015008914254E-2</v>
      </c>
      <c r="P44" s="6">
        <f>_xlfn.RRI(5,Table1[[#This Row],[2019 U.S. Units]],Table1[[#This Row],[2024 U.S. Units]])</f>
        <v>-2.6908589685935458E-2</v>
      </c>
      <c r="Q44" s="5">
        <v>1932800</v>
      </c>
      <c r="R44" s="6">
        <f>Table1[[#This Row],[2023 U.S. Sales ($000)]]/SUMIF($E:$E, E44, $Q:$Q)</f>
        <v>1.765387282428782E-2</v>
      </c>
      <c r="S44" s="8">
        <f>(Table1[[#This Row],[2023 Market share (%)]]-Table1[[#This Row],[2022 Market share (%)]])*10000</f>
        <v>-24.898827876483725</v>
      </c>
      <c r="T44" s="10">
        <v>-6.0881395461833729E-2</v>
      </c>
      <c r="U44" s="5">
        <v>1597</v>
      </c>
      <c r="V44" s="5">
        <f t="shared" si="0"/>
        <v>1210.2692548528491</v>
      </c>
      <c r="W44" s="10">
        <v>-6.4440538957234922E-2</v>
      </c>
      <c r="X44" s="10">
        <f t="shared" si="1"/>
        <v>-6.0261742649989625E-3</v>
      </c>
      <c r="Y44" s="8">
        <f>(Table1[[#This Row],[2023 Market share (%)]]-Table1[[#This Row],[2019 Market share (%)]])*10000</f>
        <v>-52.352312524140864</v>
      </c>
      <c r="Z44" s="10">
        <f t="shared" si="2"/>
        <v>2.4726228913005688E-2</v>
      </c>
      <c r="AA44" s="10">
        <f t="shared" si="3"/>
        <v>-3.0010360143338688E-2</v>
      </c>
      <c r="AB44" s="5">
        <v>2058100</v>
      </c>
      <c r="AC44" s="6">
        <f>Table1[[#This Row],[2022 U.S. Sales ($000)]]/SUMIF($E:$E, E44, $AB:$AB)</f>
        <v>2.0143755611936192E-2</v>
      </c>
      <c r="AD44" s="5">
        <v>1707</v>
      </c>
      <c r="AE44" s="5">
        <f t="shared" si="4"/>
        <v>1205.6824838898654</v>
      </c>
      <c r="AF44" s="5">
        <v>2010000</v>
      </c>
      <c r="AG44" s="6">
        <f>Table1[[#This Row],[2021 U.S. Sales ($000)]]/SUMIF($E:$E, E44, $AF:$AF)</f>
        <v>2.0659212658288111E-2</v>
      </c>
      <c r="AH44" s="5">
        <v>1752</v>
      </c>
      <c r="AI44" s="12">
        <f t="shared" si="5"/>
        <v>1147.2602739726028</v>
      </c>
      <c r="AJ44" s="5">
        <v>1959600</v>
      </c>
      <c r="AK44" s="6">
        <f>Table1[[#This Row],[2020 U.S. Sales ($000)]]/SUMIF($E:$E, E44, $AJ:$AJ)</f>
        <v>2.2425323449757679E-2</v>
      </c>
      <c r="AL44" s="5">
        <v>1759</v>
      </c>
      <c r="AM44" s="5">
        <f t="shared" si="6"/>
        <v>1114.0420693575895</v>
      </c>
      <c r="AN44" s="5">
        <v>1980100</v>
      </c>
      <c r="AO44" s="6">
        <f>Table1[[#This Row],[2019 U.S. Sales ($000)]]/SUMIF($E:$E, E44, $AN:$AN)</f>
        <v>2.2889104076701906E-2</v>
      </c>
      <c r="AP44" s="5">
        <v>1804</v>
      </c>
      <c r="AQ44" s="5">
        <f t="shared" si="7"/>
        <v>1097.6164079822615</v>
      </c>
    </row>
    <row r="45" spans="1:49" x14ac:dyDescent="0.25">
      <c r="A45" t="s">
        <v>105</v>
      </c>
      <c r="B45">
        <v>5876</v>
      </c>
      <c r="C45" t="s">
        <v>44</v>
      </c>
      <c r="D45" t="s">
        <v>45</v>
      </c>
      <c r="E45" t="s">
        <v>48</v>
      </c>
      <c r="F45" s="5">
        <v>48</v>
      </c>
      <c r="G45" s="5">
        <v>1819000</v>
      </c>
      <c r="H45" s="6">
        <f>Table1[[#This Row],[2024 U.S. Sales ($000)]]/SUMIF($E:$E, E45, $G:$G)</f>
        <v>3.5997692981277085E-2</v>
      </c>
      <c r="I45" s="5">
        <v>982</v>
      </c>
      <c r="J45" s="5">
        <f>Table1[[#This Row],[2024 U.S. Sales ($000)]]/Table1[[#This Row],[2024 U.S. Units]]</f>
        <v>1852.3421588594704</v>
      </c>
      <c r="K45" s="6">
        <f>Table1[[#This Row],[2024 U.S. Units]]/Table1[[#This Row],[2023 U.S. Units]]-1</f>
        <v>0.18170878459687123</v>
      </c>
      <c r="L45" s="8">
        <f>(Table1[[#This Row],[2024 Market share (%)]]-Table1[[#This Row],[2023 Market share (%)]])*10000</f>
        <v>65.336581301427387</v>
      </c>
      <c r="M45" s="6">
        <f>_xlfn.RRI(5,Table1[[#This Row],[2019 U.S. Sales ($000)]],Table1[[#This Row],[2024 U.S. Sales ($000)]])</f>
        <v>0.26721803586771342</v>
      </c>
      <c r="N45" s="9">
        <f>(Table1[[#This Row],[2024 Market share (%)]]-Table1[[#This Row],[2019 Market share (%)]])*10000</f>
        <v>200.87108862226188</v>
      </c>
      <c r="O45" s="6">
        <f>IF(Table1[[#This Row],[2024 AUV]]=0,"",_xlfn.RRI(5,Table1[[#This Row],[2019 AUV]],Table1[[#This Row],[2024 AUV]]))</f>
        <v>4.248398689851185E-2</v>
      </c>
      <c r="P45" s="6">
        <f>_xlfn.RRI(5,Table1[[#This Row],[2019 U.S. Units]],Table1[[#This Row],[2024 U.S. Units]])</f>
        <v>0.21557554052969818</v>
      </c>
      <c r="Q45" s="5">
        <v>1444433</v>
      </c>
      <c r="R45" s="6">
        <f>Table1[[#This Row],[2023 U.S. Sales ($000)]]/SUMIF($E:$E, E45, $Q:$Q)</f>
        <v>2.9464034851134347E-2</v>
      </c>
      <c r="S45" s="8">
        <f>(Table1[[#This Row],[2023 Market share (%)]]-Table1[[#This Row],[2022 Market share (%)]])*10000</f>
        <v>30.28868554274835</v>
      </c>
      <c r="T45" s="10">
        <v>0.24179449131778175</v>
      </c>
      <c r="U45" s="5">
        <v>831</v>
      </c>
      <c r="V45" s="5">
        <f t="shared" si="0"/>
        <v>1738.1865222623346</v>
      </c>
      <c r="W45" s="10">
        <v>0.23845007451564829</v>
      </c>
      <c r="X45" s="10">
        <f t="shared" si="1"/>
        <v>0.26920085947329575</v>
      </c>
      <c r="Y45" s="8">
        <f>(Table1[[#This Row],[2023 Market share (%)]]-Table1[[#This Row],[2019 Market share (%)]])*10000</f>
        <v>135.53450732083451</v>
      </c>
      <c r="Z45" s="10">
        <f t="shared" si="2"/>
        <v>3.6765489632661019E-2</v>
      </c>
      <c r="AA45" s="10">
        <f t="shared" si="3"/>
        <v>0.22419281135890179</v>
      </c>
      <c r="AB45" s="5">
        <v>1163182</v>
      </c>
      <c r="AC45" s="6">
        <f>Table1[[#This Row],[2022 U.S. Sales ($000)]]/SUMIF($E:$E, E45, $AB:$AB)</f>
        <v>2.6435166296859512E-2</v>
      </c>
      <c r="AD45" s="5">
        <v>671</v>
      </c>
      <c r="AE45" s="5">
        <f t="shared" si="4"/>
        <v>1733.5052160953801</v>
      </c>
      <c r="AF45" s="5">
        <v>913822</v>
      </c>
      <c r="AG45" s="6">
        <f>Table1[[#This Row],[2021 U.S. Sales ($000)]]/SUMIF($E:$E, E45, $AF:$AF)</f>
        <v>2.3545990837588647E-2</v>
      </c>
      <c r="AH45" s="5">
        <v>538</v>
      </c>
      <c r="AI45" s="12">
        <f t="shared" si="5"/>
        <v>1698.5539033457248</v>
      </c>
      <c r="AJ45" s="5">
        <v>687238</v>
      </c>
      <c r="AK45" s="6">
        <f>Table1[[#This Row],[2020 U.S. Sales ($000)]]/SUMIF($E:$E, E45, $AJ:$AJ)</f>
        <v>2.2162858657186268E-2</v>
      </c>
      <c r="AL45" s="5">
        <v>441</v>
      </c>
      <c r="AM45" s="5">
        <f t="shared" si="6"/>
        <v>1558.3628117913831</v>
      </c>
      <c r="AN45" s="5">
        <v>556642</v>
      </c>
      <c r="AO45" s="6">
        <f>Table1[[#This Row],[2019 U.S. Sales ($000)]]/SUMIF($E:$E, E45, $AN:$AN)</f>
        <v>1.5910584119050896E-2</v>
      </c>
      <c r="AP45" s="5">
        <v>370</v>
      </c>
      <c r="AQ45" s="5">
        <f t="shared" si="7"/>
        <v>1504.4378378378378</v>
      </c>
    </row>
    <row r="46" spans="1:49" x14ac:dyDescent="0.25">
      <c r="A46" t="s">
        <v>106</v>
      </c>
      <c r="B46">
        <v>434</v>
      </c>
      <c r="C46" t="s">
        <v>68</v>
      </c>
      <c r="D46" t="s">
        <v>69</v>
      </c>
      <c r="E46" t="s">
        <v>107</v>
      </c>
      <c r="F46" s="5">
        <v>41</v>
      </c>
      <c r="G46" s="5">
        <v>1681000</v>
      </c>
      <c r="H46" s="6">
        <f>Table1[[#This Row],[2024 U.S. Sales ($000)]]/SUMIF($E:$E, E46, $G:$G)</f>
        <v>0.48083524027459956</v>
      </c>
      <c r="I46" s="5">
        <v>518</v>
      </c>
      <c r="J46" s="5">
        <f>Table1[[#This Row],[2024 U.S. Sales ($000)]]/Table1[[#This Row],[2024 U.S. Units]]</f>
        <v>3245.1737451737454</v>
      </c>
      <c r="K46" s="6">
        <f>Table1[[#This Row],[2024 U.S. Units]]/Table1[[#This Row],[2023 U.S. Units]]-1</f>
        <v>-0.20184899845916793</v>
      </c>
      <c r="L46" s="8">
        <f>(Table1[[#This Row],[2024 Market share (%)]]-Table1[[#This Row],[2023 Market share (%)]])*10000</f>
        <v>585.2990010405274</v>
      </c>
      <c r="M46" s="6">
        <f>_xlfn.RRI(5,Table1[[#This Row],[2019 U.S. Sales ($000)]],Table1[[#This Row],[2024 U.S. Sales ($000)]])</f>
        <v>-7.557818630176627E-2</v>
      </c>
      <c r="N46" s="9">
        <f>(Table1[[#This Row],[2024 Market share (%)]]-Table1[[#This Row],[2019 Market share (%)]])*10000</f>
        <v>-32.815076646818262</v>
      </c>
      <c r="O46" s="6">
        <f>IF(Table1[[#This Row],[2024 AUV]]=0,"",_xlfn.RRI(5,Table1[[#This Row],[2019 AUV]],Table1[[#This Row],[2024 AUV]]))</f>
        <v>-2.4160961868839093E-2</v>
      </c>
      <c r="P46" s="6">
        <f>_xlfn.RRI(5,Table1[[#This Row],[2019 U.S. Units]],Table1[[#This Row],[2024 U.S. Units]])</f>
        <v>-5.2690272087696721E-2</v>
      </c>
      <c r="Q46" s="5">
        <v>2173000</v>
      </c>
      <c r="R46" s="6">
        <f>Table1[[#This Row],[2023 U.S. Sales ($000)]]/SUMIF($E:$E, E46, $Q:$Q)</f>
        <v>0.42230534017054683</v>
      </c>
      <c r="S46" s="8">
        <f>(Table1[[#This Row],[2023 Market share (%)]]-Table1[[#This Row],[2022 Market share (%)]])*10000</f>
        <v>-304.25347973205675</v>
      </c>
      <c r="T46" s="10">
        <v>-8.0911897813306266E-2</v>
      </c>
      <c r="U46" s="5">
        <v>649</v>
      </c>
      <c r="V46" s="5">
        <f t="shared" si="0"/>
        <v>3348.2280431432973</v>
      </c>
      <c r="W46" s="10">
        <v>-1.9637462235649546E-2</v>
      </c>
      <c r="X46" s="10">
        <f t="shared" si="1"/>
        <v>-3.34802463994891E-2</v>
      </c>
      <c r="Y46" s="8">
        <f>(Table1[[#This Row],[2023 Market share (%)]]-Table1[[#This Row],[2019 Market share (%)]])*10000</f>
        <v>-618.11407768734557</v>
      </c>
      <c r="Z46" s="10">
        <f t="shared" si="2"/>
        <v>-2.2499464743679587E-2</v>
      </c>
      <c r="AA46" s="10">
        <f t="shared" si="3"/>
        <v>-1.123353006955663E-2</v>
      </c>
      <c r="AB46" s="5">
        <v>2364300</v>
      </c>
      <c r="AC46" s="6">
        <f>Table1[[#This Row],[2022 U.S. Sales ($000)]]/SUMIF($E:$E, E46, $AB:$AB)</f>
        <v>0.4527306881437525</v>
      </c>
      <c r="AD46" s="5">
        <v>662</v>
      </c>
      <c r="AE46" s="5">
        <f t="shared" si="4"/>
        <v>3571.4501510574019</v>
      </c>
      <c r="AF46" s="5">
        <v>2303300</v>
      </c>
      <c r="AG46" s="6">
        <f>Table1[[#This Row],[2021 U.S. Sales ($000)]]/SUMIF($E:$E, E46, $AF:$AF)</f>
        <v>0.47840241467247513</v>
      </c>
      <c r="AH46" s="5">
        <v>670</v>
      </c>
      <c r="AI46" s="12">
        <f t="shared" si="5"/>
        <v>3437.7611940298507</v>
      </c>
      <c r="AJ46" s="5">
        <v>1753400</v>
      </c>
      <c r="AK46" s="6">
        <f>Table1[[#This Row],[2020 U.S. Sales ($000)]]/SUMIF($E:$E, E46, $AJ:$AJ)</f>
        <v>0.51469994672177466</v>
      </c>
      <c r="AL46" s="5">
        <v>675</v>
      </c>
      <c r="AM46" s="5">
        <f t="shared" si="6"/>
        <v>2597.6296296296296</v>
      </c>
      <c r="AN46" s="5">
        <v>2490100</v>
      </c>
      <c r="AO46" s="6">
        <f>Table1[[#This Row],[2019 U.S. Sales ($000)]]/SUMIF($E:$E, E46, $AN:$AN)</f>
        <v>0.48411674793928139</v>
      </c>
      <c r="AP46" s="5">
        <v>679</v>
      </c>
      <c r="AQ46" s="5">
        <f t="shared" si="7"/>
        <v>3667.3048600883653</v>
      </c>
    </row>
    <row r="47" spans="1:49" x14ac:dyDescent="0.25">
      <c r="A47" t="s">
        <v>108</v>
      </c>
      <c r="B47">
        <v>432</v>
      </c>
      <c r="C47" t="s">
        <v>68</v>
      </c>
      <c r="D47" t="s">
        <v>92</v>
      </c>
      <c r="E47" t="s">
        <v>93</v>
      </c>
      <c r="F47" s="5">
        <v>45</v>
      </c>
      <c r="G47" s="5">
        <v>1631000</v>
      </c>
      <c r="H47" s="6">
        <f>Table1[[#This Row],[2024 U.S. Sales ($000)]]/SUMIF($E:$E, E47, $G:$G)</f>
        <v>0.10148715076846494</v>
      </c>
      <c r="I47" s="5">
        <v>351</v>
      </c>
      <c r="J47" s="5">
        <f>Table1[[#This Row],[2024 U.S. Sales ($000)]]/Table1[[#This Row],[2024 U.S. Units]]</f>
        <v>4646.7236467236471</v>
      </c>
      <c r="K47" s="6">
        <f>Table1[[#This Row],[2024 U.S. Units]]/Table1[[#This Row],[2023 U.S. Units]]-1</f>
        <v>-1.6806722689075682E-2</v>
      </c>
      <c r="L47" s="8">
        <f>(Table1[[#This Row],[2024 Market share (%)]]-Table1[[#This Row],[2023 Market share (%)]])*10000</f>
        <v>77.710554572010821</v>
      </c>
      <c r="M47" s="6">
        <f>_xlfn.RRI(5,Table1[[#This Row],[2019 U.S. Sales ($000)]],Table1[[#This Row],[2024 U.S. Sales ($000)]])</f>
        <v>-1.3570669949834913E-2</v>
      </c>
      <c r="N47" s="9">
        <f>(Table1[[#This Row],[2024 Market share (%)]]-Table1[[#This Row],[2019 Market share (%)]])*10000</f>
        <v>-15.745955355532249</v>
      </c>
      <c r="O47" s="6">
        <f>IF(Table1[[#This Row],[2024 AUV]]=0,"",_xlfn.RRI(5,Table1[[#This Row],[2019 AUV]],Table1[[#This Row],[2024 AUV]]))</f>
        <v>5.1462963395640937E-2</v>
      </c>
      <c r="P47" s="6">
        <f>_xlfn.RRI(5,Table1[[#This Row],[2019 U.S. Units]],Table1[[#This Row],[2024 U.S. Units]])</f>
        <v>-6.1850617291790644E-2</v>
      </c>
      <c r="Q47" s="5">
        <v>1640064</v>
      </c>
      <c r="R47" s="6">
        <f>Table1[[#This Row],[2023 U.S. Sales ($000)]]/SUMIF($E:$E, E47, $Q:$Q)</f>
        <v>9.3716095311263861E-2</v>
      </c>
      <c r="S47" s="8">
        <f>(Table1[[#This Row],[2023 Market share (%)]]-Table1[[#This Row],[2022 Market share (%)]])*10000</f>
        <v>90.023019401602866</v>
      </c>
      <c r="T47" s="10">
        <v>0.17217507895791984</v>
      </c>
      <c r="U47" s="5">
        <v>357</v>
      </c>
      <c r="V47" s="5">
        <f t="shared" si="0"/>
        <v>4594.0168067226887</v>
      </c>
      <c r="W47" s="10">
        <v>-1.3812154696132596E-2</v>
      </c>
      <c r="X47" s="10">
        <f t="shared" si="1"/>
        <v>-1.5571496775259486E-2</v>
      </c>
      <c r="Y47" s="8">
        <f>(Table1[[#This Row],[2023 Market share (%)]]-Table1[[#This Row],[2019 Market share (%)]])*10000</f>
        <v>-93.456509927543067</v>
      </c>
      <c r="Z47" s="10">
        <f t="shared" si="2"/>
        <v>6.1705112063766165E-2</v>
      </c>
      <c r="AA47" s="10">
        <f t="shared" si="3"/>
        <v>-7.2785378878711171E-2</v>
      </c>
      <c r="AB47" s="5">
        <v>1399163</v>
      </c>
      <c r="AC47" s="6">
        <f>Table1[[#This Row],[2022 U.S. Sales ($000)]]/SUMIF($E:$E, E47, $AB:$AB)</f>
        <v>8.4713793371103574E-2</v>
      </c>
      <c r="AD47" s="5">
        <v>362</v>
      </c>
      <c r="AE47" s="5">
        <f t="shared" si="4"/>
        <v>3865.0911602209944</v>
      </c>
      <c r="AF47" s="5">
        <v>1150900</v>
      </c>
      <c r="AG47" s="6">
        <f>Table1[[#This Row],[2021 U.S. Sales ($000)]]/SUMIF($E:$E, E47, $AF:$AF)</f>
        <v>7.6230745013953563E-2</v>
      </c>
      <c r="AH47" s="5">
        <v>359</v>
      </c>
      <c r="AI47" s="12">
        <f t="shared" si="5"/>
        <v>3205.849582172702</v>
      </c>
      <c r="AJ47" s="5">
        <v>602700</v>
      </c>
      <c r="AK47" s="6">
        <f>Table1[[#This Row],[2020 U.S. Sales ($000)]]/SUMIF($E:$E, E47, $AJ:$AJ)</f>
        <v>5.6475358537004292E-2</v>
      </c>
      <c r="AL47" s="5">
        <v>420</v>
      </c>
      <c r="AM47" s="5">
        <f t="shared" si="6"/>
        <v>1435</v>
      </c>
      <c r="AN47" s="5">
        <v>1746321</v>
      </c>
      <c r="AO47" s="6">
        <f>Table1[[#This Row],[2019 U.S. Sales ($000)]]/SUMIF($E:$E, E47, $AN:$AN)</f>
        <v>0.10306174630401817</v>
      </c>
      <c r="AP47" s="5">
        <v>483</v>
      </c>
      <c r="AQ47" s="5">
        <f t="shared" si="7"/>
        <v>3615.5714285714284</v>
      </c>
    </row>
    <row r="48" spans="1:49" x14ac:dyDescent="0.25">
      <c r="A48" t="s">
        <v>109</v>
      </c>
      <c r="B48">
        <v>478</v>
      </c>
      <c r="C48" t="s">
        <v>44</v>
      </c>
      <c r="D48" t="s">
        <v>45</v>
      </c>
      <c r="E48" t="s">
        <v>46</v>
      </c>
      <c r="F48" s="5">
        <v>46</v>
      </c>
      <c r="G48" s="5">
        <v>1523000</v>
      </c>
      <c r="H48" s="6">
        <f>Table1[[#This Row],[2024 U.S. Sales ($000)]]/SUMIF($E:$E, E48, $G:$G)</f>
        <v>1.3813098367118543E-2</v>
      </c>
      <c r="I48" s="5">
        <v>1033</v>
      </c>
      <c r="J48" s="7">
        <f>Table1[[#This Row],[2024 U.S. Sales ($000)]]/Table1[[#This Row],[2024 U.S. Units]]</f>
        <v>1474.3465634075508</v>
      </c>
      <c r="K48" s="6">
        <f>Table1[[#This Row],[2024 U.S. Units]]/Table1[[#This Row],[2023 U.S. Units]]-1</f>
        <v>-2.8222013170272842E-2</v>
      </c>
      <c r="L48" s="8">
        <f>(Table1[[#This Row],[2024 Market share (%)]]-Table1[[#This Row],[2023 Market share (%)]])*10000</f>
        <v>-9.3164858044345387</v>
      </c>
      <c r="M48" s="6">
        <f>_xlfn.RRI(5,Table1[[#This Row],[2019 U.S. Sales ($000)]],Table1[[#This Row],[2024 U.S. Sales ($000)]])</f>
        <v>1.5941767330766243E-2</v>
      </c>
      <c r="N48" s="9">
        <f>(Table1[[#This Row],[2024 Market share (%)]]-Table1[[#This Row],[2019 Market share (%)]])*10000</f>
        <v>-24.535281955474463</v>
      </c>
      <c r="O48" s="6">
        <f>IF(Table1[[#This Row],[2024 AUV]]=0,"",_xlfn.RRI(5,Table1[[#This Row],[2019 AUV]],Table1[[#This Row],[2024 AUV]]))</f>
        <v>2.7666537623513454E-2</v>
      </c>
      <c r="P48" s="6">
        <f>_xlfn.RRI(5,Table1[[#This Row],[2019 U.S. Units]],Table1[[#This Row],[2024 U.S. Units]])</f>
        <v>-1.1409119459957151E-2</v>
      </c>
      <c r="Q48" s="5">
        <v>1614300</v>
      </c>
      <c r="R48" s="6">
        <f>Table1[[#This Row],[2023 U.S. Sales ($000)]]/SUMIF($E:$E, E48, $Q:$Q)</f>
        <v>1.4744746947561997E-2</v>
      </c>
      <c r="S48" s="8">
        <f>(Table1[[#This Row],[2023 Market share (%)]]-Table1[[#This Row],[2022 Market share (%)]])*10000</f>
        <v>-18.598307676363639</v>
      </c>
      <c r="T48" s="10">
        <v>-4.84526967285588E-2</v>
      </c>
      <c r="U48" s="5">
        <v>1063</v>
      </c>
      <c r="V48" s="5">
        <f t="shared" si="0"/>
        <v>1518.6265286923801</v>
      </c>
      <c r="W48" s="10">
        <v>-4.6816479400749065E-3</v>
      </c>
      <c r="X48" s="10">
        <f t="shared" si="1"/>
        <v>3.4920775042646568E-2</v>
      </c>
      <c r="Y48" s="8">
        <f>(Table1[[#This Row],[2023 Market share (%)]]-Table1[[#This Row],[2019 Market share (%)]])*10000</f>
        <v>-15.218796151039923</v>
      </c>
      <c r="Z48" s="10">
        <f t="shared" si="2"/>
        <v>4.2384918943725758E-2</v>
      </c>
      <c r="AA48" s="10">
        <f t="shared" si="3"/>
        <v>-7.160640724390599E-3</v>
      </c>
      <c r="AB48" s="5">
        <v>1696500</v>
      </c>
      <c r="AC48" s="6">
        <f>Table1[[#This Row],[2022 U.S. Sales ($000)]]/SUMIF($E:$E, E48, $AB:$AB)</f>
        <v>1.6604577715198361E-2</v>
      </c>
      <c r="AD48" s="5">
        <v>1068</v>
      </c>
      <c r="AE48" s="5">
        <f t="shared" si="4"/>
        <v>1588.4831460674156</v>
      </c>
      <c r="AF48" s="5">
        <v>1581900</v>
      </c>
      <c r="AG48" s="6">
        <f>Table1[[#This Row],[2021 U.S. Sales ($000)]]/SUMIF($E:$E, E48, $AF:$AF)</f>
        <v>1.6259108708530329E-2</v>
      </c>
      <c r="AH48" s="5">
        <v>1066</v>
      </c>
      <c r="AI48" s="12">
        <f t="shared" si="5"/>
        <v>1483.9587242026266</v>
      </c>
      <c r="AJ48" s="5">
        <v>1428700</v>
      </c>
      <c r="AK48" s="6">
        <f>Table1[[#This Row],[2020 U.S. Sales ($000)]]/SUMIF($E:$E, E48, $AJ:$AJ)</f>
        <v>1.6349795679051232E-2</v>
      </c>
      <c r="AL48" s="5">
        <v>1079</v>
      </c>
      <c r="AM48" s="5">
        <f t="shared" si="6"/>
        <v>1324.0963855421687</v>
      </c>
      <c r="AN48" s="5">
        <v>1407200</v>
      </c>
      <c r="AO48" s="6">
        <f>Table1[[#This Row],[2019 U.S. Sales ($000)]]/SUMIF($E:$E, E48, $AN:$AN)</f>
        <v>1.6266626562665989E-2</v>
      </c>
      <c r="AP48" s="5">
        <v>1094</v>
      </c>
      <c r="AQ48" s="5">
        <f t="shared" si="7"/>
        <v>1286.2888482632541</v>
      </c>
    </row>
    <row r="49" spans="1:43" x14ac:dyDescent="0.25">
      <c r="A49" t="s">
        <v>110</v>
      </c>
      <c r="B49">
        <v>531</v>
      </c>
      <c r="C49" t="s">
        <v>68</v>
      </c>
      <c r="D49" t="s">
        <v>69</v>
      </c>
      <c r="E49" t="s">
        <v>79</v>
      </c>
      <c r="F49" s="5">
        <v>47</v>
      </c>
      <c r="G49" s="5">
        <v>1499000</v>
      </c>
      <c r="H49" s="6">
        <f>Table1[[#This Row],[2024 U.S. Sales ($000)]]/SUMIF($E:$E, E49, $G:$G)</f>
        <v>7.2063843084467089E-2</v>
      </c>
      <c r="I49" s="5">
        <v>498</v>
      </c>
      <c r="J49" s="5">
        <f>Table1[[#This Row],[2024 U.S. Sales ($000)]]/Table1[[#This Row],[2024 U.S. Units]]</f>
        <v>3010.0401606425703</v>
      </c>
      <c r="K49" s="6">
        <f>Table1[[#This Row],[2024 U.S. Units]]/Table1[[#This Row],[2023 U.S. Units]]-1</f>
        <v>-1.5810276679841917E-2</v>
      </c>
      <c r="L49" s="8">
        <f>(Table1[[#This Row],[2024 Market share (%)]]-Table1[[#This Row],[2023 Market share (%)]])*10000</f>
        <v>72.451906342382856</v>
      </c>
      <c r="M49" s="6">
        <f>_xlfn.RRI(5,Table1[[#This Row],[2019 U.S. Sales ($000)]],Table1[[#This Row],[2024 U.S. Sales ($000)]])</f>
        <v>-6.9406344679959764E-3</v>
      </c>
      <c r="N49" s="9">
        <f>(Table1[[#This Row],[2024 Market share (%)]]-Table1[[#This Row],[2019 Market share (%)]])*10000</f>
        <v>40.98256212783383</v>
      </c>
      <c r="O49" s="6">
        <f>IF(Table1[[#This Row],[2024 AUV]]=0,"",_xlfn.RRI(5,Table1[[#This Row],[2019 AUV]],Table1[[#This Row],[2024 AUV]]))</f>
        <v>1.5182917701566545E-2</v>
      </c>
      <c r="P49" s="6">
        <f>_xlfn.RRI(5,Table1[[#This Row],[2019 U.S. Units]],Table1[[#This Row],[2024 U.S. Units]])</f>
        <v>-2.1792675766896807E-2</v>
      </c>
      <c r="Q49" s="5">
        <v>1563600</v>
      </c>
      <c r="R49" s="6">
        <f>Table1[[#This Row],[2023 U.S. Sales ($000)]]/SUMIF($E:$E, E49, $Q:$Q)</f>
        <v>6.4818652450228803E-2</v>
      </c>
      <c r="S49" s="8">
        <f>(Table1[[#This Row],[2023 Market share (%)]]-Table1[[#This Row],[2022 Market share (%)]])*10000</f>
        <v>2.393126256803324</v>
      </c>
      <c r="T49" s="10">
        <v>2.9564759333640615E-2</v>
      </c>
      <c r="U49" s="5">
        <v>506</v>
      </c>
      <c r="V49" s="5">
        <f t="shared" si="0"/>
        <v>3090.118577075099</v>
      </c>
      <c r="W49" s="10">
        <v>-9.7847358121330719E-3</v>
      </c>
      <c r="X49" s="10">
        <f t="shared" si="1"/>
        <v>1.8438158161047102E-3</v>
      </c>
      <c r="Y49" s="8">
        <f>(Table1[[#This Row],[2023 Market share (%)]]-Table1[[#This Row],[2019 Market share (%)]])*10000</f>
        <v>-31.469344214549029</v>
      </c>
      <c r="Z49" s="10">
        <f t="shared" si="2"/>
        <v>2.5725353549363117E-2</v>
      </c>
      <c r="AA49" s="10">
        <f t="shared" si="3"/>
        <v>-2.3282585002525447E-2</v>
      </c>
      <c r="AB49" s="5">
        <v>1518700</v>
      </c>
      <c r="AC49" s="6">
        <f>Table1[[#This Row],[2022 U.S. Sales ($000)]]/SUMIF($E:$E, E49, $AB:$AB)</f>
        <v>6.4579339824548471E-2</v>
      </c>
      <c r="AD49" s="5">
        <v>511</v>
      </c>
      <c r="AE49" s="5">
        <f t="shared" si="4"/>
        <v>2972.0156555772996</v>
      </c>
      <c r="AF49" s="5">
        <v>1402800</v>
      </c>
      <c r="AG49" s="6">
        <f>Table1[[#This Row],[2021 U.S. Sales ($000)]]/SUMIF($E:$E, E49, $AF:$AF)</f>
        <v>6.4585323137250031E-2</v>
      </c>
      <c r="AH49" s="5">
        <v>531</v>
      </c>
      <c r="AI49" s="12">
        <f t="shared" si="5"/>
        <v>2641.8079096045199</v>
      </c>
      <c r="AJ49" s="5">
        <v>1049336</v>
      </c>
      <c r="AK49" s="6">
        <f>Table1[[#This Row],[2020 U.S. Sales ($000)]]/SUMIF($E:$E, E49, $AJ:$AJ)</f>
        <v>6.4351581478002032E-2</v>
      </c>
      <c r="AL49" s="5">
        <v>546</v>
      </c>
      <c r="AM49" s="5">
        <f t="shared" si="6"/>
        <v>1921.8608058608058</v>
      </c>
      <c r="AN49" s="5">
        <v>1552121</v>
      </c>
      <c r="AO49" s="6">
        <f>Table1[[#This Row],[2019 U.S. Sales ($000)]]/SUMIF($E:$E, E49, $AN:$AN)</f>
        <v>6.7965586871683706E-2</v>
      </c>
      <c r="AP49" s="5">
        <v>556</v>
      </c>
      <c r="AQ49" s="5">
        <f t="shared" si="7"/>
        <v>2791.5845323741009</v>
      </c>
    </row>
    <row r="50" spans="1:43" x14ac:dyDescent="0.25">
      <c r="A50" t="s">
        <v>111</v>
      </c>
      <c r="B50">
        <v>5332</v>
      </c>
      <c r="C50" t="s">
        <v>44</v>
      </c>
      <c r="D50" t="s">
        <v>45</v>
      </c>
      <c r="E50" t="s">
        <v>112</v>
      </c>
      <c r="F50" s="5">
        <v>51</v>
      </c>
      <c r="G50" s="5">
        <v>1420000</v>
      </c>
      <c r="H50" s="6">
        <f>Table1[[#This Row],[2024 U.S. Sales ($000)]]/SUMIF($E:$E, E50, $G:$G)</f>
        <v>0.17295980511571254</v>
      </c>
      <c r="I50" s="5">
        <v>1515</v>
      </c>
      <c r="J50" s="5">
        <f>Table1[[#This Row],[2024 U.S. Sales ($000)]]/Table1[[#This Row],[2024 U.S. Units]]</f>
        <v>937.29372937293726</v>
      </c>
      <c r="K50" s="6">
        <f>Table1[[#This Row],[2024 U.S. Units]]/Table1[[#This Row],[2023 U.S. Units]]-1</f>
        <v>0.10422740524781338</v>
      </c>
      <c r="L50" s="8">
        <f>(Table1[[#This Row],[2024 Market share (%)]]-Table1[[#This Row],[2023 Market share (%)]])*10000</f>
        <v>215.8761226928743</v>
      </c>
      <c r="M50" s="6">
        <f>_xlfn.RRI(5,Table1[[#This Row],[2019 U.S. Sales ($000)]],Table1[[#This Row],[2024 U.S. Sales ($000)]])</f>
        <v>0.19743145112782479</v>
      </c>
      <c r="N50" s="9">
        <f>(Table1[[#This Row],[2024 Market share (%)]]-Table1[[#This Row],[2019 Market share (%)]])*10000</f>
        <v>541.94508096946686</v>
      </c>
      <c r="O50" s="6">
        <f>IF(Table1[[#This Row],[2024 AUV]]=0,"",_xlfn.RRI(5,Table1[[#This Row],[2019 AUV]],Table1[[#This Row],[2024 AUV]]))</f>
        <v>6.2677155207197632E-2</v>
      </c>
      <c r="P50" s="6">
        <f>_xlfn.RRI(5,Table1[[#This Row],[2019 U.S. Units]],Table1[[#This Row],[2024 U.S. Units]])</f>
        <v>0.12680642964829048</v>
      </c>
      <c r="Q50" s="5">
        <v>1252655</v>
      </c>
      <c r="R50" s="6">
        <f>Table1[[#This Row],[2023 U.S. Sales ($000)]]/SUMIF($E:$E, E50, $Q:$Q)</f>
        <v>0.15137219284642511</v>
      </c>
      <c r="S50" s="8">
        <f>(Table1[[#This Row],[2023 Market share (%)]]-Table1[[#This Row],[2022 Market share (%)]])*10000</f>
        <v>56.63606766738355</v>
      </c>
      <c r="T50" s="10">
        <v>0.16483678959559825</v>
      </c>
      <c r="U50" s="5">
        <v>1372</v>
      </c>
      <c r="V50" s="5">
        <f t="shared" si="0"/>
        <v>913.01384839650143</v>
      </c>
      <c r="W50" s="10">
        <v>0.14524207011686144</v>
      </c>
      <c r="X50" s="10">
        <f t="shared" si="1"/>
        <v>0.21394527514230877</v>
      </c>
      <c r="Y50" s="8">
        <f>(Table1[[#This Row],[2023 Market share (%)]]-Table1[[#This Row],[2019 Market share (%)]])*10000</f>
        <v>326.06895827659258</v>
      </c>
      <c r="Z50" s="10">
        <f t="shared" si="2"/>
        <v>7.1894626887115454E-2</v>
      </c>
      <c r="AA50" s="10">
        <f t="shared" si="3"/>
        <v>0.13252295952608883</v>
      </c>
      <c r="AB50" s="5">
        <v>1075391</v>
      </c>
      <c r="AC50" s="6">
        <f>Table1[[#This Row],[2022 U.S. Sales ($000)]]/SUMIF($E:$E, E50, $AB:$AB)</f>
        <v>0.14570858607968676</v>
      </c>
      <c r="AD50" s="5">
        <v>1198</v>
      </c>
      <c r="AE50" s="5">
        <f t="shared" si="4"/>
        <v>897.65525876460765</v>
      </c>
      <c r="AF50" s="5">
        <v>948348</v>
      </c>
      <c r="AG50" s="6">
        <f>Table1[[#This Row],[2021 U.S. Sales ($000)]]/SUMIF($E:$E, E50, $AF:$AF)</f>
        <v>0.15159306124797789</v>
      </c>
      <c r="AH50" s="5">
        <v>1039</v>
      </c>
      <c r="AI50" s="12">
        <f t="shared" si="5"/>
        <v>912.75072184793066</v>
      </c>
      <c r="AJ50" s="5">
        <v>690454</v>
      </c>
      <c r="AK50" s="6">
        <f>Table1[[#This Row],[2020 U.S. Sales ($000)]]/SUMIF($E:$E, E50, $AJ:$AJ)</f>
        <v>0.14959974797100625</v>
      </c>
      <c r="AL50" s="5">
        <v>914</v>
      </c>
      <c r="AM50" s="5">
        <f t="shared" si="6"/>
        <v>755.4201312910285</v>
      </c>
      <c r="AN50" s="5">
        <v>576813</v>
      </c>
      <c r="AO50" s="6">
        <f>Table1[[#This Row],[2019 U.S. Sales ($000)]]/SUMIF($E:$E, E50, $AN:$AN)</f>
        <v>0.11876529701876586</v>
      </c>
      <c r="AP50" s="5">
        <v>834</v>
      </c>
      <c r="AQ50" s="5">
        <f t="shared" si="7"/>
        <v>691.62230215827333</v>
      </c>
    </row>
    <row r="51" spans="1:43" x14ac:dyDescent="0.25">
      <c r="A51" t="s">
        <v>113</v>
      </c>
      <c r="B51">
        <v>851</v>
      </c>
      <c r="C51" t="s">
        <v>68</v>
      </c>
      <c r="D51" t="s">
        <v>92</v>
      </c>
      <c r="E51" t="s">
        <v>93</v>
      </c>
      <c r="F51" s="5">
        <v>49</v>
      </c>
      <c r="G51" s="5">
        <v>1418000</v>
      </c>
      <c r="H51" s="6">
        <f>Table1[[#This Row],[2024 U.S. Sales ($000)]]/SUMIF($E:$E, E51, $G:$G)</f>
        <v>8.8233464003484544E-2</v>
      </c>
      <c r="I51" s="5">
        <v>2010</v>
      </c>
      <c r="J51" s="5">
        <f>Table1[[#This Row],[2024 U.S. Sales ($000)]]/Table1[[#This Row],[2024 U.S. Units]]</f>
        <v>705.4726368159204</v>
      </c>
      <c r="K51" s="6">
        <f>Table1[[#This Row],[2024 U.S. Units]]/Table1[[#This Row],[2023 U.S. Units]]-1</f>
        <v>1.2594458438287104E-2</v>
      </c>
      <c r="L51" s="8">
        <f>(Table1[[#This Row],[2024 Market share (%)]]-Table1[[#This Row],[2023 Market share (%)]])*10000</f>
        <v>91.15023767020628</v>
      </c>
      <c r="M51" s="6">
        <f>_xlfn.RRI(5,Table1[[#This Row],[2019 U.S. Sales ($000)]],Table1[[#This Row],[2024 U.S. Sales ($000)]])</f>
        <v>-2.6168478535301132E-3</v>
      </c>
      <c r="N51" s="9">
        <f>(Table1[[#This Row],[2024 Market share (%)]]-Table1[[#This Row],[2019 Market share (%)]])*10000</f>
        <v>34.44464206206213</v>
      </c>
      <c r="O51" s="6">
        <f>IF(Table1[[#This Row],[2024 AUV]]=0,"",_xlfn.RRI(5,Table1[[#This Row],[2019 AUV]],Table1[[#This Row],[2024 AUV]]))</f>
        <v>-8.9489941659687267E-3</v>
      </c>
      <c r="P51" s="6">
        <f>_xlfn.RRI(5,Table1[[#This Row],[2019 U.S. Units]],Table1[[#This Row],[2024 U.S. Units]])</f>
        <v>6.3893243386698995E-3</v>
      </c>
      <c r="Q51" s="5">
        <v>1384600</v>
      </c>
      <c r="R51" s="6">
        <f>Table1[[#This Row],[2023 U.S. Sales ($000)]]/SUMIF($E:$E, E51, $Q:$Q)</f>
        <v>7.9118440236463916E-2</v>
      </c>
      <c r="S51" s="8">
        <f>(Table1[[#This Row],[2023 Market share (%)]]-Table1[[#This Row],[2022 Market share (%)]])*10000</f>
        <v>-6.3281721418166628</v>
      </c>
      <c r="T51" s="10">
        <v>5.1169146674764653E-2</v>
      </c>
      <c r="U51" s="5">
        <v>1985</v>
      </c>
      <c r="V51" s="5">
        <f t="shared" si="0"/>
        <v>697.53148614609574</v>
      </c>
      <c r="W51" s="10">
        <v>7.102993404363267E-3</v>
      </c>
      <c r="X51" s="10">
        <f t="shared" si="1"/>
        <v>-9.1918759776469239E-3</v>
      </c>
      <c r="Y51" s="8">
        <f>(Table1[[#This Row],[2023 Market share (%)]]-Table1[[#This Row],[2019 Market share (%)]])*10000</f>
        <v>-56.705595608144144</v>
      </c>
      <c r="Z51" s="10">
        <f t="shared" si="2"/>
        <v>-1.3968205425331615E-2</v>
      </c>
      <c r="AA51" s="10">
        <f t="shared" si="3"/>
        <v>4.8439913134292745E-3</v>
      </c>
      <c r="AB51" s="5">
        <v>1317200</v>
      </c>
      <c r="AC51" s="6">
        <f>Table1[[#This Row],[2022 U.S. Sales ($000)]]/SUMIF($E:$E, E51, $AB:$AB)</f>
        <v>7.9751257450645582E-2</v>
      </c>
      <c r="AD51" s="5">
        <v>1971</v>
      </c>
      <c r="AE51" s="5">
        <f t="shared" si="4"/>
        <v>668.2902080162354</v>
      </c>
      <c r="AF51" s="5">
        <v>1233500</v>
      </c>
      <c r="AG51" s="6">
        <f>Table1[[#This Row],[2021 U.S. Sales ($000)]]/SUMIF($E:$E, E51, $AF:$AF)</f>
        <v>8.1701819423678615E-2</v>
      </c>
      <c r="AH51" s="5">
        <v>1961</v>
      </c>
      <c r="AI51" s="12">
        <f t="shared" si="5"/>
        <v>629.01580826109125</v>
      </c>
      <c r="AJ51" s="5">
        <v>917000</v>
      </c>
      <c r="AK51" s="6">
        <f>Table1[[#This Row],[2020 U.S. Sales ($000)]]/SUMIF($E:$E, E51, $AJ:$AJ)</f>
        <v>8.5926503697416515E-2</v>
      </c>
      <c r="AL51" s="5">
        <v>1955</v>
      </c>
      <c r="AM51" s="5">
        <f t="shared" si="6"/>
        <v>469.05370843989772</v>
      </c>
      <c r="AN51" s="5">
        <v>1436700</v>
      </c>
      <c r="AO51" s="6">
        <f>Table1[[#This Row],[2019 U.S. Sales ($000)]]/SUMIF($E:$E, E51, $AN:$AN)</f>
        <v>8.478899979727833E-2</v>
      </c>
      <c r="AP51" s="5">
        <v>1947</v>
      </c>
      <c r="AQ51" s="5">
        <f t="shared" si="7"/>
        <v>737.90446841294295</v>
      </c>
    </row>
    <row r="52" spans="1:43" x14ac:dyDescent="0.25">
      <c r="A52" t="s">
        <v>114</v>
      </c>
      <c r="B52">
        <v>2538</v>
      </c>
      <c r="C52" t="s">
        <v>68</v>
      </c>
      <c r="D52" t="s">
        <v>69</v>
      </c>
      <c r="E52" t="s">
        <v>79</v>
      </c>
      <c r="F52" s="5">
        <v>50</v>
      </c>
      <c r="G52" s="5">
        <v>1357000</v>
      </c>
      <c r="H52" s="6">
        <f>Table1[[#This Row],[2024 U.S. Sales ($000)]]/SUMIF($E:$E, E52, $G:$G)</f>
        <v>6.5237248209220708E-2</v>
      </c>
      <c r="I52" s="5">
        <v>218</v>
      </c>
      <c r="J52" s="5">
        <f>Table1[[#This Row],[2024 U.S. Sales ($000)]]/Table1[[#This Row],[2024 U.S. Units]]</f>
        <v>6224.7706422018346</v>
      </c>
      <c r="K52" s="6">
        <f>Table1[[#This Row],[2024 U.S. Units]]/Table1[[#This Row],[2023 U.S. Units]]-1</f>
        <v>9.2592592592593004E-3</v>
      </c>
      <c r="L52" s="8">
        <f>(Table1[[#This Row],[2024 Market share (%)]]-Table1[[#This Row],[2023 Market share (%)]])*10000</f>
        <v>99.685687595109997</v>
      </c>
      <c r="M52" s="6">
        <f>_xlfn.RRI(5,Table1[[#This Row],[2019 U.S. Sales ($000)]],Table1[[#This Row],[2024 U.S. Sales ($000)]])</f>
        <v>3.1610766083170816E-2</v>
      </c>
      <c r="N52" s="9">
        <f>(Table1[[#This Row],[2024 Market share (%)]]-Table1[[#This Row],[2019 Market share (%)]])*10000</f>
        <v>143.78693449561476</v>
      </c>
      <c r="O52" s="6">
        <f>IF(Table1[[#This Row],[2024 AUV]]=0,"",_xlfn.RRI(5,Table1[[#This Row],[2019 AUV]],Table1[[#This Row],[2024 AUV]]))</f>
        <v>2.1967851316484044E-2</v>
      </c>
      <c r="P52" s="6">
        <f>_xlfn.RRI(5,Table1[[#This Row],[2019 U.S. Units]],Table1[[#This Row],[2024 U.S. Units]])</f>
        <v>9.4356341584178605E-3</v>
      </c>
      <c r="Q52" s="5">
        <v>1333229</v>
      </c>
      <c r="R52" s="6">
        <f>Table1[[#This Row],[2023 U.S. Sales ($000)]]/SUMIF($E:$E, E52, $Q:$Q)</f>
        <v>5.5268679449709708E-2</v>
      </c>
      <c r="S52" s="8">
        <f>(Table1[[#This Row],[2023 Market share (%)]]-Table1[[#This Row],[2022 Market share (%)]])*10000</f>
        <v>6.7258182438988126</v>
      </c>
      <c r="T52" s="10">
        <v>3.840018817283862E-2</v>
      </c>
      <c r="U52" s="5">
        <v>216</v>
      </c>
      <c r="V52" s="5">
        <f t="shared" si="0"/>
        <v>6172.3564814814818</v>
      </c>
      <c r="W52" s="10">
        <v>0</v>
      </c>
      <c r="X52" s="10">
        <f t="shared" si="1"/>
        <v>3.5085103269164364E-2</v>
      </c>
      <c r="Y52" s="8">
        <f>(Table1[[#This Row],[2023 Market share (%)]]-Table1[[#This Row],[2019 Market share (%)]])*10000</f>
        <v>44.101246900504762</v>
      </c>
      <c r="Z52" s="10">
        <f t="shared" si="2"/>
        <v>2.536491792822626E-2</v>
      </c>
      <c r="AA52" s="10">
        <f t="shared" si="3"/>
        <v>9.4797326990454511E-3</v>
      </c>
      <c r="AB52" s="5">
        <v>1283926</v>
      </c>
      <c r="AC52" s="6">
        <f>Table1[[#This Row],[2022 U.S. Sales ($000)]]/SUMIF($E:$E, E52, $AB:$AB)</f>
        <v>5.4596097625319827E-2</v>
      </c>
      <c r="AD52" s="5">
        <v>216</v>
      </c>
      <c r="AE52" s="5">
        <f t="shared" si="4"/>
        <v>5944.1018518518522</v>
      </c>
      <c r="AF52" s="5">
        <v>1087038</v>
      </c>
      <c r="AG52" s="6">
        <f>Table1[[#This Row],[2021 U.S. Sales ($000)]]/SUMIF($E:$E, E52, $AF:$AF)</f>
        <v>5.0047548112681778E-2</v>
      </c>
      <c r="AH52" s="5">
        <v>212</v>
      </c>
      <c r="AI52" s="12">
        <f t="shared" si="5"/>
        <v>5127.5377358490568</v>
      </c>
      <c r="AJ52" s="5">
        <v>778510</v>
      </c>
      <c r="AK52" s="6">
        <f>Table1[[#This Row],[2020 U.S. Sales ($000)]]/SUMIF($E:$E, E52, $AJ:$AJ)</f>
        <v>4.7742905700785411E-2</v>
      </c>
      <c r="AL52" s="5">
        <v>210</v>
      </c>
      <c r="AM52" s="5">
        <f t="shared" si="6"/>
        <v>3707.1904761904761</v>
      </c>
      <c r="AN52" s="5">
        <v>1161450</v>
      </c>
      <c r="AO52" s="6">
        <f>Table1[[#This Row],[2019 U.S. Sales ($000)]]/SUMIF($E:$E, E52, $AN:$AN)</f>
        <v>5.0858554759659232E-2</v>
      </c>
      <c r="AP52" s="5">
        <v>208</v>
      </c>
      <c r="AQ52" s="5">
        <f t="shared" si="7"/>
        <v>5583.8942307692305</v>
      </c>
    </row>
    <row r="53" spans="1:43" x14ac:dyDescent="0.25">
      <c r="A53" t="s">
        <v>115</v>
      </c>
      <c r="B53">
        <v>7716</v>
      </c>
      <c r="C53" t="s">
        <v>44</v>
      </c>
      <c r="D53" t="s">
        <v>56</v>
      </c>
      <c r="E53" t="s">
        <v>46</v>
      </c>
      <c r="F53" s="5">
        <v>53</v>
      </c>
      <c r="G53" s="5">
        <v>1304000</v>
      </c>
      <c r="H53" s="6">
        <f>Table1[[#This Row],[2024 U.S. Sales ($000)]]/SUMIF($E:$E, E53, $G:$G)</f>
        <v>1.1826841937440958E-2</v>
      </c>
      <c r="I53" s="5">
        <v>373</v>
      </c>
      <c r="J53" s="7">
        <f>Table1[[#This Row],[2024 U.S. Sales ($000)]]/Table1[[#This Row],[2024 U.S. Units]]</f>
        <v>3495.9785522788202</v>
      </c>
      <c r="K53" s="6">
        <f>Table1[[#This Row],[2024 U.S. Units]]/Table1[[#This Row],[2023 U.S. Units]]-1</f>
        <v>0.11676646706586835</v>
      </c>
      <c r="L53" s="8">
        <f>(Table1[[#This Row],[2024 Market share (%)]]-Table1[[#This Row],[2023 Market share (%)]])*10000</f>
        <v>15.12743936215033</v>
      </c>
      <c r="M53" s="6">
        <f>_xlfn.RRI(5,Table1[[#This Row],[2019 U.S. Sales ($000)]],Table1[[#This Row],[2024 U.S. Sales ($000)]])</f>
        <v>0.16203843129669271</v>
      </c>
      <c r="N53" s="9">
        <f>(Table1[[#This Row],[2024 Market share (%)]]-Table1[[#This Row],[2019 Market share (%)]])*10000</f>
        <v>47.12793719470011</v>
      </c>
      <c r="O53" s="6">
        <f>IF(Table1[[#This Row],[2024 AUV]]=0,"",_xlfn.RRI(5,Table1[[#This Row],[2019 AUV]],Table1[[#This Row],[2024 AUV]]))</f>
        <v>9.9806905214119279E-3</v>
      </c>
      <c r="P53" s="6">
        <f>_xlfn.RRI(5,Table1[[#This Row],[2019 U.S. Units]],Table1[[#This Row],[2024 U.S. Units]])</f>
        <v>0.15055509694623903</v>
      </c>
      <c r="Q53" s="5">
        <v>1129219</v>
      </c>
      <c r="R53" s="6">
        <f>Table1[[#This Row],[2023 U.S. Sales ($000)]]/SUMIF($E:$E, E53, $Q:$Q)</f>
        <v>1.0314098001225925E-2</v>
      </c>
      <c r="S53" s="8">
        <f>(Table1[[#This Row],[2023 Market share (%)]]-Table1[[#This Row],[2022 Market share (%)]])*10000</f>
        <v>11.786929307663341</v>
      </c>
      <c r="T53" s="10">
        <v>0.20982997096542635</v>
      </c>
      <c r="U53" s="5">
        <v>334</v>
      </c>
      <c r="V53" s="5">
        <f t="shared" si="0"/>
        <v>3380.8952095808381</v>
      </c>
      <c r="W53" s="10">
        <v>0.16376306620209058</v>
      </c>
      <c r="X53" s="10">
        <f t="shared" si="1"/>
        <v>0.16386004877036875</v>
      </c>
      <c r="Y53" s="8">
        <f>(Table1[[#This Row],[2023 Market share (%)]]-Table1[[#This Row],[2019 Market share (%)]])*10000</f>
        <v>32.000497832549783</v>
      </c>
      <c r="Z53" s="10">
        <f t="shared" si="2"/>
        <v>4.0540124574941494E-3</v>
      </c>
      <c r="AA53" s="10">
        <f t="shared" si="3"/>
        <v>0.15916079646127601</v>
      </c>
      <c r="AB53" s="5">
        <v>933370</v>
      </c>
      <c r="AC53" s="6">
        <f>Table1[[#This Row],[2022 U.S. Sales ($000)]]/SUMIF($E:$E, E53, $AB:$AB)</f>
        <v>9.1354050704595905E-3</v>
      </c>
      <c r="AD53" s="5">
        <v>287</v>
      </c>
      <c r="AE53" s="5">
        <f t="shared" si="4"/>
        <v>3252.1602787456445</v>
      </c>
      <c r="AF53" s="5">
        <v>765289</v>
      </c>
      <c r="AG53" s="6">
        <f>Table1[[#This Row],[2021 U.S. Sales ($000)]]/SUMIF($E:$E, E53, $AF:$AF)</f>
        <v>7.8658050726610213E-3</v>
      </c>
      <c r="AH53" s="5">
        <v>243</v>
      </c>
      <c r="AI53" s="12">
        <f t="shared" si="5"/>
        <v>3149.337448559671</v>
      </c>
      <c r="AJ53" s="5">
        <v>544939</v>
      </c>
      <c r="AK53" s="6">
        <f>Table1[[#This Row],[2020 U.S. Sales ($000)]]/SUMIF($E:$E, E53, $AJ:$AJ)</f>
        <v>6.2361876583932946E-3</v>
      </c>
      <c r="AL53" s="5">
        <v>205</v>
      </c>
      <c r="AM53" s="5">
        <f t="shared" si="6"/>
        <v>2658.2390243902437</v>
      </c>
      <c r="AN53" s="5">
        <v>615425</v>
      </c>
      <c r="AO53" s="6">
        <f>Table1[[#This Row],[2019 U.S. Sales ($000)]]/SUMIF($E:$E, E53, $AN:$AN)</f>
        <v>7.1140482179709464E-3</v>
      </c>
      <c r="AP53" s="5">
        <v>185</v>
      </c>
      <c r="AQ53" s="5">
        <f t="shared" si="7"/>
        <v>3326.6216216216217</v>
      </c>
    </row>
    <row r="54" spans="1:43" x14ac:dyDescent="0.25">
      <c r="A54" t="s">
        <v>116</v>
      </c>
      <c r="B54">
        <v>563010</v>
      </c>
      <c r="C54" t="s">
        <v>44</v>
      </c>
      <c r="D54" t="s">
        <v>45</v>
      </c>
      <c r="E54" t="s">
        <v>112</v>
      </c>
      <c r="F54" s="5">
        <v>61</v>
      </c>
      <c r="G54" s="5">
        <v>1227000</v>
      </c>
      <c r="H54" s="6">
        <f>Table1[[#This Row],[2024 U.S. Sales ($000)]]/SUMIF($E:$E, E54, $G:$G)</f>
        <v>0.14945188794153472</v>
      </c>
      <c r="I54" s="5">
        <v>1059</v>
      </c>
      <c r="J54" s="5">
        <f>Table1[[#This Row],[2024 U.S. Sales ($000)]]/Table1[[#This Row],[2024 U.S. Units]]</f>
        <v>1158.6402266288951</v>
      </c>
      <c r="K54" s="6">
        <f>Table1[[#This Row],[2024 U.S. Units]]/Table1[[#This Row],[2023 U.S. Units]]-1</f>
        <v>9.1752577319587525E-2</v>
      </c>
      <c r="L54" s="8">
        <f>(Table1[[#This Row],[2024 Market share (%)]]-Table1[[#This Row],[2023 Market share (%)]])*10000</f>
        <v>345.80349872543883</v>
      </c>
      <c r="M54" s="6">
        <f>_xlfn.RRI(5,Table1[[#This Row],[2019 U.S. Sales ($000)]],Table1[[#This Row],[2024 U.S. Sales ($000)]])</f>
        <v>0.91055482607283911</v>
      </c>
      <c r="N54" s="9">
        <f>(Table1[[#This Row],[2024 Market share (%)]]-Table1[[#This Row],[2019 Market share (%)]])*10000</f>
        <v>1395.27549696203</v>
      </c>
      <c r="O54" s="6">
        <f>IF(Table1[[#This Row],[2024 AUV]]=0,"",_xlfn.RRI(5,Table1[[#This Row],[2019 AUV]],Table1[[#This Row],[2024 AUV]]))</f>
        <v>5.743297853402729E-2</v>
      </c>
      <c r="P54" s="6">
        <f>_xlfn.RRI(5,Table1[[#This Row],[2019 U.S. Units]],Table1[[#This Row],[2024 U.S. Units]])</f>
        <v>0.80678573948160559</v>
      </c>
      <c r="Q54" s="5">
        <v>950600</v>
      </c>
      <c r="R54" s="6">
        <f>Table1[[#This Row],[2023 U.S. Sales ($000)]]/SUMIF($E:$E, E54, $Q:$Q)</f>
        <v>0.11487153806899084</v>
      </c>
      <c r="S54" s="8">
        <f>(Table1[[#This Row],[2023 Market share (%)]]-Table1[[#This Row],[2022 Market share (%)]])*10000</f>
        <v>-17.07145835712187</v>
      </c>
      <c r="T54" s="10">
        <v>0.10483496048349605</v>
      </c>
      <c r="U54" s="5">
        <v>970</v>
      </c>
      <c r="V54" s="5">
        <f t="shared" si="0"/>
        <v>980</v>
      </c>
      <c r="W54" s="10">
        <v>0.40783744557329465</v>
      </c>
      <c r="X54" s="10">
        <f t="shared" si="1"/>
        <v>1.1073549560656688</v>
      </c>
      <c r="Y54" s="8">
        <f>(Table1[[#This Row],[2023 Market share (%)]]-Table1[[#This Row],[2019 Market share (%)]])*10000</f>
        <v>1049.4719982365914</v>
      </c>
      <c r="Z54" s="10">
        <f t="shared" si="2"/>
        <v>2.8336927904858644E-2</v>
      </c>
      <c r="AA54" s="10">
        <f t="shared" si="3"/>
        <v>1.0492845281353551</v>
      </c>
      <c r="AB54" s="5">
        <v>860400</v>
      </c>
      <c r="AC54" s="6">
        <f>Table1[[#This Row],[2022 U.S. Sales ($000)]]/SUMIF($E:$E, E54, $AB:$AB)</f>
        <v>0.11657868390470302</v>
      </c>
      <c r="AD54" s="5">
        <v>689</v>
      </c>
      <c r="AE54" s="5">
        <f t="shared" si="4"/>
        <v>1248.766328011611</v>
      </c>
      <c r="AF54" s="5">
        <v>371200</v>
      </c>
      <c r="AG54" s="6">
        <f>Table1[[#This Row],[2021 U.S. Sales ($000)]]/SUMIF($E:$E, E54, $AF:$AF)</f>
        <v>5.9336176525125163E-2</v>
      </c>
      <c r="AH54" s="5">
        <v>326</v>
      </c>
      <c r="AI54" s="12">
        <f t="shared" si="5"/>
        <v>1138.6503067484662</v>
      </c>
      <c r="AJ54" s="5">
        <v>132100</v>
      </c>
      <c r="AK54" s="6">
        <f>Table1[[#This Row],[2020 U.S. Sales ($000)]]/SUMIF($E:$E, E54, $AJ:$AJ)</f>
        <v>2.8621930942495703E-2</v>
      </c>
      <c r="AL54" s="5">
        <v>142</v>
      </c>
      <c r="AM54" s="5">
        <f t="shared" si="6"/>
        <v>930.28169014084506</v>
      </c>
      <c r="AN54" s="5">
        <v>48200</v>
      </c>
      <c r="AO54" s="6">
        <f>Table1[[#This Row],[2019 U.S. Sales ($000)]]/SUMIF($E:$E, E54, $AN:$AN)</f>
        <v>9.9243382453317007E-3</v>
      </c>
      <c r="AP54" s="5">
        <v>55</v>
      </c>
      <c r="AQ54" s="5">
        <f t="shared" si="7"/>
        <v>876.36363636363637</v>
      </c>
    </row>
    <row r="55" spans="1:43" x14ac:dyDescent="0.25">
      <c r="A55" t="s">
        <v>117</v>
      </c>
      <c r="B55">
        <v>1767</v>
      </c>
      <c r="C55" t="s">
        <v>44</v>
      </c>
      <c r="D55" t="s">
        <v>56</v>
      </c>
      <c r="E55" t="s">
        <v>52</v>
      </c>
      <c r="F55" s="5">
        <v>59</v>
      </c>
      <c r="G55" s="5">
        <v>1202000</v>
      </c>
      <c r="H55" s="6">
        <f>Table1[[#This Row],[2024 U.S. Sales ($000)]]/SUMIF($E:$E, E55, $G:$G)</f>
        <v>3.5701556374004989E-2</v>
      </c>
      <c r="I55" s="5">
        <v>777</v>
      </c>
      <c r="J55" s="5">
        <f>Table1[[#This Row],[2024 U.S. Sales ($000)]]/Table1[[#This Row],[2024 U.S. Units]]</f>
        <v>1546.9755469755469</v>
      </c>
      <c r="K55" s="6">
        <f>Table1[[#This Row],[2024 U.S. Units]]/Table1[[#This Row],[2023 U.S. Units]]-1</f>
        <v>4.016064257028118E-2</v>
      </c>
      <c r="L55" s="8">
        <f>(Table1[[#This Row],[2024 Market share (%)]]-Table1[[#This Row],[2023 Market share (%)]])*10000</f>
        <v>57.700181189967445</v>
      </c>
      <c r="M55" s="6">
        <f>_xlfn.RRI(5,Table1[[#This Row],[2019 U.S. Sales ($000)]],Table1[[#This Row],[2024 U.S. Sales ($000)]])</f>
        <v>5.929623324769917E-2</v>
      </c>
      <c r="N55" s="9">
        <f>(Table1[[#This Row],[2024 Market share (%)]]-Table1[[#This Row],[2019 Market share (%)]])*10000</f>
        <v>-14.720374352909655</v>
      </c>
      <c r="O55" s="6">
        <f>IF(Table1[[#This Row],[2024 AUV]]=0,"",_xlfn.RRI(5,Table1[[#This Row],[2019 AUV]],Table1[[#This Row],[2024 AUV]]))</f>
        <v>4.6159242438893688E-2</v>
      </c>
      <c r="P55" s="6">
        <f>_xlfn.RRI(5,Table1[[#This Row],[2019 U.S. Units]],Table1[[#This Row],[2024 U.S. Units]])</f>
        <v>1.2557352911378272E-2</v>
      </c>
      <c r="Q55" s="5">
        <v>990400</v>
      </c>
      <c r="R55" s="6">
        <f>Table1[[#This Row],[2023 U.S. Sales ($000)]]/SUMIF($E:$E, E55, $Q:$Q)</f>
        <v>2.9931538255008244E-2</v>
      </c>
      <c r="S55" s="8">
        <f>(Table1[[#This Row],[2023 Market share (%)]]-Table1[[#This Row],[2022 Market share (%)]])*10000</f>
        <v>-4.4304941409113034</v>
      </c>
      <c r="T55" s="10">
        <v>7.6521739130434779E-2</v>
      </c>
      <c r="U55" s="5">
        <v>747</v>
      </c>
      <c r="V55" s="5">
        <f t="shared" si="0"/>
        <v>1325.8366800535475</v>
      </c>
      <c r="W55" s="10">
        <v>1.9099590723055934E-2</v>
      </c>
      <c r="X55" s="10">
        <f t="shared" si="1"/>
        <v>2.3878270018787617E-2</v>
      </c>
      <c r="Y55" s="8">
        <f>(Table1[[#This Row],[2023 Market share (%)]]-Table1[[#This Row],[2019 Market share (%)]])*10000</f>
        <v>-72.420555542877096</v>
      </c>
      <c r="Z55" s="10">
        <f t="shared" si="2"/>
        <v>1.8002607854853192E-2</v>
      </c>
      <c r="AA55" s="10">
        <f t="shared" si="3"/>
        <v>5.7717555128034004E-3</v>
      </c>
      <c r="AB55" s="5">
        <v>920000</v>
      </c>
      <c r="AC55" s="6">
        <f>Table1[[#This Row],[2022 U.S. Sales ($000)]]/SUMIF($E:$E, E55, $AB:$AB)</f>
        <v>3.0374587669099375E-2</v>
      </c>
      <c r="AD55" s="5">
        <v>733</v>
      </c>
      <c r="AE55" s="5">
        <f t="shared" si="4"/>
        <v>1255.1159618008185</v>
      </c>
      <c r="AF55" s="5">
        <v>878212</v>
      </c>
      <c r="AG55" s="6">
        <f>Table1[[#This Row],[2021 U.S. Sales ($000)]]/SUMIF($E:$E, E55, $AF:$AF)</f>
        <v>3.204070916773516E-2</v>
      </c>
      <c r="AH55" s="5">
        <v>739</v>
      </c>
      <c r="AI55" s="12">
        <f t="shared" si="5"/>
        <v>1188.3788903924221</v>
      </c>
      <c r="AJ55" s="5">
        <v>818000</v>
      </c>
      <c r="AK55" s="6">
        <f>Table1[[#This Row],[2020 U.S. Sales ($000)]]/SUMIF($E:$E, E55, $AJ:$AJ)</f>
        <v>3.4702723446827219E-2</v>
      </c>
      <c r="AL55" s="5">
        <v>741</v>
      </c>
      <c r="AM55" s="5">
        <f t="shared" si="6"/>
        <v>1103.9136302294196</v>
      </c>
      <c r="AN55" s="5">
        <v>901192</v>
      </c>
      <c r="AO55" s="6">
        <f>Table1[[#This Row],[2019 U.S. Sales ($000)]]/SUMIF($E:$E, E55, $AN:$AN)</f>
        <v>3.7173593809295954E-2</v>
      </c>
      <c r="AP55" s="5">
        <v>730</v>
      </c>
      <c r="AQ55" s="5">
        <f t="shared" si="7"/>
        <v>1234.509589041096</v>
      </c>
    </row>
    <row r="56" spans="1:43" x14ac:dyDescent="0.25">
      <c r="A56" t="s">
        <v>118</v>
      </c>
      <c r="B56">
        <v>2410</v>
      </c>
      <c r="C56" t="s">
        <v>68</v>
      </c>
      <c r="D56" t="s">
        <v>92</v>
      </c>
      <c r="E56" t="s">
        <v>93</v>
      </c>
      <c r="F56" s="5">
        <v>54</v>
      </c>
      <c r="G56" s="5">
        <v>1184000</v>
      </c>
      <c r="H56" s="6">
        <f>Table1[[#This Row],[2024 U.S. Sales ($000)]]/SUMIF($E:$E, E56, $G:$G)</f>
        <v>7.367307572646381E-2</v>
      </c>
      <c r="I56" s="5">
        <v>572</v>
      </c>
      <c r="J56" s="5">
        <f>Table1[[#This Row],[2024 U.S. Sales ($000)]]/Table1[[#This Row],[2024 U.S. Units]]</f>
        <v>2069.9300699300697</v>
      </c>
      <c r="K56" s="6">
        <f>Table1[[#This Row],[2024 U.S. Units]]/Table1[[#This Row],[2023 U.S. Units]]-1</f>
        <v>9.1603053435114434E-2</v>
      </c>
      <c r="L56" s="8">
        <f>(Table1[[#This Row],[2024 Market share (%)]]-Table1[[#This Row],[2023 Market share (%)]])*10000</f>
        <v>106.40661222635461</v>
      </c>
      <c r="M56" s="6">
        <f>_xlfn.RRI(5,Table1[[#This Row],[2019 U.S. Sales ($000)]],Table1[[#This Row],[2024 U.S. Sales ($000)]])</f>
        <v>0.16220228563328143</v>
      </c>
      <c r="N56" s="9">
        <f>(Table1[[#This Row],[2024 Market share (%)]]-Table1[[#This Row],[2019 Market share (%)]])*10000</f>
        <v>407.18441411853365</v>
      </c>
      <c r="O56" s="6">
        <f>IF(Table1[[#This Row],[2024 AUV]]=0,"",_xlfn.RRI(5,Table1[[#This Row],[2019 AUV]],Table1[[#This Row],[2024 AUV]]))</f>
        <v>6.4074616402514994E-2</v>
      </c>
      <c r="P56" s="6">
        <f>_xlfn.RRI(5,Table1[[#This Row],[2019 U.S. Units]],Table1[[#This Row],[2024 U.S. Units]])</f>
        <v>9.2218785899171429E-2</v>
      </c>
      <c r="Q56" s="5">
        <v>1103089</v>
      </c>
      <c r="R56" s="6">
        <f>Table1[[#This Row],[2023 U.S. Sales ($000)]]/SUMIF($E:$E, E56, $Q:$Q)</f>
        <v>6.3032414503828349E-2</v>
      </c>
      <c r="S56" s="8">
        <f>(Table1[[#This Row],[2023 Market share (%)]]-Table1[[#This Row],[2022 Market share (%)]])*10000</f>
        <v>76.439189557188783</v>
      </c>
      <c r="T56" s="10">
        <v>0.20580422729816705</v>
      </c>
      <c r="U56" s="5">
        <v>524</v>
      </c>
      <c r="V56" s="5">
        <f t="shared" si="0"/>
        <v>2105.1316793893129</v>
      </c>
      <c r="W56" s="10">
        <v>0.10548523206751055</v>
      </c>
      <c r="X56" s="10">
        <f t="shared" si="1"/>
        <v>0.18554179553748296</v>
      </c>
      <c r="Y56" s="8">
        <f>(Table1[[#This Row],[2023 Market share (%)]]-Table1[[#This Row],[2019 Market share (%)]])*10000</f>
        <v>300.77780189217901</v>
      </c>
      <c r="Z56" s="10">
        <f t="shared" si="2"/>
        <v>8.5290502053778194E-2</v>
      </c>
      <c r="AA56" s="10">
        <f t="shared" si="3"/>
        <v>9.2372773274981723E-2</v>
      </c>
      <c r="AB56" s="5">
        <v>914816</v>
      </c>
      <c r="AC56" s="6">
        <f>Table1[[#This Row],[2022 U.S. Sales ($000)]]/SUMIF($E:$E, E56, $AB:$AB)</f>
        <v>5.538849554810947E-2</v>
      </c>
      <c r="AD56" s="5">
        <v>474</v>
      </c>
      <c r="AE56" s="5">
        <f t="shared" si="4"/>
        <v>1929.9915611814347</v>
      </c>
      <c r="AF56" s="5">
        <v>750674</v>
      </c>
      <c r="AG56" s="6">
        <f>Table1[[#This Row],[2021 U.S. Sales ($000)]]/SUMIF($E:$E, E56, $AF:$AF)</f>
        <v>4.9721468661573183E-2</v>
      </c>
      <c r="AH56" s="5">
        <v>435</v>
      </c>
      <c r="AI56" s="12">
        <f t="shared" si="5"/>
        <v>1725.6873563218392</v>
      </c>
      <c r="AJ56" s="5">
        <v>426303</v>
      </c>
      <c r="AK56" s="6">
        <f>Table1[[#This Row],[2020 U.S. Sales ($000)]]/SUMIF($E:$E, E56, $AJ:$AJ)</f>
        <v>3.9946266418451205E-2</v>
      </c>
      <c r="AL56" s="5">
        <v>409</v>
      </c>
      <c r="AM56" s="5">
        <f t="shared" si="6"/>
        <v>1042.3056234718827</v>
      </c>
      <c r="AN56" s="5">
        <v>558397</v>
      </c>
      <c r="AO56" s="6">
        <f>Table1[[#This Row],[2019 U.S. Sales ($000)]]/SUMIF($E:$E, E56, $AN:$AN)</f>
        <v>3.2954634314610445E-2</v>
      </c>
      <c r="AP56" s="5">
        <v>368</v>
      </c>
      <c r="AQ56" s="5">
        <f t="shared" si="7"/>
        <v>1517.383152173913</v>
      </c>
    </row>
    <row r="57" spans="1:43" x14ac:dyDescent="0.25">
      <c r="A57" t="s">
        <v>119</v>
      </c>
      <c r="B57">
        <v>2415</v>
      </c>
      <c r="C57" t="s">
        <v>44</v>
      </c>
      <c r="D57" t="s">
        <v>56</v>
      </c>
      <c r="E57" t="s">
        <v>59</v>
      </c>
      <c r="F57" s="5">
        <v>52</v>
      </c>
      <c r="G57" s="5">
        <v>1153000</v>
      </c>
      <c r="H57" s="6">
        <f>Table1[[#This Row],[2024 U.S. Sales ($000)]]/SUMIF($E:$E, E57, $G:$G)</f>
        <v>3.3015491223548951E-2</v>
      </c>
      <c r="I57" s="5">
        <v>1233</v>
      </c>
      <c r="J57" s="5">
        <f>Table1[[#This Row],[2024 U.S. Sales ($000)]]/Table1[[#This Row],[2024 U.S. Units]]</f>
        <v>935.11759935117595</v>
      </c>
      <c r="K57" s="6">
        <f>Table1[[#This Row],[2024 U.S. Units]]/Table1[[#This Row],[2023 U.S. Units]]-1</f>
        <v>1.9851116625310139E-2</v>
      </c>
      <c r="L57" s="8">
        <f>(Table1[[#This Row],[2024 Market share (%)]]-Table1[[#This Row],[2023 Market share (%)]])*10000</f>
        <v>28.865020844935536</v>
      </c>
      <c r="M57" s="6">
        <f>_xlfn.RRI(5,Table1[[#This Row],[2019 U.S. Sales ($000)]],Table1[[#This Row],[2024 U.S. Sales ($000)]])</f>
        <v>6.7329231116976862E-2</v>
      </c>
      <c r="N57" s="9">
        <f>(Table1[[#This Row],[2024 Market share (%)]]-Table1[[#This Row],[2019 Market share (%)]])*10000</f>
        <v>75.321836303737413</v>
      </c>
      <c r="O57" s="6">
        <f>IF(Table1[[#This Row],[2024 AUV]]=0,"",_xlfn.RRI(5,Table1[[#This Row],[2019 AUV]],Table1[[#This Row],[2024 AUV]]))</f>
        <v>5.3470030636891375E-2</v>
      </c>
      <c r="P57" s="6">
        <f>_xlfn.RRI(5,Table1[[#This Row],[2019 U.S. Units]],Table1[[#This Row],[2024 U.S. Units]])</f>
        <v>1.3155761509140218E-2</v>
      </c>
      <c r="Q57" s="5">
        <v>1138000</v>
      </c>
      <c r="R57" s="6">
        <f>Table1[[#This Row],[2023 U.S. Sales ($000)]]/SUMIF($E:$E, E57, $Q:$Q)</f>
        <v>3.0128989139055398E-2</v>
      </c>
      <c r="S57" s="8">
        <f>(Table1[[#This Row],[2023 Market share (%)]]-Table1[[#This Row],[2022 Market share (%)]])*10000</f>
        <v>-6.6937000709446988</v>
      </c>
      <c r="T57" s="10">
        <v>3.2667876588021776E-2</v>
      </c>
      <c r="U57" s="5">
        <v>1209</v>
      </c>
      <c r="V57" s="5">
        <f t="shared" si="0"/>
        <v>941.27377998345742</v>
      </c>
      <c r="W57" s="10">
        <v>1.8534119629317607E-2</v>
      </c>
      <c r="X57" s="10">
        <f t="shared" si="1"/>
        <v>8.1312549345013752E-2</v>
      </c>
      <c r="Y57" s="8">
        <f>(Table1[[#This Row],[2023 Market share (%)]]-Table1[[#This Row],[2019 Market share (%)]])*10000</f>
        <v>46.45681545880187</v>
      </c>
      <c r="Z57" s="10">
        <f t="shared" si="2"/>
        <v>6.9030667632175025E-2</v>
      </c>
      <c r="AA57" s="10">
        <f t="shared" si="3"/>
        <v>1.1488802037870505E-2</v>
      </c>
      <c r="AB57" s="5">
        <v>1102000</v>
      </c>
      <c r="AC57" s="6">
        <f>Table1[[#This Row],[2022 U.S. Sales ($000)]]/SUMIF($E:$E, E57, $AB:$AB)</f>
        <v>3.0798359146149867E-2</v>
      </c>
      <c r="AD57" s="5">
        <v>1187</v>
      </c>
      <c r="AE57" s="5">
        <f t="shared" si="4"/>
        <v>928.39090143218198</v>
      </c>
      <c r="AF57" s="5">
        <v>1044000</v>
      </c>
      <c r="AG57" s="6">
        <f>Table1[[#This Row],[2021 U.S. Sales ($000)]]/SUMIF($E:$E, E57, $AF:$AF)</f>
        <v>3.1466488461051809E-2</v>
      </c>
      <c r="AH57" s="5">
        <v>1164</v>
      </c>
      <c r="AI57" s="12">
        <f t="shared" si="5"/>
        <v>896.90721649484533</v>
      </c>
      <c r="AJ57" s="5">
        <v>840016</v>
      </c>
      <c r="AK57" s="6">
        <f>Table1[[#This Row],[2020 U.S. Sales ($000)]]/SUMIF($E:$E, E57, $AJ:$AJ)</f>
        <v>2.9495507217553594E-2</v>
      </c>
      <c r="AL57" s="5">
        <v>1153</v>
      </c>
      <c r="AM57" s="5">
        <f t="shared" si="6"/>
        <v>728.54813529921944</v>
      </c>
      <c r="AN57" s="5">
        <v>832410</v>
      </c>
      <c r="AO57" s="6">
        <f>Table1[[#This Row],[2019 U.S. Sales ($000)]]/SUMIF($E:$E, E57, $AN:$AN)</f>
        <v>2.5483307593175211E-2</v>
      </c>
      <c r="AP57" s="5">
        <v>1155</v>
      </c>
      <c r="AQ57" s="5">
        <f t="shared" si="7"/>
        <v>720.7012987012987</v>
      </c>
    </row>
    <row r="58" spans="1:43" x14ac:dyDescent="0.25">
      <c r="A58" t="s">
        <v>120</v>
      </c>
      <c r="B58">
        <v>497</v>
      </c>
      <c r="C58" t="s">
        <v>44</v>
      </c>
      <c r="D58" t="s">
        <v>45</v>
      </c>
      <c r="E58" t="s">
        <v>50</v>
      </c>
      <c r="F58" s="5">
        <v>55</v>
      </c>
      <c r="G58" s="5">
        <v>1096000</v>
      </c>
      <c r="H58" s="6">
        <f>Table1[[#This Row],[2024 U.S. Sales ($000)]]/SUMIF($E:$E, E58, $G:$G)</f>
        <v>2.0865856908959372E-2</v>
      </c>
      <c r="I58" s="5">
        <v>498</v>
      </c>
      <c r="J58" s="5">
        <f>Table1[[#This Row],[2024 U.S. Sales ($000)]]/Table1[[#This Row],[2024 U.S. Units]]</f>
        <v>2200.8032128514055</v>
      </c>
      <c r="K58" s="6">
        <f>Table1[[#This Row],[2024 U.S. Units]]/Table1[[#This Row],[2023 U.S. Units]]-1</f>
        <v>6.0606060606060996E-3</v>
      </c>
      <c r="L58" s="8">
        <f>(Table1[[#This Row],[2024 Market share (%)]]-Table1[[#This Row],[2023 Market share (%)]])*10000</f>
        <v>-5.7464467531374162</v>
      </c>
      <c r="M58" s="6">
        <f>_xlfn.RRI(5,Table1[[#This Row],[2019 U.S. Sales ($000)]],Table1[[#This Row],[2024 U.S. Sales ($000)]])</f>
        <v>4.1462445807790571E-2</v>
      </c>
      <c r="N58" s="9">
        <f>(Table1[[#This Row],[2024 Market share (%)]]-Table1[[#This Row],[2019 Market share (%)]])*10000</f>
        <v>-82.72098381669521</v>
      </c>
      <c r="O58" s="6">
        <f>IF(Table1[[#This Row],[2024 AUV]]=0,"",_xlfn.RRI(5,Table1[[#This Row],[2019 AUV]],Table1[[#This Row],[2024 AUV]]))</f>
        <v>3.4682618273928156E-2</v>
      </c>
      <c r="P58" s="6">
        <f>_xlfn.RRI(5,Table1[[#This Row],[2019 U.S. Units]],Table1[[#This Row],[2024 U.S. Units]])</f>
        <v>6.5525673420248065E-3</v>
      </c>
      <c r="Q58" s="5">
        <v>1050214</v>
      </c>
      <c r="R58" s="6">
        <f>Table1[[#This Row],[2023 U.S. Sales ($000)]]/SUMIF($E:$E, E58, $Q:$Q)</f>
        <v>2.1440501584273113E-2</v>
      </c>
      <c r="S58" s="8">
        <f>(Table1[[#This Row],[2023 Market share (%)]]-Table1[[#This Row],[2022 Market share (%)]])*10000</f>
        <v>-23.732600704177294</v>
      </c>
      <c r="T58" s="10">
        <v>1.0757076023279247E-2</v>
      </c>
      <c r="U58" s="5">
        <v>495</v>
      </c>
      <c r="V58" s="5">
        <f t="shared" si="0"/>
        <v>2121.6444444444446</v>
      </c>
      <c r="W58" s="10">
        <v>1.020408163265306E-2</v>
      </c>
      <c r="X58" s="10">
        <f t="shared" si="1"/>
        <v>4.0929532474383912E-2</v>
      </c>
      <c r="Y58" s="8">
        <f>(Table1[[#This Row],[2023 Market share (%)]]-Table1[[#This Row],[2019 Market share (%)]])*10000</f>
        <v>-76.97453706355779</v>
      </c>
      <c r="Z58" s="10">
        <f t="shared" si="2"/>
        <v>3.4026788162549781E-2</v>
      </c>
      <c r="AA58" s="10">
        <f t="shared" si="3"/>
        <v>6.6755952465218371E-3</v>
      </c>
      <c r="AB58" s="5">
        <v>1039037</v>
      </c>
      <c r="AC58" s="6">
        <f>Table1[[#This Row],[2022 U.S. Sales ($000)]]/SUMIF($E:$E, E58, $AB:$AB)</f>
        <v>2.3813761654690842E-2</v>
      </c>
      <c r="AD58" s="5">
        <v>490</v>
      </c>
      <c r="AE58" s="5">
        <f t="shared" si="4"/>
        <v>2120.4836734693877</v>
      </c>
      <c r="AF58" s="5">
        <v>973230</v>
      </c>
      <c r="AG58" s="6">
        <f>Table1[[#This Row],[2021 U.S. Sales ($000)]]/SUMIF($E:$E, E58, $AF:$AF)</f>
        <v>2.4754757532309598E-2</v>
      </c>
      <c r="AH58" s="5">
        <v>480</v>
      </c>
      <c r="AI58" s="12">
        <f t="shared" si="5"/>
        <v>2027.5625</v>
      </c>
      <c r="AJ58" s="5">
        <v>879623</v>
      </c>
      <c r="AK58" s="6">
        <f>Table1[[#This Row],[2020 U.S. Sales ($000)]]/SUMIF($E:$E, E58, $AJ:$AJ)</f>
        <v>2.6009481384916038E-2</v>
      </c>
      <c r="AL58" s="5">
        <v>479</v>
      </c>
      <c r="AM58" s="5">
        <f t="shared" si="6"/>
        <v>1836.3736951983299</v>
      </c>
      <c r="AN58" s="5">
        <v>894525</v>
      </c>
      <c r="AO58" s="6">
        <f>Table1[[#This Row],[2019 U.S. Sales ($000)]]/SUMIF($E:$E, E58, $AN:$AN)</f>
        <v>2.9137955290628893E-2</v>
      </c>
      <c r="AP58" s="5">
        <v>482</v>
      </c>
      <c r="AQ58" s="5">
        <f t="shared" si="7"/>
        <v>1855.8609958506224</v>
      </c>
    </row>
    <row r="59" spans="1:43" x14ac:dyDescent="0.25">
      <c r="A59" t="s">
        <v>121</v>
      </c>
      <c r="B59">
        <v>2775</v>
      </c>
      <c r="C59" t="s">
        <v>44</v>
      </c>
      <c r="D59" t="s">
        <v>45</v>
      </c>
      <c r="E59" t="s">
        <v>61</v>
      </c>
      <c r="F59" s="5">
        <v>56</v>
      </c>
      <c r="G59" s="5">
        <v>1051000</v>
      </c>
      <c r="H59" s="6">
        <f>Table1[[#This Row],[2024 U.S. Sales ($000)]]/SUMIF($E:$E, E59, $G:$G)</f>
        <v>3.5760462742429396E-2</v>
      </c>
      <c r="I59" s="5">
        <v>1162</v>
      </c>
      <c r="J59" s="5">
        <f>Table1[[#This Row],[2024 U.S. Sales ($000)]]/Table1[[#This Row],[2024 U.S. Units]]</f>
        <v>904.47504302925995</v>
      </c>
      <c r="K59" s="6">
        <f>Table1[[#This Row],[2024 U.S. Units]]/Table1[[#This Row],[2023 U.S. Units]]-1</f>
        <v>1.573426573426584E-2</v>
      </c>
      <c r="L59" s="8">
        <f>(Table1[[#This Row],[2024 Market share (%)]]-Table1[[#This Row],[2023 Market share (%)]])*10000</f>
        <v>16.713671890752693</v>
      </c>
      <c r="M59" s="6">
        <f>_xlfn.RRI(5,Table1[[#This Row],[2019 U.S. Sales ($000)]],Table1[[#This Row],[2024 U.S. Sales ($000)]])</f>
        <v>0.10843885802105824</v>
      </c>
      <c r="N59" s="9">
        <f>(Table1[[#This Row],[2024 Market share (%)]]-Table1[[#This Row],[2019 Market share (%)]])*10000</f>
        <v>114.22815107374227</v>
      </c>
      <c r="O59" s="6">
        <f>IF(Table1[[#This Row],[2024 AUV]]=0,"",_xlfn.RRI(5,Table1[[#This Row],[2019 AUV]],Table1[[#This Row],[2024 AUV]]))</f>
        <v>5.6707367612772286E-2</v>
      </c>
      <c r="P59" s="6">
        <f>_xlfn.RRI(5,Table1[[#This Row],[2019 U.S. Units]],Table1[[#This Row],[2024 U.S. Units]])</f>
        <v>4.895536076856688E-2</v>
      </c>
      <c r="Q59" s="5">
        <v>1041312</v>
      </c>
      <c r="R59" s="6">
        <f>Table1[[#This Row],[2023 U.S. Sales ($000)]]/SUMIF($E:$E, E59, $Q:$Q)</f>
        <v>3.4089095553354126E-2</v>
      </c>
      <c r="S59" s="8">
        <f>(Table1[[#This Row],[2023 Market share (%)]]-Table1[[#This Row],[2022 Market share (%)]])*10000</f>
        <v>14.930975293857147</v>
      </c>
      <c r="T59" s="10">
        <v>7.6212495000366892E-2</v>
      </c>
      <c r="U59" s="5">
        <v>1144</v>
      </c>
      <c r="V59" s="5">
        <f t="shared" si="0"/>
        <v>910.23776223776224</v>
      </c>
      <c r="W59" s="10">
        <v>7.2164948453608241E-2</v>
      </c>
      <c r="X59" s="10">
        <f t="shared" si="1"/>
        <v>0.13470826210702214</v>
      </c>
      <c r="Y59" s="8">
        <f>(Table1[[#This Row],[2023 Market share (%)]]-Table1[[#This Row],[2019 Market share (%)]])*10000</f>
        <v>97.514479182989575</v>
      </c>
      <c r="Z59" s="10">
        <f t="shared" si="2"/>
        <v>7.3082183989393812E-2</v>
      </c>
      <c r="AA59" s="10">
        <f t="shared" si="3"/>
        <v>5.7429038555575795E-2</v>
      </c>
      <c r="AB59" s="5">
        <v>967571</v>
      </c>
      <c r="AC59" s="6">
        <f>Table1[[#This Row],[2022 U.S. Sales ($000)]]/SUMIF($E:$E, E59, $AB:$AB)</f>
        <v>3.2595998023968412E-2</v>
      </c>
      <c r="AD59" s="5">
        <v>1067</v>
      </c>
      <c r="AE59" s="5">
        <f t="shared" si="4"/>
        <v>906.81443298969077</v>
      </c>
      <c r="AF59" s="5">
        <v>898630</v>
      </c>
      <c r="AG59" s="6">
        <f>Table1[[#This Row],[2021 U.S. Sales ($000)]]/SUMIF($E:$E, E59, $AF:$AF)</f>
        <v>3.0914156050385708E-2</v>
      </c>
      <c r="AH59" s="5">
        <v>1002</v>
      </c>
      <c r="AI59" s="12">
        <f t="shared" si="5"/>
        <v>896.83632734530943</v>
      </c>
      <c r="AJ59" s="5">
        <v>760258</v>
      </c>
      <c r="AK59" s="6">
        <f>Table1[[#This Row],[2020 U.S. Sales ($000)]]/SUMIF($E:$E, E59, $AJ:$AJ)</f>
        <v>2.8088087897998291E-2</v>
      </c>
      <c r="AL59" s="5">
        <v>954</v>
      </c>
      <c r="AM59" s="5">
        <f t="shared" si="6"/>
        <v>796.91614255765194</v>
      </c>
      <c r="AN59" s="5">
        <v>628122</v>
      </c>
      <c r="AO59" s="6">
        <f>Table1[[#This Row],[2019 U.S. Sales ($000)]]/SUMIF($E:$E, E59, $AN:$AN)</f>
        <v>2.4337647635055169E-2</v>
      </c>
      <c r="AP59" s="5">
        <v>915</v>
      </c>
      <c r="AQ59" s="5">
        <f t="shared" si="7"/>
        <v>686.47213114754095</v>
      </c>
    </row>
    <row r="60" spans="1:43" x14ac:dyDescent="0.25">
      <c r="A60" t="s">
        <v>122</v>
      </c>
      <c r="B60">
        <v>1655</v>
      </c>
      <c r="C60" t="s">
        <v>44</v>
      </c>
      <c r="D60" t="s">
        <v>56</v>
      </c>
      <c r="E60" t="s">
        <v>59</v>
      </c>
      <c r="F60" s="5">
        <v>57</v>
      </c>
      <c r="G60" s="5">
        <v>1018000</v>
      </c>
      <c r="H60" s="6">
        <f>Table1[[#This Row],[2024 U.S. Sales ($000)]]/SUMIF($E:$E, E60, $G:$G)</f>
        <v>2.9149843942387538E-2</v>
      </c>
      <c r="I60" s="5">
        <v>560</v>
      </c>
      <c r="J60" s="5">
        <f>Table1[[#This Row],[2024 U.S. Sales ($000)]]/Table1[[#This Row],[2024 U.S. Units]]</f>
        <v>1817.8571428571429</v>
      </c>
      <c r="K60" s="6">
        <f>Table1[[#This Row],[2024 U.S. Units]]/Table1[[#This Row],[2023 U.S. Units]]-1</f>
        <v>3.8961038961038863E-2</v>
      </c>
      <c r="L60" s="8">
        <f>(Table1[[#This Row],[2024 Market share (%)]]-Table1[[#This Row],[2023 Market share (%)]])*10000</f>
        <v>20.964209556314785</v>
      </c>
      <c r="M60" s="6">
        <f>_xlfn.RRI(5,Table1[[#This Row],[2019 U.S. Sales ($000)]],Table1[[#This Row],[2024 U.S. Sales ($000)]])</f>
        <v>7.2147184948573084E-2</v>
      </c>
      <c r="N60" s="9">
        <f>(Table1[[#This Row],[2024 Market share (%)]]-Table1[[#This Row],[2019 Market share (%)]])*10000</f>
        <v>71.512847544736061</v>
      </c>
      <c r="O60" s="6">
        <f>IF(Table1[[#This Row],[2024 AUV]]=0,"",_xlfn.RRI(5,Table1[[#This Row],[2019 AUV]],Table1[[#This Row],[2024 AUV]]))</f>
        <v>3.4787973862200561E-2</v>
      </c>
      <c r="P60" s="6">
        <f>_xlfn.RRI(5,Table1[[#This Row],[2019 U.S. Units]],Table1[[#This Row],[2024 U.S. Units]])</f>
        <v>3.6103252096112426E-2</v>
      </c>
      <c r="Q60" s="5">
        <v>1021833</v>
      </c>
      <c r="R60" s="6">
        <f>Table1[[#This Row],[2023 U.S. Sales ($000)]]/SUMIF($E:$E, E60, $Q:$Q)</f>
        <v>2.7053422986756059E-2</v>
      </c>
      <c r="S60" s="8">
        <f>(Table1[[#This Row],[2023 Market share (%)]]-Table1[[#This Row],[2022 Market share (%)]])*10000</f>
        <v>3.3858530151489874</v>
      </c>
      <c r="T60" s="10">
        <v>6.8989326144199059E-2</v>
      </c>
      <c r="U60" s="5">
        <v>539</v>
      </c>
      <c r="V60" s="5">
        <f t="shared" si="0"/>
        <v>1895.7940630797773</v>
      </c>
      <c r="W60" s="10">
        <v>2.6666666666666668E-2</v>
      </c>
      <c r="X60" s="10">
        <f t="shared" si="1"/>
        <v>9.2008574691589295E-2</v>
      </c>
      <c r="Y60" s="8">
        <f>(Table1[[#This Row],[2023 Market share (%)]]-Table1[[#This Row],[2019 Market share (%)]])*10000</f>
        <v>50.548637988421277</v>
      </c>
      <c r="Z60" s="10">
        <f t="shared" si="2"/>
        <v>5.4683296487080923E-2</v>
      </c>
      <c r="AA60" s="10">
        <f t="shared" si="3"/>
        <v>3.5390034457576602E-2</v>
      </c>
      <c r="AB60" s="5">
        <v>955887</v>
      </c>
      <c r="AC60" s="6">
        <f>Table1[[#This Row],[2022 U.S. Sales ($000)]]/SUMIF($E:$E, E60, $AB:$AB)</f>
        <v>2.6714837685241161E-2</v>
      </c>
      <c r="AD60" s="5">
        <v>525</v>
      </c>
      <c r="AE60" s="5">
        <f t="shared" si="4"/>
        <v>1820.7371428571428</v>
      </c>
      <c r="AF60" s="5">
        <v>869957</v>
      </c>
      <c r="AG60" s="6">
        <f>Table1[[#This Row],[2021 U.S. Sales ($000)]]/SUMIF($E:$E, E60, $AF:$AF)</f>
        <v>2.622077768401461E-2</v>
      </c>
      <c r="AH60" s="5">
        <v>505</v>
      </c>
      <c r="AI60" s="12">
        <f t="shared" si="5"/>
        <v>1722.6871287128713</v>
      </c>
      <c r="AJ60" s="5">
        <v>625028</v>
      </c>
      <c r="AK60" s="6">
        <f>Table1[[#This Row],[2020 U.S. Sales ($000)]]/SUMIF($E:$E, E60, $AJ:$AJ)</f>
        <v>2.1946627070404717E-2</v>
      </c>
      <c r="AL60" s="5">
        <v>481</v>
      </c>
      <c r="AM60" s="5">
        <f t="shared" si="6"/>
        <v>1299.4345114345115</v>
      </c>
      <c r="AN60" s="5">
        <v>718581</v>
      </c>
      <c r="AO60" s="6">
        <f>Table1[[#This Row],[2019 U.S. Sales ($000)]]/SUMIF($E:$E, E60, $AN:$AN)</f>
        <v>2.1998559187913932E-2</v>
      </c>
      <c r="AP60" s="5">
        <v>469</v>
      </c>
      <c r="AQ60" s="5">
        <f t="shared" si="7"/>
        <v>1532.1556503198294</v>
      </c>
    </row>
    <row r="61" spans="1:43" x14ac:dyDescent="0.25">
      <c r="A61" t="s">
        <v>123</v>
      </c>
      <c r="B61">
        <v>6622</v>
      </c>
      <c r="C61" t="s">
        <v>44</v>
      </c>
      <c r="D61" t="s">
        <v>56</v>
      </c>
      <c r="E61" t="s">
        <v>46</v>
      </c>
      <c r="F61" s="5">
        <v>62</v>
      </c>
      <c r="G61" s="5">
        <v>988000</v>
      </c>
      <c r="H61" s="6">
        <f>Table1[[#This Row],[2024 U.S. Sales ($000)]]/SUMIF($E:$E, E61, $G:$G)</f>
        <v>8.9608280937052663E-3</v>
      </c>
      <c r="I61" s="5">
        <v>550</v>
      </c>
      <c r="J61" s="7">
        <f>Table1[[#This Row],[2024 U.S. Sales ($000)]]/Table1[[#This Row],[2024 U.S. Units]]</f>
        <v>1796.3636363636363</v>
      </c>
      <c r="K61" s="6">
        <f>Table1[[#This Row],[2024 U.S. Units]]/Table1[[#This Row],[2023 U.S. Units]]-1</f>
        <v>6.7961165048543659E-2</v>
      </c>
      <c r="L61" s="8">
        <f>(Table1[[#This Row],[2024 Market share (%)]]-Table1[[#This Row],[2023 Market share (%)]])*10000</f>
        <v>5.1115552838171263</v>
      </c>
      <c r="M61" s="6">
        <f>_xlfn.RRI(5,Table1[[#This Row],[2019 U.S. Sales ($000)]],Table1[[#This Row],[2024 U.S. Sales ($000)]])</f>
        <v>0.13014369124992187</v>
      </c>
      <c r="N61" s="9">
        <f>(Table1[[#This Row],[2024 Market share (%)]]-Table1[[#This Row],[2019 Market share (%)]])*10000</f>
        <v>27.659853032759887</v>
      </c>
      <c r="O61" s="6">
        <f>IF(Table1[[#This Row],[2024 AUV]]=0,"",_xlfn.RRI(5,Table1[[#This Row],[2019 AUV]],Table1[[#This Row],[2024 AUV]]))</f>
        <v>4.1165334834219136E-2</v>
      </c>
      <c r="P61" s="6">
        <f>_xlfn.RRI(5,Table1[[#This Row],[2019 U.S. Units]],Table1[[#This Row],[2024 U.S. Units]])</f>
        <v>8.5460352394339356E-2</v>
      </c>
      <c r="Q61" s="5">
        <v>925096</v>
      </c>
      <c r="R61" s="6">
        <f>Table1[[#This Row],[2023 U.S. Sales ($000)]]/SUMIF($E:$E, E61, $Q:$Q)</f>
        <v>8.4496725653235537E-3</v>
      </c>
      <c r="S61" s="8">
        <f>(Table1[[#This Row],[2023 Market share (%)]]-Table1[[#This Row],[2022 Market share (%)]])*10000</f>
        <v>5.4305518353610882</v>
      </c>
      <c r="T61" s="10">
        <v>0.145170235100715</v>
      </c>
      <c r="U61" s="5">
        <v>515</v>
      </c>
      <c r="V61" s="5">
        <f t="shared" si="0"/>
        <v>1796.3029126213592</v>
      </c>
      <c r="W61" s="10">
        <v>0.12938596491228072</v>
      </c>
      <c r="X61" s="10">
        <f t="shared" si="1"/>
        <v>0.14623732397792799</v>
      </c>
      <c r="Y61" s="8">
        <f>(Table1[[#This Row],[2023 Market share (%)]]-Table1[[#This Row],[2019 Market share (%)]])*10000</f>
        <v>22.548297748942762</v>
      </c>
      <c r="Z61" s="10">
        <f t="shared" si="2"/>
        <v>5.1709882371143934E-2</v>
      </c>
      <c r="AA61" s="10">
        <f t="shared" si="3"/>
        <v>8.987976930830599E-2</v>
      </c>
      <c r="AB61" s="5">
        <v>807824</v>
      </c>
      <c r="AC61" s="6">
        <f>Table1[[#This Row],[2022 U.S. Sales ($000)]]/SUMIF($E:$E, E61, $AB:$AB)</f>
        <v>7.9066173817874449E-3</v>
      </c>
      <c r="AD61" s="5">
        <v>456</v>
      </c>
      <c r="AE61" s="5">
        <f t="shared" si="4"/>
        <v>1771.5438596491229</v>
      </c>
      <c r="AF61" s="5">
        <v>759014</v>
      </c>
      <c r="AG61" s="6">
        <f>Table1[[#This Row],[2021 U.S. Sales ($000)]]/SUMIF($E:$E, E61, $AF:$AF)</f>
        <v>7.8013092719492003E-3</v>
      </c>
      <c r="AH61" s="5">
        <v>421</v>
      </c>
      <c r="AI61" s="12">
        <f t="shared" si="5"/>
        <v>1802.8836104513064</v>
      </c>
      <c r="AJ61" s="5">
        <v>643130</v>
      </c>
      <c r="AK61" s="6">
        <f>Table1[[#This Row],[2020 U.S. Sales ($000)]]/SUMIF($E:$E, E61, $AJ:$AJ)</f>
        <v>7.3598684783846994E-3</v>
      </c>
      <c r="AL61" s="5">
        <v>390</v>
      </c>
      <c r="AM61" s="5">
        <f t="shared" si="6"/>
        <v>1649.051282051282</v>
      </c>
      <c r="AN61" s="5">
        <v>535906</v>
      </c>
      <c r="AO61" s="6">
        <f>Table1[[#This Row],[2019 U.S. Sales ($000)]]/SUMIF($E:$E, E61, $AN:$AN)</f>
        <v>6.1948427904292775E-3</v>
      </c>
      <c r="AP61" s="5">
        <v>365</v>
      </c>
      <c r="AQ61" s="5">
        <f t="shared" si="7"/>
        <v>1468.2356164383561</v>
      </c>
    </row>
    <row r="62" spans="1:43" x14ac:dyDescent="0.25">
      <c r="A62" t="s">
        <v>124</v>
      </c>
      <c r="B62">
        <v>1510</v>
      </c>
      <c r="C62" t="s">
        <v>68</v>
      </c>
      <c r="D62" t="s">
        <v>69</v>
      </c>
      <c r="E62" t="s">
        <v>125</v>
      </c>
      <c r="F62" s="5">
        <v>58</v>
      </c>
      <c r="G62" s="5">
        <v>965000</v>
      </c>
      <c r="H62" s="6">
        <f>Table1[[#This Row],[2024 U.S. Sales ($000)]]/SUMIF($E:$E, E62, $G:$G)</f>
        <v>0.28763040238450077</v>
      </c>
      <c r="I62" s="5">
        <v>221</v>
      </c>
      <c r="J62" s="5">
        <f>Table1[[#This Row],[2024 U.S. Sales ($000)]]/Table1[[#This Row],[2024 U.S. Units]]</f>
        <v>4366.5158371040725</v>
      </c>
      <c r="K62" s="6">
        <f>Table1[[#This Row],[2024 U.S. Units]]/Table1[[#This Row],[2023 U.S. Units]]-1</f>
        <v>-1.7777777777777781E-2</v>
      </c>
      <c r="L62" s="8">
        <f>(Table1[[#This Row],[2024 Market share (%)]]-Table1[[#This Row],[2023 Market share (%)]])*10000</f>
        <v>69.822564839321359</v>
      </c>
      <c r="M62" s="6">
        <f>_xlfn.RRI(5,Table1[[#This Row],[2019 U.S. Sales ($000)]],Table1[[#This Row],[2024 U.S. Sales ($000)]])</f>
        <v>1.7901946073751285E-2</v>
      </c>
      <c r="N62" s="9">
        <f>(Table1[[#This Row],[2024 Market share (%)]]-Table1[[#This Row],[2019 Market share (%)]])*10000</f>
        <v>-449.98054557709276</v>
      </c>
      <c r="O62" s="6">
        <f>IF(Table1[[#This Row],[2024 AUV]]=0,"",_xlfn.RRI(5,Table1[[#This Row],[2019 AUV]],Table1[[#This Row],[2024 AUV]]))</f>
        <v>1.2313857495209302E-2</v>
      </c>
      <c r="P62" s="6">
        <f>_xlfn.RRI(5,Table1[[#This Row],[2019 U.S. Units]],Table1[[#This Row],[2024 U.S. Units]])</f>
        <v>5.5201146731000961E-3</v>
      </c>
      <c r="Q62" s="5">
        <v>994310</v>
      </c>
      <c r="R62" s="6">
        <f>Table1[[#This Row],[2023 U.S. Sales ($000)]]/SUMIF($E:$E, E62, $Q:$Q)</f>
        <v>0.28064814590056864</v>
      </c>
      <c r="S62" s="8">
        <f>(Table1[[#This Row],[2023 Market share (%)]]-Table1[[#This Row],[2022 Market share (%)]])*10000</f>
        <v>-435.48160833149774</v>
      </c>
      <c r="T62" s="10">
        <v>-2.5797538799184824E-2</v>
      </c>
      <c r="U62" s="5">
        <v>225</v>
      </c>
      <c r="V62" s="5">
        <f t="shared" si="0"/>
        <v>4419.1555555555551</v>
      </c>
      <c r="W62" s="10">
        <v>8.9686098654708519E-3</v>
      </c>
      <c r="X62" s="10">
        <f t="shared" si="1"/>
        <v>3.0103954284102397E-2</v>
      </c>
      <c r="Y62" s="8">
        <f>(Table1[[#This Row],[2023 Market share (%)]]-Table1[[#This Row],[2019 Market share (%)]])*10000</f>
        <v>-519.80311041641414</v>
      </c>
      <c r="Z62" s="10">
        <f t="shared" si="2"/>
        <v>1.8462492833484889E-2</v>
      </c>
      <c r="AA62" s="10">
        <f t="shared" si="3"/>
        <v>1.1430427269078391E-2</v>
      </c>
      <c r="AB62" s="5">
        <v>1020640</v>
      </c>
      <c r="AC62" s="6">
        <f>Table1[[#This Row],[2022 U.S. Sales ($000)]]/SUMIF($E:$E, E62, $AB:$AB)</f>
        <v>0.32419630673371841</v>
      </c>
      <c r="AD62" s="5">
        <v>223</v>
      </c>
      <c r="AE62" s="5">
        <f t="shared" si="4"/>
        <v>4576.8609865470853</v>
      </c>
      <c r="AF62" s="5">
        <v>933500</v>
      </c>
      <c r="AG62" s="6">
        <f>Table1[[#This Row],[2021 U.S. Sales ($000)]]/SUMIF($E:$E, E62, $AF:$AF)</f>
        <v>0.35102483458401207</v>
      </c>
      <c r="AH62" s="5">
        <v>213</v>
      </c>
      <c r="AI62" s="12">
        <f t="shared" si="5"/>
        <v>4382.6291079812208</v>
      </c>
      <c r="AJ62" s="5">
        <v>700200</v>
      </c>
      <c r="AK62" s="6">
        <f>Table1[[#This Row],[2020 U.S. Sales ($000)]]/SUMIF($E:$E, E62, $AJ:$AJ)</f>
        <v>0.36950082559845993</v>
      </c>
      <c r="AL62" s="5">
        <v>208</v>
      </c>
      <c r="AM62" s="5">
        <f t="shared" si="6"/>
        <v>3366.3461538461538</v>
      </c>
      <c r="AN62" s="5">
        <v>883075</v>
      </c>
      <c r="AO62" s="6">
        <f>Table1[[#This Row],[2019 U.S. Sales ($000)]]/SUMIF($E:$E, E62, $AN:$AN)</f>
        <v>0.33262845694221005</v>
      </c>
      <c r="AP62" s="5">
        <v>215</v>
      </c>
      <c r="AQ62" s="5">
        <f t="shared" si="7"/>
        <v>4107.3255813953492</v>
      </c>
    </row>
    <row r="63" spans="1:43" x14ac:dyDescent="0.25">
      <c r="A63" t="s">
        <v>126</v>
      </c>
      <c r="B63">
        <v>807</v>
      </c>
      <c r="C63" t="s">
        <v>44</v>
      </c>
      <c r="D63" t="s">
        <v>45</v>
      </c>
      <c r="E63" t="s">
        <v>52</v>
      </c>
      <c r="F63" s="5">
        <v>60</v>
      </c>
      <c r="G63" s="5">
        <v>957000</v>
      </c>
      <c r="H63" s="6">
        <f>Table1[[#This Row],[2024 U.S. Sales ($000)]]/SUMIF($E:$E, E63, $G:$G)</f>
        <v>2.8424616846857549E-2</v>
      </c>
      <c r="I63" s="5">
        <v>594</v>
      </c>
      <c r="J63" s="5">
        <f>Table1[[#This Row],[2024 U.S. Sales ($000)]]/Table1[[#This Row],[2024 U.S. Units]]</f>
        <v>1611.1111111111111</v>
      </c>
      <c r="K63" s="6">
        <f>Table1[[#This Row],[2024 U.S. Units]]/Table1[[#This Row],[2023 U.S. Units]]-1</f>
        <v>3.3783783783782884E-3</v>
      </c>
      <c r="L63" s="8">
        <f>(Table1[[#This Row],[2024 Market share (%)]]-Table1[[#This Row],[2023 Market share (%)]])*10000</f>
        <v>-10.246742797831999</v>
      </c>
      <c r="M63" s="6">
        <f>_xlfn.RRI(5,Table1[[#This Row],[2019 U.S. Sales ($000)]],Table1[[#This Row],[2024 U.S. Sales ($000)]])</f>
        <v>2.3848692875269251E-2</v>
      </c>
      <c r="N63" s="9">
        <f>(Table1[[#This Row],[2024 Market share (%)]]-Table1[[#This Row],[2019 Market share (%)]])*10000</f>
        <v>-66.627080496065588</v>
      </c>
      <c r="O63" s="6">
        <f>IF(Table1[[#This Row],[2024 AUV]]=0,"",_xlfn.RRI(5,Table1[[#This Row],[2019 AUV]],Table1[[#This Row],[2024 AUV]]))</f>
        <v>2.4537226579798954E-2</v>
      </c>
      <c r="P63" s="6">
        <f>_xlfn.RRI(5,Table1[[#This Row],[2019 U.S. Units]],Table1[[#This Row],[2024 U.S. Units]])</f>
        <v>-6.7204361800321522E-4</v>
      </c>
      <c r="Q63" s="5">
        <v>974443</v>
      </c>
      <c r="R63" s="6">
        <f>Table1[[#This Row],[2023 U.S. Sales ($000)]]/SUMIF($E:$E, E63, $Q:$Q)</f>
        <v>2.9449291126640749E-2</v>
      </c>
      <c r="S63" s="8">
        <f>(Table1[[#This Row],[2023 Market share (%)]]-Table1[[#This Row],[2022 Market share (%)]])*10000</f>
        <v>-21.478406802837092</v>
      </c>
      <c r="T63" s="10">
        <v>1.8195895840146956E-2</v>
      </c>
      <c r="U63" s="5">
        <v>592</v>
      </c>
      <c r="V63" s="5">
        <f t="shared" si="0"/>
        <v>1646.018581081081</v>
      </c>
      <c r="W63" s="10">
        <v>1.6920473773265651E-3</v>
      </c>
      <c r="X63" s="10">
        <f t="shared" si="1"/>
        <v>3.4560399911357287E-2</v>
      </c>
      <c r="Y63" s="8">
        <f>(Table1[[#This Row],[2023 Market share (%)]]-Table1[[#This Row],[2019 Market share (%)]])*10000</f>
        <v>-56.380337698233582</v>
      </c>
      <c r="Z63" s="10">
        <f t="shared" si="2"/>
        <v>3.6303557566257583E-2</v>
      </c>
      <c r="AA63" s="10">
        <f t="shared" si="3"/>
        <v>-1.6820917405649949E-3</v>
      </c>
      <c r="AB63" s="5">
        <v>957029</v>
      </c>
      <c r="AC63" s="6">
        <f>Table1[[#This Row],[2022 U.S. Sales ($000)]]/SUMIF($E:$E, E63, $AB:$AB)</f>
        <v>3.1597131806924458E-2</v>
      </c>
      <c r="AD63" s="5">
        <v>591</v>
      </c>
      <c r="AE63" s="5">
        <f t="shared" si="4"/>
        <v>1619.3384094754654</v>
      </c>
      <c r="AF63" s="5">
        <v>920775</v>
      </c>
      <c r="AG63" s="6">
        <f>Table1[[#This Row],[2021 U.S. Sales ($000)]]/SUMIF($E:$E, E63, $AF:$AF)</f>
        <v>3.3593578753104425E-2</v>
      </c>
      <c r="AH63" s="5">
        <v>603</v>
      </c>
      <c r="AI63" s="12">
        <f t="shared" si="5"/>
        <v>1526.9900497512438</v>
      </c>
      <c r="AJ63" s="5">
        <v>857005</v>
      </c>
      <c r="AK63" s="6">
        <f>Table1[[#This Row],[2020 U.S. Sales ($000)]]/SUMIF($E:$E, E63, $AJ:$AJ)</f>
        <v>3.6357466390645674E-2</v>
      </c>
      <c r="AL63" s="5">
        <v>596</v>
      </c>
      <c r="AM63" s="5">
        <f t="shared" si="6"/>
        <v>1437.9278523489934</v>
      </c>
      <c r="AN63" s="5">
        <v>850615</v>
      </c>
      <c r="AO63" s="6">
        <f>Table1[[#This Row],[2019 U.S. Sales ($000)]]/SUMIF($E:$E, E63, $AN:$AN)</f>
        <v>3.5087324896464107E-2</v>
      </c>
      <c r="AP63" s="5">
        <v>596</v>
      </c>
      <c r="AQ63" s="5">
        <f t="shared" si="7"/>
        <v>1427.2063758389261</v>
      </c>
    </row>
    <row r="64" spans="1:43" x14ac:dyDescent="0.25">
      <c r="A64" t="s">
        <v>127</v>
      </c>
      <c r="B64">
        <v>31476</v>
      </c>
      <c r="C64" t="s">
        <v>44</v>
      </c>
      <c r="D64" t="s">
        <v>56</v>
      </c>
      <c r="E64" t="s">
        <v>128</v>
      </c>
      <c r="F64" s="5">
        <v>79</v>
      </c>
      <c r="G64" s="5">
        <v>954000</v>
      </c>
      <c r="H64" s="6">
        <f>Table1[[#This Row],[2024 U.S. Sales ($000)]]/SUMIF($E:$E, E64, $G:$G)</f>
        <v>0.21790772042028322</v>
      </c>
      <c r="I64" s="5">
        <v>367</v>
      </c>
      <c r="J64" s="5">
        <f>Table1[[#This Row],[2024 U.S. Sales ($000)]]/Table1[[#This Row],[2024 U.S. Units]]</f>
        <v>2599.4550408719347</v>
      </c>
      <c r="K64" s="6">
        <f>Table1[[#This Row],[2024 U.S. Units]]/Table1[[#This Row],[2023 U.S. Units]]-1</f>
        <v>0.18770226537216828</v>
      </c>
      <c r="L64" s="8">
        <f>(Table1[[#This Row],[2024 Market share (%)]]-Table1[[#This Row],[2023 Market share (%)]])*10000</f>
        <v>799.40248003772524</v>
      </c>
      <c r="M64" s="6">
        <f>_xlfn.RRI(5,Table1[[#This Row],[2019 U.S. Sales ($000)]],Table1[[#This Row],[2024 U.S. Sales ($000)]])</f>
        <v>0.41529775767313115</v>
      </c>
      <c r="N64" s="9">
        <f>(Table1[[#This Row],[2024 Market share (%)]]-Table1[[#This Row],[2019 Market share (%)]])*10000</f>
        <v>1708.3055393888949</v>
      </c>
      <c r="O64" s="6">
        <f>IF(Table1[[#This Row],[2024 AUV]]=0,"",_xlfn.RRI(5,Table1[[#This Row],[2019 AUV]],Table1[[#This Row],[2024 AUV]]))</f>
        <v>6.6086900664816595E-2</v>
      </c>
      <c r="P64" s="6">
        <f>_xlfn.RRI(5,Table1[[#This Row],[2019 U.S. Units]],Table1[[#This Row],[2024 U.S. Units]])</f>
        <v>0.32756321908706054</v>
      </c>
      <c r="Q64" s="5">
        <v>717060</v>
      </c>
      <c r="R64" s="6">
        <f>Table1[[#This Row],[2023 U.S. Sales ($000)]]/SUMIF($E:$E, E64, $Q:$Q)</f>
        <v>0.13796747241651069</v>
      </c>
      <c r="S64" s="8">
        <f>(Table1[[#This Row],[2023 Market share (%)]]-Table1[[#This Row],[2022 Market share (%)]])*10000</f>
        <v>367.0682139617071</v>
      </c>
      <c r="T64" s="10">
        <v>0.59846096916142433</v>
      </c>
      <c r="U64" s="5">
        <v>309</v>
      </c>
      <c r="V64" s="5">
        <f t="shared" si="0"/>
        <v>2320.5825242718447</v>
      </c>
      <c r="W64" s="10">
        <v>0.30379746835443039</v>
      </c>
      <c r="X64" s="10">
        <f t="shared" si="1"/>
        <v>0.43734675807112033</v>
      </c>
      <c r="Y64" s="8">
        <f>(Table1[[#This Row],[2023 Market share (%)]]-Table1[[#This Row],[2019 Market share (%)]])*10000</f>
        <v>908.90305935116965</v>
      </c>
      <c r="Z64" s="10">
        <f t="shared" si="2"/>
        <v>5.2978334729619769E-2</v>
      </c>
      <c r="AA64" s="10">
        <f t="shared" si="3"/>
        <v>0.36502975480516175</v>
      </c>
      <c r="AB64" s="5">
        <v>448594</v>
      </c>
      <c r="AC64" s="6">
        <f>Table1[[#This Row],[2022 U.S. Sales ($000)]]/SUMIF($E:$E, E64, $AB:$AB)</f>
        <v>0.10126065102033999</v>
      </c>
      <c r="AD64" s="5">
        <v>237</v>
      </c>
      <c r="AE64" s="5">
        <f t="shared" si="4"/>
        <v>1892.8016877637131</v>
      </c>
      <c r="AF64" s="5">
        <v>278219</v>
      </c>
      <c r="AG64" s="6">
        <f>Table1[[#This Row],[2021 U.S. Sales ($000)]]/SUMIF($E:$E, E64, $AF:$AF)</f>
        <v>7.3742435422789368E-2</v>
      </c>
      <c r="AH64" s="5">
        <v>164</v>
      </c>
      <c r="AI64" s="12">
        <f t="shared" si="5"/>
        <v>1696.4573170731708</v>
      </c>
      <c r="AJ64" s="5">
        <v>163000</v>
      </c>
      <c r="AK64" s="6">
        <f>Table1[[#This Row],[2020 U.S. Sales ($000)]]/SUMIF($E:$E, E64, $AJ:$AJ)</f>
        <v>5.3192010103218605E-2</v>
      </c>
      <c r="AL64" s="5">
        <v>104</v>
      </c>
      <c r="AM64" s="5">
        <f t="shared" si="6"/>
        <v>1567.3076923076924</v>
      </c>
      <c r="AN64" s="5">
        <v>168000</v>
      </c>
      <c r="AO64" s="6">
        <f>Table1[[#This Row],[2019 U.S. Sales ($000)]]/SUMIF($E:$E, E64, $AN:$AN)</f>
        <v>4.7077166481393734E-2</v>
      </c>
      <c r="AP64" s="5">
        <v>89</v>
      </c>
      <c r="AQ64" s="5">
        <f t="shared" si="7"/>
        <v>1887.6404494382023</v>
      </c>
    </row>
    <row r="65" spans="1:43" x14ac:dyDescent="0.25">
      <c r="A65" t="s">
        <v>129</v>
      </c>
      <c r="B65">
        <v>9040</v>
      </c>
      <c r="C65" t="s">
        <v>44</v>
      </c>
      <c r="D65" t="s">
        <v>45</v>
      </c>
      <c r="E65" t="s">
        <v>112</v>
      </c>
      <c r="F65" s="5">
        <v>77</v>
      </c>
      <c r="G65" s="5">
        <v>850000</v>
      </c>
      <c r="H65" s="6">
        <f>Table1[[#This Row],[2024 U.S. Sales ($000)]]/SUMIF($E:$E, E65, $G:$G)</f>
        <v>0.10353227771010962</v>
      </c>
      <c r="I65" s="5">
        <v>660</v>
      </c>
      <c r="J65" s="5">
        <f>Table1[[#This Row],[2024 U.S. Sales ($000)]]/Table1[[#This Row],[2024 U.S. Units]]</f>
        <v>1287.878787878788</v>
      </c>
      <c r="K65" s="6">
        <f>Table1[[#This Row],[2024 U.S. Units]]/Table1[[#This Row],[2023 U.S. Units]]-1</f>
        <v>0.18067978533094808</v>
      </c>
      <c r="L65" s="8">
        <f>(Table1[[#This Row],[2024 Market share (%)]]-Table1[[#This Row],[2023 Market share (%)]])*10000</f>
        <v>157.53311527367197</v>
      </c>
      <c r="M65" s="6">
        <f>_xlfn.RRI(5,Table1[[#This Row],[2019 U.S. Sales ($000)]],Table1[[#This Row],[2024 U.S. Sales ($000)]])</f>
        <v>0.16718039836208876</v>
      </c>
      <c r="N65" s="9">
        <f>(Table1[[#This Row],[2024 Market share (%)]]-Table1[[#This Row],[2019 Market share (%)]])*10000</f>
        <v>227.37457638156101</v>
      </c>
      <c r="O65" s="6">
        <f>IF(Table1[[#This Row],[2024 AUV]]=0,"",_xlfn.RRI(5,Table1[[#This Row],[2019 AUV]],Table1[[#This Row],[2024 AUV]]))</f>
        <v>1.6704620028455075E-2</v>
      </c>
      <c r="P65" s="6">
        <f>_xlfn.RRI(5,Table1[[#This Row],[2019 U.S. Units]],Table1[[#This Row],[2024 U.S. Units]])</f>
        <v>0.14800343715308584</v>
      </c>
      <c r="Q65" s="5">
        <v>726400</v>
      </c>
      <c r="R65" s="6">
        <f>Table1[[#This Row],[2023 U.S. Sales ($000)]]/SUMIF($E:$E, E65, $Q:$Q)</f>
        <v>8.7778966182742418E-2</v>
      </c>
      <c r="S65" s="8">
        <f>(Table1[[#This Row],[2023 Market share (%)]]-Table1[[#This Row],[2022 Market share (%)]])*10000</f>
        <v>52.498211730322708</v>
      </c>
      <c r="T65" s="10">
        <v>0.19257921523559349</v>
      </c>
      <c r="U65" s="5">
        <v>559</v>
      </c>
      <c r="V65" s="5">
        <f t="shared" si="0"/>
        <v>1299.4633273703041</v>
      </c>
      <c r="W65" s="10">
        <v>0.17684210526315788</v>
      </c>
      <c r="X65" s="10">
        <f t="shared" si="1"/>
        <v>0.16643813330313262</v>
      </c>
      <c r="Y65" s="8">
        <f>(Table1[[#This Row],[2023 Market share (%)]]-Table1[[#This Row],[2019 Market share (%)]])*10000</f>
        <v>69.841461107889018</v>
      </c>
      <c r="Z65" s="10">
        <f t="shared" si="2"/>
        <v>2.3212308322782871E-2</v>
      </c>
      <c r="AA65" s="10">
        <f t="shared" si="3"/>
        <v>0.13997664396269927</v>
      </c>
      <c r="AB65" s="5">
        <v>609100</v>
      </c>
      <c r="AC65" s="6">
        <f>Table1[[#This Row],[2022 U.S. Sales ($000)]]/SUMIF($E:$E, E65, $AB:$AB)</f>
        <v>8.2529145009710148E-2</v>
      </c>
      <c r="AD65" s="5">
        <v>475</v>
      </c>
      <c r="AE65" s="5">
        <f t="shared" si="4"/>
        <v>1282.3157894736842</v>
      </c>
      <c r="AF65" s="5">
        <v>544000</v>
      </c>
      <c r="AG65" s="6">
        <f>Table1[[#This Row],[2021 U.S. Sales ($000)]]/SUMIF($E:$E, E65, $AF:$AF)</f>
        <v>8.6958189735097224E-2</v>
      </c>
      <c r="AH65" s="5">
        <v>424</v>
      </c>
      <c r="AI65" s="12">
        <f t="shared" si="5"/>
        <v>1283.0188679245282</v>
      </c>
      <c r="AJ65" s="5">
        <v>427700</v>
      </c>
      <c r="AK65" s="6">
        <f>Table1[[#This Row],[2020 U.S. Sales ($000)]]/SUMIF($E:$E, E65, $AJ:$AJ)</f>
        <v>9.2669188978844907E-2</v>
      </c>
      <c r="AL65" s="5">
        <v>376</v>
      </c>
      <c r="AM65" s="5">
        <f t="shared" si="6"/>
        <v>1137.5</v>
      </c>
      <c r="AN65" s="5">
        <v>392400</v>
      </c>
      <c r="AO65" s="6">
        <f>Table1[[#This Row],[2019 U.S. Sales ($000)]]/SUMIF($E:$E, E65, $AN:$AN)</f>
        <v>8.0794820071953516E-2</v>
      </c>
      <c r="AP65" s="5">
        <v>331</v>
      </c>
      <c r="AQ65" s="5">
        <f t="shared" si="7"/>
        <v>1185.4984894259819</v>
      </c>
    </row>
    <row r="66" spans="1:43" x14ac:dyDescent="0.25">
      <c r="A66" t="s">
        <v>130</v>
      </c>
      <c r="B66">
        <v>2217</v>
      </c>
      <c r="C66" t="s">
        <v>68</v>
      </c>
      <c r="D66" t="s">
        <v>69</v>
      </c>
      <c r="E66" t="s">
        <v>79</v>
      </c>
      <c r="F66" s="5">
        <v>65</v>
      </c>
      <c r="G66" s="5">
        <v>848000</v>
      </c>
      <c r="H66" s="6">
        <f>Table1[[#This Row],[2024 U.S. Sales ($000)]]/SUMIF($E:$E, E66, $G:$G)</f>
        <v>4.0767270804288255E-2</v>
      </c>
      <c r="I66" s="5">
        <v>88</v>
      </c>
      <c r="J66" s="5">
        <f>Table1[[#This Row],[2024 U.S. Sales ($000)]]/Table1[[#This Row],[2024 U.S. Units]]</f>
        <v>9636.363636363636</v>
      </c>
      <c r="K66" s="6">
        <f>Table1[[#This Row],[2024 U.S. Units]]/Table1[[#This Row],[2023 U.S. Units]]-1</f>
        <v>2.3255813953488413E-2</v>
      </c>
      <c r="L66" s="8">
        <f>(Table1[[#This Row],[2024 Market share (%)]]-Table1[[#This Row],[2023 Market share (%)]])*10000</f>
        <v>70.645562724156449</v>
      </c>
      <c r="M66" s="6">
        <f>_xlfn.RRI(5,Table1[[#This Row],[2019 U.S. Sales ($000)]],Table1[[#This Row],[2024 U.S. Sales ($000)]])</f>
        <v>6.8278353688437932E-2</v>
      </c>
      <c r="N66" s="9">
        <f>(Table1[[#This Row],[2024 Market share (%)]]-Table1[[#This Row],[2019 Market share (%)]])*10000</f>
        <v>140.77969391388604</v>
      </c>
      <c r="O66" s="6">
        <f>IF(Table1[[#This Row],[2024 AUV]]=0,"",_xlfn.RRI(5,Table1[[#This Row],[2019 AUV]],Table1[[#This Row],[2024 AUV]]))</f>
        <v>4.5474181785500223E-2</v>
      </c>
      <c r="P66" s="6">
        <f>_xlfn.RRI(5,Table1[[#This Row],[2019 U.S. Units]],Table1[[#This Row],[2024 U.S. Units]])</f>
        <v>2.1812276477255477E-2</v>
      </c>
      <c r="Q66" s="5">
        <v>813000</v>
      </c>
      <c r="R66" s="6">
        <f>Table1[[#This Row],[2023 U.S. Sales ($000)]]/SUMIF($E:$E, E66, $Q:$Q)</f>
        <v>3.370271453187261E-2</v>
      </c>
      <c r="S66" s="8">
        <f>(Table1[[#This Row],[2023 Market share (%)]]-Table1[[#This Row],[2022 Market share (%)]])*10000</f>
        <v>30.012703010673171</v>
      </c>
      <c r="T66" s="10">
        <v>0.12603878116343489</v>
      </c>
      <c r="U66" s="5">
        <v>86</v>
      </c>
      <c r="V66" s="5">
        <f t="shared" ref="V66:V129" si="8">Q66/U66</f>
        <v>9453.4883720930229</v>
      </c>
      <c r="W66" s="10">
        <v>1.1764705882352941E-2</v>
      </c>
      <c r="X66" s="10">
        <f t="shared" ref="X66:X129" si="9">_xlfn.RRI(4,AN66,Q66)</f>
        <v>7.4680104576496431E-2</v>
      </c>
      <c r="Y66" s="8">
        <f>(Table1[[#This Row],[2023 Market share (%)]]-Table1[[#This Row],[2019 Market share (%)]])*10000</f>
        <v>70.134131189729601</v>
      </c>
      <c r="Z66" s="10">
        <f t="shared" ref="Z66:Z129" si="10">_xlfn.RRI(4,AQ66,V66)</f>
        <v>5.2110534075518355E-2</v>
      </c>
      <c r="AA66" s="10">
        <f t="shared" ref="AA66:AA129" si="11">_xlfn.RRI(4,AP66,U66)</f>
        <v>2.1451710414448044E-2</v>
      </c>
      <c r="AB66" s="5">
        <v>722000</v>
      </c>
      <c r="AC66" s="6">
        <f>Table1[[#This Row],[2022 U.S. Sales ($000)]]/SUMIF($E:$E, E66, $AB:$AB)</f>
        <v>3.0701444230805293E-2</v>
      </c>
      <c r="AD66" s="5">
        <v>85</v>
      </c>
      <c r="AE66" s="5">
        <f t="shared" ref="AE66:AE129" si="12">AB66/AD66</f>
        <v>8494.1176470588234</v>
      </c>
      <c r="AF66" s="5">
        <v>575200</v>
      </c>
      <c r="AG66" s="6">
        <f>Table1[[#This Row],[2021 U.S. Sales ($000)]]/SUMIF($E:$E, E66, $AF:$AF)</f>
        <v>2.6482376581512843E-2</v>
      </c>
      <c r="AH66" s="5">
        <v>81</v>
      </c>
      <c r="AI66" s="12">
        <f t="shared" ref="AI66:AI129" si="13">AF66/AH66</f>
        <v>7101.2345679012342</v>
      </c>
      <c r="AJ66" s="5">
        <v>420000</v>
      </c>
      <c r="AK66" s="6">
        <f>Table1[[#This Row],[2020 U.S. Sales ($000)]]/SUMIF($E:$E, E66, $AJ:$AJ)</f>
        <v>2.5756920777292355E-2</v>
      </c>
      <c r="AL66" s="5">
        <v>81</v>
      </c>
      <c r="AM66" s="5">
        <f t="shared" ref="AM66:AM129" si="14">AJ66/AL66</f>
        <v>5185.1851851851852</v>
      </c>
      <c r="AN66" s="5">
        <v>609500</v>
      </c>
      <c r="AO66" s="6">
        <f>Table1[[#This Row],[2019 U.S. Sales ($000)]]/SUMIF($E:$E, E66, $AN:$AN)</f>
        <v>2.6689301412899651E-2</v>
      </c>
      <c r="AP66" s="5">
        <v>79</v>
      </c>
      <c r="AQ66" s="5">
        <f t="shared" ref="AQ66:AQ129" si="15">AN66/AP66</f>
        <v>7715.1898734177212</v>
      </c>
    </row>
    <row r="67" spans="1:43" x14ac:dyDescent="0.25">
      <c r="A67" t="s">
        <v>131</v>
      </c>
      <c r="B67">
        <v>484</v>
      </c>
      <c r="C67" t="s">
        <v>44</v>
      </c>
      <c r="D67" t="s">
        <v>45</v>
      </c>
      <c r="E67" t="s">
        <v>50</v>
      </c>
      <c r="F67" s="5">
        <v>66</v>
      </c>
      <c r="G67" s="5">
        <v>847000</v>
      </c>
      <c r="H67" s="6">
        <f>Table1[[#This Row],[2024 U.S. Sales ($000)]]/SUMIF($E:$E, E67, $G:$G)</f>
        <v>1.612534744697864E-2</v>
      </c>
      <c r="I67" s="5">
        <v>761</v>
      </c>
      <c r="J67" s="5">
        <f>Table1[[#This Row],[2024 U.S. Sales ($000)]]/Table1[[#This Row],[2024 U.S. Units]]</f>
        <v>1113.0091984231274</v>
      </c>
      <c r="K67" s="6">
        <f>Table1[[#This Row],[2024 U.S. Units]]/Table1[[#This Row],[2023 U.S. Units]]-1</f>
        <v>-5.4658385093167672E-2</v>
      </c>
      <c r="L67" s="8">
        <f>(Table1[[#This Row],[2024 Market share (%)]]-Table1[[#This Row],[2023 Market share (%)]])*10000</f>
        <v>-2.6821063991878598</v>
      </c>
      <c r="M67" s="6">
        <f>_xlfn.RRI(5,Table1[[#This Row],[2019 U.S. Sales ($000)]],Table1[[#This Row],[2024 U.S. Sales ($000)]])</f>
        <v>-7.7729037559908232E-3</v>
      </c>
      <c r="N67" s="9">
        <f>(Table1[[#This Row],[2024 Market share (%)]]-Table1[[#This Row],[2019 Market share (%)]])*10000</f>
        <v>-125.62276962017046</v>
      </c>
      <c r="O67" s="6">
        <f>IF(Table1[[#This Row],[2024 AUV]]=0,"",_xlfn.RRI(5,Table1[[#This Row],[2019 AUV]],Table1[[#This Row],[2024 AUV]]))</f>
        <v>5.8210365477660897E-2</v>
      </c>
      <c r="P67" s="6">
        <f>_xlfn.RRI(5,Table1[[#This Row],[2019 U.S. Units]],Table1[[#This Row],[2024 U.S. Units]])</f>
        <v>-6.2353641002058979E-2</v>
      </c>
      <c r="Q67" s="5">
        <v>803001</v>
      </c>
      <c r="R67" s="6">
        <f>Table1[[#This Row],[2023 U.S. Sales ($000)]]/SUMIF($E:$E, E67, $Q:$Q)</f>
        <v>1.6393558086897426E-2</v>
      </c>
      <c r="S67" s="8">
        <f>(Table1[[#This Row],[2023 Market share (%)]]-Table1[[#This Row],[2022 Market share (%)]])*10000</f>
        <v>-11.447101133422697</v>
      </c>
      <c r="T67" s="10">
        <v>4.936450146754031E-2</v>
      </c>
      <c r="U67" s="5">
        <v>805</v>
      </c>
      <c r="V67" s="5">
        <f t="shared" si="8"/>
        <v>997.51677018633541</v>
      </c>
      <c r="W67" s="10">
        <v>-0.14702702702702702</v>
      </c>
      <c r="X67" s="10">
        <f t="shared" si="9"/>
        <v>-2.2825731326116649E-2</v>
      </c>
      <c r="Y67" s="8">
        <f>(Table1[[#This Row],[2023 Market share (%)]]-Table1[[#This Row],[2019 Market share (%)]])*10000</f>
        <v>-122.9406632209826</v>
      </c>
      <c r="Z67" s="10">
        <f t="shared" si="10"/>
        <v>4.4288215450138724E-2</v>
      </c>
      <c r="AA67" s="10">
        <f t="shared" si="11"/>
        <v>-6.4267647363353553E-2</v>
      </c>
      <c r="AB67" s="5">
        <v>765226</v>
      </c>
      <c r="AC67" s="6">
        <f>Table1[[#This Row],[2022 U.S. Sales ($000)]]/SUMIF($E:$E, E67, $AB:$AB)</f>
        <v>1.7538268200239696E-2</v>
      </c>
      <c r="AD67" s="5">
        <v>990</v>
      </c>
      <c r="AE67" s="5">
        <f t="shared" si="12"/>
        <v>772.95555555555552</v>
      </c>
      <c r="AF67" s="5">
        <v>755000</v>
      </c>
      <c r="AG67" s="6">
        <f>Table1[[#This Row],[2021 U.S. Sales ($000)]]/SUMIF($E:$E, E67, $AF:$AF)</f>
        <v>1.9203931174433326E-2</v>
      </c>
      <c r="AH67" s="5">
        <v>998</v>
      </c>
      <c r="AI67" s="12">
        <f t="shared" si="13"/>
        <v>756.51302605210424</v>
      </c>
      <c r="AJ67" s="5">
        <v>769200</v>
      </c>
      <c r="AK67" s="6">
        <f>Table1[[#This Row],[2020 U.S. Sales ($000)]]/SUMIF($E:$E, E67, $AJ:$AJ)</f>
        <v>2.2744395134367126E-2</v>
      </c>
      <c r="AL67" s="5">
        <v>1015</v>
      </c>
      <c r="AM67" s="5">
        <f t="shared" si="14"/>
        <v>757.83251231527095</v>
      </c>
      <c r="AN67" s="5">
        <v>880700</v>
      </c>
      <c r="AO67" s="6">
        <f>Table1[[#This Row],[2019 U.S. Sales ($000)]]/SUMIF($E:$E, E67, $AN:$AN)</f>
        <v>2.8687624408995686E-2</v>
      </c>
      <c r="AP67" s="5">
        <v>1050</v>
      </c>
      <c r="AQ67" s="5">
        <f t="shared" si="15"/>
        <v>838.76190476190482</v>
      </c>
    </row>
    <row r="68" spans="1:43" x14ac:dyDescent="0.25">
      <c r="A68" t="s">
        <v>132</v>
      </c>
      <c r="B68">
        <v>606</v>
      </c>
      <c r="C68" t="s">
        <v>68</v>
      </c>
      <c r="D68" t="s">
        <v>133</v>
      </c>
      <c r="E68" t="s">
        <v>70</v>
      </c>
      <c r="F68" s="5">
        <v>64</v>
      </c>
      <c r="G68" s="5">
        <v>805000</v>
      </c>
      <c r="H68" s="6">
        <f>Table1[[#This Row],[2024 U.S. Sales ($000)]]/SUMIF($E:$E, E68, $G:$G)</f>
        <v>4.9587285943082419E-2</v>
      </c>
      <c r="I68" s="5">
        <v>133</v>
      </c>
      <c r="J68" s="5">
        <f>Table1[[#This Row],[2024 U.S. Sales ($000)]]/Table1[[#This Row],[2024 U.S. Units]]</f>
        <v>6052.6315789473683</v>
      </c>
      <c r="K68" s="6">
        <f>Table1[[#This Row],[2024 U.S. Units]]/Table1[[#This Row],[2023 U.S. Units]]-1</f>
        <v>7.575757575757569E-3</v>
      </c>
      <c r="L68" s="8">
        <f>(Table1[[#This Row],[2024 Market share (%)]]-Table1[[#This Row],[2023 Market share (%)]])*10000</f>
        <v>-26.514410304594172</v>
      </c>
      <c r="M68" s="6">
        <f>_xlfn.RRI(5,Table1[[#This Row],[2019 U.S. Sales ($000)]],Table1[[#This Row],[2024 U.S. Sales ($000)]])</f>
        <v>2.6778786295136747E-2</v>
      </c>
      <c r="N68" s="9">
        <f>(Table1[[#This Row],[2024 Market share (%)]]-Table1[[#This Row],[2019 Market share (%)]])*10000</f>
        <v>-66.665007705442179</v>
      </c>
      <c r="O68" s="6">
        <f>IF(Table1[[#This Row],[2024 AUV]]=0,"",_xlfn.RRI(5,Table1[[#This Row],[2019 AUV]],Table1[[#This Row],[2024 AUV]]))</f>
        <v>2.984843386709124E-2</v>
      </c>
      <c r="P68" s="6">
        <f>_xlfn.RRI(5,Table1[[#This Row],[2019 U.S. Units]],Table1[[#This Row],[2024 U.S. Units]])</f>
        <v>-2.9806789727570004E-3</v>
      </c>
      <c r="Q68" s="5">
        <v>834000</v>
      </c>
      <c r="R68" s="6">
        <f>Table1[[#This Row],[2023 U.S. Sales ($000)]]/SUMIF($E:$E, E68, $Q:$Q)</f>
        <v>5.2238726973541837E-2</v>
      </c>
      <c r="S68" s="8">
        <f>(Table1[[#This Row],[2023 Market share (%)]]-Table1[[#This Row],[2022 Market share (%)]])*10000</f>
        <v>-2.6740895604365766E-2</v>
      </c>
      <c r="T68" s="10">
        <v>9.1093199506522352E-2</v>
      </c>
      <c r="U68" s="5">
        <v>132</v>
      </c>
      <c r="V68" s="5">
        <f t="shared" si="8"/>
        <v>6318.181818181818</v>
      </c>
      <c r="W68" s="10">
        <v>3.125E-2</v>
      </c>
      <c r="X68" s="10">
        <f t="shared" si="9"/>
        <v>4.2770296670790353E-2</v>
      </c>
      <c r="Y68" s="8">
        <f>(Table1[[#This Row],[2023 Market share (%)]]-Table1[[#This Row],[2019 Market share (%)]])*10000</f>
        <v>-40.150597400848007</v>
      </c>
      <c r="Z68" s="10">
        <f t="shared" si="10"/>
        <v>4.8645291346977482E-2</v>
      </c>
      <c r="AA68" s="10">
        <f t="shared" si="11"/>
        <v>-5.602461313339524E-3</v>
      </c>
      <c r="AB68" s="5">
        <v>764371</v>
      </c>
      <c r="AC68" s="6">
        <f>Table1[[#This Row],[2022 U.S. Sales ($000)]]/SUMIF($E:$E, E68, $AB:$AB)</f>
        <v>5.2241401063102273E-2</v>
      </c>
      <c r="AD68" s="5">
        <v>128</v>
      </c>
      <c r="AE68" s="5">
        <f t="shared" si="12"/>
        <v>5971.6484375</v>
      </c>
      <c r="AF68" s="5">
        <v>651415</v>
      </c>
      <c r="AG68" s="6">
        <f>Table1[[#This Row],[2021 U.S. Sales ($000)]]/SUMIF($E:$E, E68, $AF:$AF)</f>
        <v>5.0118657844939643E-2</v>
      </c>
      <c r="AH68" s="5">
        <v>125</v>
      </c>
      <c r="AI68" s="12">
        <f t="shared" si="13"/>
        <v>5211.32</v>
      </c>
      <c r="AJ68" s="5">
        <v>414763</v>
      </c>
      <c r="AK68" s="6">
        <f>Table1[[#This Row],[2020 U.S. Sales ($000)]]/SUMIF($E:$E, E68, $AJ:$AJ)</f>
        <v>4.4163649222456643E-2</v>
      </c>
      <c r="AL68" s="5">
        <v>125</v>
      </c>
      <c r="AM68" s="5">
        <f t="shared" si="14"/>
        <v>3318.1039999999998</v>
      </c>
      <c r="AN68" s="5">
        <v>705361</v>
      </c>
      <c r="AO68" s="6">
        <f>Table1[[#This Row],[2019 U.S. Sales ($000)]]/SUMIF($E:$E, E68, $AN:$AN)</f>
        <v>5.6253786713626637E-2</v>
      </c>
      <c r="AP68" s="5">
        <v>135</v>
      </c>
      <c r="AQ68" s="5">
        <f t="shared" si="15"/>
        <v>5224.896296296296</v>
      </c>
    </row>
    <row r="69" spans="1:43" x14ac:dyDescent="0.25">
      <c r="A69" t="s">
        <v>134</v>
      </c>
      <c r="B69">
        <v>861</v>
      </c>
      <c r="C69" t="s">
        <v>44</v>
      </c>
      <c r="D69" t="s">
        <v>45</v>
      </c>
      <c r="E69" t="s">
        <v>112</v>
      </c>
      <c r="F69" s="5">
        <v>70</v>
      </c>
      <c r="G69" s="5">
        <v>786000</v>
      </c>
      <c r="H69" s="6">
        <f>Table1[[#This Row],[2024 U.S. Sales ($000)]]/SUMIF($E:$E, E69, $G:$G)</f>
        <v>9.5736906211936659E-2</v>
      </c>
      <c r="I69" s="5">
        <v>1221</v>
      </c>
      <c r="J69" s="5">
        <f>Table1[[#This Row],[2024 U.S. Sales ($000)]]/Table1[[#This Row],[2024 U.S. Units]]</f>
        <v>643.73464373464378</v>
      </c>
      <c r="K69" s="6">
        <f>Table1[[#This Row],[2024 U.S. Units]]/Table1[[#This Row],[2023 U.S. Units]]-1</f>
        <v>4.6272493573264795E-2</v>
      </c>
      <c r="L69" s="8">
        <f>(Table1[[#This Row],[2024 Market share (%)]]-Table1[[#This Row],[2023 Market share (%)]])*10000</f>
        <v>36.798029975758098</v>
      </c>
      <c r="M69" s="6">
        <f>_xlfn.RRI(5,Table1[[#This Row],[2019 U.S. Sales ($000)]],Table1[[#This Row],[2024 U.S. Sales ($000)]])</f>
        <v>6.9024387964829126E-2</v>
      </c>
      <c r="N69" s="9">
        <f>(Table1[[#This Row],[2024 Market share (%)]]-Table1[[#This Row],[2019 Market share (%)]])*10000</f>
        <v>-201.77923199601557</v>
      </c>
      <c r="O69" s="6">
        <f>IF(Table1[[#This Row],[2024 AUV]]=0,"",_xlfn.RRI(5,Table1[[#This Row],[2019 AUV]],Table1[[#This Row],[2024 AUV]]))</f>
        <v>6.7267559424103007E-2</v>
      </c>
      <c r="P69" s="6">
        <f>_xlfn.RRI(5,Table1[[#This Row],[2019 U.S. Units]],Table1[[#This Row],[2024 U.S. Units]])</f>
        <v>1.646099448271654E-3</v>
      </c>
      <c r="Q69" s="5">
        <v>761803</v>
      </c>
      <c r="R69" s="6">
        <f>Table1[[#This Row],[2023 U.S. Sales ($000)]]/SUMIF($E:$E, E69, $Q:$Q)</f>
        <v>9.205710321436085E-2</v>
      </c>
      <c r="S69" s="8">
        <f>(Table1[[#This Row],[2023 Market share (%)]]-Table1[[#This Row],[2022 Market share (%)]])*10000</f>
        <v>17.056423292598211</v>
      </c>
      <c r="T69" s="10">
        <v>0.14242117954747222</v>
      </c>
      <c r="U69" s="5">
        <v>1167</v>
      </c>
      <c r="V69" s="5">
        <f t="shared" si="8"/>
        <v>652.78748928877462</v>
      </c>
      <c r="W69" s="10">
        <v>1.832460732984293E-2</v>
      </c>
      <c r="X69" s="10">
        <f t="shared" si="9"/>
        <v>7.8548177733915203E-2</v>
      </c>
      <c r="Y69" s="8">
        <f>(Table1[[#This Row],[2023 Market share (%)]]-Table1[[#This Row],[2019 Market share (%)]])*10000</f>
        <v>-238.57726197177368</v>
      </c>
      <c r="Z69" s="10">
        <f t="shared" si="10"/>
        <v>8.8573784328287442E-2</v>
      </c>
      <c r="AA69" s="10">
        <f t="shared" si="11"/>
        <v>-9.2098548933535751E-3</v>
      </c>
      <c r="AB69" s="5">
        <v>666832</v>
      </c>
      <c r="AC69" s="6">
        <f>Table1[[#This Row],[2022 U.S. Sales ($000)]]/SUMIF($E:$E, E69, $AB:$AB)</f>
        <v>9.0351460885101029E-2</v>
      </c>
      <c r="AD69" s="5">
        <v>1146</v>
      </c>
      <c r="AE69" s="5">
        <f t="shared" si="12"/>
        <v>581.87783595113433</v>
      </c>
      <c r="AF69" s="5">
        <v>575601</v>
      </c>
      <c r="AG69" s="6">
        <f>Table1[[#This Row],[2021 U.S. Sales ($000)]]/SUMIF($E:$E, E69, $AF:$AF)</f>
        <v>9.2009597370793561E-2</v>
      </c>
      <c r="AH69" s="5">
        <v>1138</v>
      </c>
      <c r="AI69" s="12">
        <f t="shared" si="13"/>
        <v>505.80052724077331</v>
      </c>
      <c r="AJ69" s="5">
        <v>349620</v>
      </c>
      <c r="AK69" s="6">
        <f>Table1[[#This Row],[2020 U.S. Sales ($000)]]/SUMIF($E:$E, E69, $AJ:$AJ)</f>
        <v>7.5751699440691503E-2</v>
      </c>
      <c r="AL69" s="5">
        <v>1152</v>
      </c>
      <c r="AM69" s="5">
        <f t="shared" si="14"/>
        <v>303.48958333333331</v>
      </c>
      <c r="AN69" s="5">
        <v>562969</v>
      </c>
      <c r="AO69" s="6">
        <f>Table1[[#This Row],[2019 U.S. Sales ($000)]]/SUMIF($E:$E, E69, $AN:$AN)</f>
        <v>0.11591482941153822</v>
      </c>
      <c r="AP69" s="5">
        <v>1211</v>
      </c>
      <c r="AQ69" s="5">
        <f t="shared" si="15"/>
        <v>464.87943848059456</v>
      </c>
    </row>
    <row r="70" spans="1:43" x14ac:dyDescent="0.25">
      <c r="A70" t="s">
        <v>135</v>
      </c>
      <c r="B70">
        <v>1024</v>
      </c>
      <c r="C70" t="s">
        <v>44</v>
      </c>
      <c r="D70" t="s">
        <v>45</v>
      </c>
      <c r="E70" t="s">
        <v>48</v>
      </c>
      <c r="F70" s="5">
        <v>73</v>
      </c>
      <c r="G70" s="5">
        <v>776000</v>
      </c>
      <c r="H70" s="6">
        <f>Table1[[#This Row],[2024 U.S. Sales ($000)]]/SUMIF($E:$E, E70, $G:$G)</f>
        <v>1.5356904757268289E-2</v>
      </c>
      <c r="I70" s="5">
        <v>653</v>
      </c>
      <c r="J70" s="5">
        <f>Table1[[#This Row],[2024 U.S. Sales ($000)]]/Table1[[#This Row],[2024 U.S. Units]]</f>
        <v>1188.3614088820827</v>
      </c>
      <c r="K70" s="6">
        <f>Table1[[#This Row],[2024 U.S. Units]]/Table1[[#This Row],[2023 U.S. Units]]-1</f>
        <v>1.7133956386292892E-2</v>
      </c>
      <c r="L70" s="8">
        <f>(Table1[[#This Row],[2024 Market share (%)]]-Table1[[#This Row],[2023 Market share (%)]])*10000</f>
        <v>0.37751724069869097</v>
      </c>
      <c r="M70" s="6">
        <f>_xlfn.RRI(5,Table1[[#This Row],[2019 U.S. Sales ($000)]],Table1[[#This Row],[2024 U.S. Sales ($000)]])</f>
        <v>1.7306806828286003E-2</v>
      </c>
      <c r="N70" s="9">
        <f>(Table1[[#This Row],[2024 Market share (%)]]-Table1[[#This Row],[2019 Market share (%)]])*10000</f>
        <v>-50.000176625060853</v>
      </c>
      <c r="O70" s="6">
        <f>IF(Table1[[#This Row],[2024 AUV]]=0,"",_xlfn.RRI(5,Table1[[#This Row],[2019 AUV]],Table1[[#This Row],[2024 AUV]]))</f>
        <v>1.8239832065976902E-2</v>
      </c>
      <c r="P70" s="6">
        <f>_xlfn.RRI(5,Table1[[#This Row],[2019 U.S. Units]],Table1[[#This Row],[2024 U.S. Units]])</f>
        <v>-9.1631186318641422E-4</v>
      </c>
      <c r="Q70" s="5">
        <v>751000</v>
      </c>
      <c r="R70" s="6">
        <f>Table1[[#This Row],[2023 U.S. Sales ($000)]]/SUMIF($E:$E, E70, $Q:$Q)</f>
        <v>1.531915303319842E-2</v>
      </c>
      <c r="S70" s="8">
        <f>(Table1[[#This Row],[2023 Market share (%)]]-Table1[[#This Row],[2022 Market share (%)]])*10000</f>
        <v>-5.9400882888423734</v>
      </c>
      <c r="T70" s="10">
        <v>7.2550699800057128E-2</v>
      </c>
      <c r="U70" s="5">
        <v>642</v>
      </c>
      <c r="V70" s="5">
        <f t="shared" si="8"/>
        <v>1169.7819314641745</v>
      </c>
      <c r="W70" s="10">
        <v>9.433962264150943E-3</v>
      </c>
      <c r="X70" s="10">
        <f t="shared" si="9"/>
        <v>1.3350046864326615E-2</v>
      </c>
      <c r="Y70" s="8">
        <f>(Table1[[#This Row],[2023 Market share (%)]]-Table1[[#This Row],[2019 Market share (%)]])*10000</f>
        <v>-50.377693865759547</v>
      </c>
      <c r="Z70" s="10">
        <f t="shared" si="10"/>
        <v>1.8829930155619623E-2</v>
      </c>
      <c r="AA70" s="10">
        <f t="shared" si="11"/>
        <v>-5.3786045434059959E-3</v>
      </c>
      <c r="AB70" s="5">
        <v>700200</v>
      </c>
      <c r="AC70" s="6">
        <f>Table1[[#This Row],[2022 U.S. Sales ($000)]]/SUMIF($E:$E, E70, $AB:$AB)</f>
        <v>1.5913161862082657E-2</v>
      </c>
      <c r="AD70" s="5">
        <v>636</v>
      </c>
      <c r="AE70" s="5">
        <f t="shared" si="12"/>
        <v>1100.9433962264152</v>
      </c>
      <c r="AF70" s="5">
        <v>631800</v>
      </c>
      <c r="AG70" s="6">
        <f>Table1[[#This Row],[2021 U.S. Sales ($000)]]/SUMIF($E:$E, E70, $AF:$AF)</f>
        <v>1.6279272124317984E-2</v>
      </c>
      <c r="AH70" s="5">
        <v>637</v>
      </c>
      <c r="AI70" s="12">
        <f t="shared" si="13"/>
        <v>991.83673469387759</v>
      </c>
      <c r="AJ70" s="5">
        <v>557500</v>
      </c>
      <c r="AK70" s="6">
        <f>Table1[[#This Row],[2020 U.S. Sales ($000)]]/SUMIF($E:$E, E70, $AJ:$AJ)</f>
        <v>1.7978915166770967E-2</v>
      </c>
      <c r="AL70" s="5">
        <v>633</v>
      </c>
      <c r="AM70" s="5">
        <f t="shared" si="14"/>
        <v>880.7266982622433</v>
      </c>
      <c r="AN70" s="5">
        <v>712200</v>
      </c>
      <c r="AO70" s="6">
        <f>Table1[[#This Row],[2019 U.S. Sales ($000)]]/SUMIF($E:$E, E70, $AN:$AN)</f>
        <v>2.0356922419774374E-2</v>
      </c>
      <c r="AP70" s="5">
        <v>656</v>
      </c>
      <c r="AQ70" s="5">
        <f t="shared" si="15"/>
        <v>1085.6707317073171</v>
      </c>
    </row>
    <row r="71" spans="1:43" x14ac:dyDescent="0.25">
      <c r="A71" t="s">
        <v>136</v>
      </c>
      <c r="B71">
        <v>2504</v>
      </c>
      <c r="C71" t="s">
        <v>68</v>
      </c>
      <c r="D71" t="s">
        <v>69</v>
      </c>
      <c r="E71" t="s">
        <v>79</v>
      </c>
      <c r="F71" s="5">
        <v>72</v>
      </c>
      <c r="G71" s="5">
        <v>766000</v>
      </c>
      <c r="H71" s="6">
        <f>Table1[[#This Row],[2024 U.S. Sales ($000)]]/SUMIF($E:$E, E71, $G:$G)</f>
        <v>3.6825152636892455E-2</v>
      </c>
      <c r="I71" s="5">
        <v>184</v>
      </c>
      <c r="J71" s="5">
        <f>Table1[[#This Row],[2024 U.S. Sales ($000)]]/Table1[[#This Row],[2024 U.S. Units]]</f>
        <v>4163.04347826087</v>
      </c>
      <c r="K71" s="6">
        <f>Table1[[#This Row],[2024 U.S. Units]]/Table1[[#This Row],[2023 U.S. Units]]-1</f>
        <v>0</v>
      </c>
      <c r="L71" s="8">
        <f>(Table1[[#This Row],[2024 Market share (%)]]-Table1[[#This Row],[2023 Market share (%)]])*10000</f>
        <v>54.521952473214895</v>
      </c>
      <c r="M71" s="6">
        <f>_xlfn.RRI(5,Table1[[#This Row],[2019 U.S. Sales ($000)]],Table1[[#This Row],[2024 U.S. Sales ($000)]])</f>
        <v>6.0616946109535164E-3</v>
      </c>
      <c r="N71" s="9">
        <f>(Table1[[#This Row],[2024 Market share (%)]]-Table1[[#This Row],[2019 Market share (%)]])*10000</f>
        <v>42.812825629514883</v>
      </c>
      <c r="O71" s="6">
        <f>IF(Table1[[#This Row],[2024 AUV]]=0,"",_xlfn.RRI(5,Table1[[#This Row],[2019 AUV]],Table1[[#This Row],[2024 AUV]]))</f>
        <v>-3.9786245064274972E-3</v>
      </c>
      <c r="P71" s="6">
        <f>_xlfn.RRI(5,Table1[[#This Row],[2019 U.S. Units]],Table1[[#This Row],[2024 U.S. Units]])</f>
        <v>1.0080425344692667E-2</v>
      </c>
      <c r="Q71" s="5">
        <v>756800</v>
      </c>
      <c r="R71" s="6">
        <f>Table1[[#This Row],[2023 U.S. Sales ($000)]]/SUMIF($E:$E, E71, $Q:$Q)</f>
        <v>3.1372957389570966E-2</v>
      </c>
      <c r="S71" s="8">
        <f>(Table1[[#This Row],[2023 Market share (%)]]-Table1[[#This Row],[2022 Market share (%)]])*10000</f>
        <v>18.706554403566841</v>
      </c>
      <c r="T71" s="10">
        <v>9.0804266359181318E-2</v>
      </c>
      <c r="U71" s="5">
        <v>184</v>
      </c>
      <c r="V71" s="5">
        <f t="shared" si="8"/>
        <v>4113.04347826087</v>
      </c>
      <c r="W71" s="10">
        <v>4.5454545454545456E-2</v>
      </c>
      <c r="X71" s="10">
        <f t="shared" si="9"/>
        <v>4.5437492246303002E-3</v>
      </c>
      <c r="Y71" s="8">
        <f>(Table1[[#This Row],[2023 Market share (%)]]-Table1[[#This Row],[2019 Market share (%)]])*10000</f>
        <v>-11.709126843700012</v>
      </c>
      <c r="Z71" s="10">
        <f t="shared" si="10"/>
        <v>-7.9720417373002617E-3</v>
      </c>
      <c r="AA71" s="10">
        <f t="shared" si="11"/>
        <v>1.2616369183635623E-2</v>
      </c>
      <c r="AB71" s="5">
        <v>693800</v>
      </c>
      <c r="AC71" s="6">
        <f>Table1[[#This Row],[2022 U.S. Sales ($000)]]/SUMIF($E:$E, E71, $AB:$AB)</f>
        <v>2.9502301949214282E-2</v>
      </c>
      <c r="AD71" s="5">
        <v>176</v>
      </c>
      <c r="AE71" s="5">
        <f t="shared" si="12"/>
        <v>3942.0454545454545</v>
      </c>
      <c r="AF71" s="5">
        <v>647100</v>
      </c>
      <c r="AG71" s="6">
        <f>Table1[[#This Row],[2021 U.S. Sales ($000)]]/SUMIF($E:$E, E71, $AF:$AF)</f>
        <v>2.9792673654201948E-2</v>
      </c>
      <c r="AH71" s="5">
        <v>175</v>
      </c>
      <c r="AI71" s="12">
        <f t="shared" si="13"/>
        <v>3697.7142857142858</v>
      </c>
      <c r="AJ71" s="5">
        <v>495300</v>
      </c>
      <c r="AK71" s="6">
        <f>Table1[[#This Row],[2020 U.S. Sales ($000)]]/SUMIF($E:$E, E71, $AJ:$AJ)</f>
        <v>3.0374768716649771E-2</v>
      </c>
      <c r="AL71" s="5">
        <v>171</v>
      </c>
      <c r="AM71" s="5">
        <f t="shared" si="14"/>
        <v>2896.4912280701756</v>
      </c>
      <c r="AN71" s="5">
        <v>743200</v>
      </c>
      <c r="AO71" s="6">
        <f>Table1[[#This Row],[2019 U.S. Sales ($000)]]/SUMIF($E:$E, E71, $AN:$AN)</f>
        <v>3.2543870073940967E-2</v>
      </c>
      <c r="AP71" s="5">
        <v>175</v>
      </c>
      <c r="AQ71" s="5">
        <f t="shared" si="15"/>
        <v>4246.8571428571431</v>
      </c>
    </row>
    <row r="72" spans="1:43" x14ac:dyDescent="0.25">
      <c r="A72" t="s">
        <v>137</v>
      </c>
      <c r="B72">
        <v>1315</v>
      </c>
      <c r="C72" t="s">
        <v>44</v>
      </c>
      <c r="D72" t="s">
        <v>45</v>
      </c>
      <c r="E72" t="s">
        <v>112</v>
      </c>
      <c r="F72" s="5">
        <v>78</v>
      </c>
      <c r="G72" s="5">
        <v>763000</v>
      </c>
      <c r="H72" s="6">
        <f>Table1[[#This Row],[2024 U.S. Sales ($000)]]/SUMIF($E:$E, E72, $G:$G)</f>
        <v>9.2935444579780757E-2</v>
      </c>
      <c r="I72" s="5">
        <v>1201</v>
      </c>
      <c r="J72" s="5">
        <f>Table1[[#This Row],[2024 U.S. Sales ($000)]]/Table1[[#This Row],[2024 U.S. Units]]</f>
        <v>635.30391340549545</v>
      </c>
      <c r="K72" s="6">
        <f>Table1[[#This Row],[2024 U.S. Units]]/Table1[[#This Row],[2023 U.S. Units]]-1</f>
        <v>4.2534722222222321E-2</v>
      </c>
      <c r="L72" s="8">
        <f>(Table1[[#This Row],[2024 Market share (%)]]-Table1[[#This Row],[2023 Market share (%)]])*10000</f>
        <v>57.365156185101988</v>
      </c>
      <c r="M72" s="6">
        <f>_xlfn.RRI(5,Table1[[#This Row],[2019 U.S. Sales ($000)]],Table1[[#This Row],[2024 U.S. Sales ($000)]])</f>
        <v>0.10575448635772577</v>
      </c>
      <c r="N72" s="9">
        <f>(Table1[[#This Row],[2024 Market share (%)]]-Table1[[#This Row],[2019 Market share (%)]])*10000</f>
        <v>-20.999772776888609</v>
      </c>
      <c r="O72" s="6">
        <f>IF(Table1[[#This Row],[2024 AUV]]=0,"",_xlfn.RRI(5,Table1[[#This Row],[2019 AUV]],Table1[[#This Row],[2024 AUV]]))</f>
        <v>5.9945075836121742E-2</v>
      </c>
      <c r="P72" s="6">
        <f>_xlfn.RRI(5,Table1[[#This Row],[2019 U.S. Units]],Table1[[#This Row],[2024 U.S. Units]])</f>
        <v>4.3218664406236451E-2</v>
      </c>
      <c r="Q72" s="5">
        <v>721600</v>
      </c>
      <c r="R72" s="6">
        <f>Table1[[#This Row],[2023 U.S. Sales ($000)]]/SUMIF($E:$E, E72, $Q:$Q)</f>
        <v>8.7198928961270558E-2</v>
      </c>
      <c r="S72" s="8">
        <f>(Table1[[#This Row],[2023 Market share (%)]]-Table1[[#This Row],[2022 Market share (%)]])*10000</f>
        <v>32.741999857091308</v>
      </c>
      <c r="T72" s="10">
        <v>0.16499838553438811</v>
      </c>
      <c r="U72" s="5">
        <v>1152</v>
      </c>
      <c r="V72" s="5">
        <f t="shared" si="8"/>
        <v>626.38888888888891</v>
      </c>
      <c r="W72" s="10">
        <v>4.4424297370806894E-2</v>
      </c>
      <c r="X72" s="10">
        <f t="shared" si="9"/>
        <v>0.11819200889744885</v>
      </c>
      <c r="Y72" s="8">
        <f>(Table1[[#This Row],[2023 Market share (%)]]-Table1[[#This Row],[2019 Market share (%)]])*10000</f>
        <v>-78.3649289619906</v>
      </c>
      <c r="Z72" s="10">
        <f t="shared" si="10"/>
        <v>7.1691609962467373E-2</v>
      </c>
      <c r="AA72" s="10">
        <f t="shared" si="11"/>
        <v>4.3389720048858216E-2</v>
      </c>
      <c r="AB72" s="5">
        <v>619400</v>
      </c>
      <c r="AC72" s="6">
        <f>Table1[[#This Row],[2022 U.S. Sales ($000)]]/SUMIF($E:$E, E72, $AB:$AB)</f>
        <v>8.3924728975561427E-2</v>
      </c>
      <c r="AD72" s="5">
        <v>1103</v>
      </c>
      <c r="AE72" s="5">
        <f t="shared" si="12"/>
        <v>561.5593834995467</v>
      </c>
      <c r="AF72" s="5">
        <v>600100</v>
      </c>
      <c r="AG72" s="6">
        <f>Table1[[#This Row],[2021 U.S. Sales ($000)]]/SUMIF($E:$E, E72, $AF:$AF)</f>
        <v>9.5925753051529117E-2</v>
      </c>
      <c r="AH72" s="5">
        <v>1053</v>
      </c>
      <c r="AI72" s="12">
        <f t="shared" si="13"/>
        <v>569.89553656220323</v>
      </c>
      <c r="AJ72" s="5">
        <v>483200</v>
      </c>
      <c r="AK72" s="6">
        <f>Table1[[#This Row],[2020 U.S. Sales ($000)]]/SUMIF($E:$E, E72, $AJ:$AJ)</f>
        <v>0.10469430001070343</v>
      </c>
      <c r="AL72" s="5">
        <v>1007</v>
      </c>
      <c r="AM72" s="5">
        <f t="shared" si="14"/>
        <v>479.84111221449854</v>
      </c>
      <c r="AN72" s="5">
        <v>461563</v>
      </c>
      <c r="AO72" s="6">
        <f>Table1[[#This Row],[2019 U.S. Sales ($000)]]/SUMIF($E:$E, E72, $AN:$AN)</f>
        <v>9.5035421857469618E-2</v>
      </c>
      <c r="AP72" s="5">
        <v>972</v>
      </c>
      <c r="AQ72" s="5">
        <f t="shared" si="15"/>
        <v>474.8590534979424</v>
      </c>
    </row>
    <row r="73" spans="1:43" x14ac:dyDescent="0.25">
      <c r="A73" t="s">
        <v>138</v>
      </c>
      <c r="B73">
        <v>785</v>
      </c>
      <c r="C73" t="s">
        <v>68</v>
      </c>
      <c r="D73" t="s">
        <v>92</v>
      </c>
      <c r="E73" t="s">
        <v>93</v>
      </c>
      <c r="F73" s="5">
        <v>68</v>
      </c>
      <c r="G73" s="5">
        <v>761000</v>
      </c>
      <c r="H73" s="6">
        <f>Table1[[#This Row],[2024 U.S. Sales ($000)]]/SUMIF($E:$E, E73, $G:$G)</f>
        <v>4.7352373841080209E-2</v>
      </c>
      <c r="I73" s="5">
        <v>430</v>
      </c>
      <c r="J73" s="5">
        <f>Table1[[#This Row],[2024 U.S. Sales ($000)]]/Table1[[#This Row],[2024 U.S. Units]]</f>
        <v>1769.7674418604652</v>
      </c>
      <c r="K73" s="6">
        <f>Table1[[#This Row],[2024 U.S. Units]]/Table1[[#This Row],[2023 U.S. Units]]-1</f>
        <v>-1.1494252873563204E-2</v>
      </c>
      <c r="L73" s="8">
        <f>(Table1[[#This Row],[2024 Market share (%)]]-Table1[[#This Row],[2023 Market share (%)]])*10000</f>
        <v>26.416552809603935</v>
      </c>
      <c r="M73" s="6">
        <f>_xlfn.RRI(5,Table1[[#This Row],[2019 U.S. Sales ($000)]],Table1[[#This Row],[2024 U.S. Sales ($000)]])</f>
        <v>-5.6897495135453946E-3</v>
      </c>
      <c r="N73" s="9">
        <f>(Table1[[#This Row],[2024 Market share (%)]]-Table1[[#This Row],[2019 Market share (%)]])*10000</f>
        <v>11.410410804036097</v>
      </c>
      <c r="O73" s="6">
        <f>IF(Table1[[#This Row],[2024 AUV]]=0,"",_xlfn.RRI(5,Table1[[#This Row],[2019 AUV]],Table1[[#This Row],[2024 AUV]]))</f>
        <v>1.6850814416447646E-2</v>
      </c>
      <c r="P73" s="6">
        <f>_xlfn.RRI(5,Table1[[#This Row],[2019 U.S. Units]],Table1[[#This Row],[2024 U.S. Units]])</f>
        <v>-2.2167031397746007E-2</v>
      </c>
      <c r="Q73" s="5">
        <v>782453</v>
      </c>
      <c r="R73" s="6">
        <f>Table1[[#This Row],[2023 U.S. Sales ($000)]]/SUMIF($E:$E, E73, $Q:$Q)</f>
        <v>4.4710718560119815E-2</v>
      </c>
      <c r="S73" s="8">
        <f>(Table1[[#This Row],[2023 Market share (%)]]-Table1[[#This Row],[2022 Market share (%)]])*10000</f>
        <v>-17.535313584760225</v>
      </c>
      <c r="T73" s="10">
        <v>1.9589012535508588E-2</v>
      </c>
      <c r="U73" s="5">
        <v>435</v>
      </c>
      <c r="V73" s="5">
        <f t="shared" si="8"/>
        <v>1798.7425287356323</v>
      </c>
      <c r="W73" s="10">
        <v>-6.8493150684931503E-3</v>
      </c>
      <c r="X73" s="10">
        <f t="shared" si="9"/>
        <v>-1.823559084946913E-4</v>
      </c>
      <c r="Y73" s="8">
        <f>(Table1[[#This Row],[2023 Market share (%)]]-Table1[[#This Row],[2019 Market share (%)]])*10000</f>
        <v>-15.006142005567838</v>
      </c>
      <c r="Z73" s="10">
        <f t="shared" si="10"/>
        <v>2.5261741155265804E-2</v>
      </c>
      <c r="AA73" s="10">
        <f t="shared" si="11"/>
        <v>-2.4817172086310402E-2</v>
      </c>
      <c r="AB73" s="5">
        <v>767420</v>
      </c>
      <c r="AC73" s="6">
        <f>Table1[[#This Row],[2022 U.S. Sales ($000)]]/SUMIF($E:$E, E73, $AB:$AB)</f>
        <v>4.6464249918595837E-2</v>
      </c>
      <c r="AD73" s="5">
        <v>438</v>
      </c>
      <c r="AE73" s="5">
        <f t="shared" si="12"/>
        <v>1752.1004566210045</v>
      </c>
      <c r="AF73" s="5">
        <v>749539</v>
      </c>
      <c r="AG73" s="6">
        <f>Table1[[#This Row],[2021 U.S. Sales ($000)]]/SUMIF($E:$E, E73, $AF:$AF)</f>
        <v>4.9646291065265212E-2</v>
      </c>
      <c r="AH73" s="5">
        <v>440</v>
      </c>
      <c r="AI73" s="12">
        <f t="shared" si="13"/>
        <v>1703.4977272727272</v>
      </c>
      <c r="AJ73" s="5">
        <v>583777</v>
      </c>
      <c r="AK73" s="6">
        <f>Table1[[#This Row],[2020 U.S. Sales ($000)]]/SUMIF($E:$E, E73, $AJ:$AJ)</f>
        <v>5.4702199071937539E-2</v>
      </c>
      <c r="AL73" s="5">
        <v>440</v>
      </c>
      <c r="AM73" s="5">
        <f t="shared" si="14"/>
        <v>1326.7659090909092</v>
      </c>
      <c r="AN73" s="5">
        <v>783024</v>
      </c>
      <c r="AO73" s="6">
        <f>Table1[[#This Row],[2019 U.S. Sales ($000)]]/SUMIF($E:$E, E73, $AN:$AN)</f>
        <v>4.6211332760676599E-2</v>
      </c>
      <c r="AP73" s="5">
        <v>481</v>
      </c>
      <c r="AQ73" s="5">
        <f t="shared" si="15"/>
        <v>1627.9085239085239</v>
      </c>
    </row>
    <row r="74" spans="1:43" x14ac:dyDescent="0.25">
      <c r="A74" t="s">
        <v>139</v>
      </c>
      <c r="B74">
        <v>541</v>
      </c>
      <c r="C74" t="s">
        <v>44</v>
      </c>
      <c r="D74" t="s">
        <v>45</v>
      </c>
      <c r="E74" t="s">
        <v>46</v>
      </c>
      <c r="F74" s="5">
        <v>74</v>
      </c>
      <c r="G74" s="5">
        <v>761000</v>
      </c>
      <c r="H74" s="6">
        <f>Table1[[#This Row],[2024 U.S. Sales ($000)]]/SUMIF($E:$E, E74, $G:$G)</f>
        <v>6.9020143515280442E-3</v>
      </c>
      <c r="I74" s="5">
        <v>406</v>
      </c>
      <c r="J74" s="7">
        <f>Table1[[#This Row],[2024 U.S. Sales ($000)]]/Table1[[#This Row],[2024 U.S. Units]]</f>
        <v>1874.384236453202</v>
      </c>
      <c r="K74" s="6">
        <f>Table1[[#This Row],[2024 U.S. Units]]/Table1[[#This Row],[2023 U.S. Units]]-1</f>
        <v>-6.8807339449541316E-2</v>
      </c>
      <c r="L74" s="8">
        <f>(Table1[[#This Row],[2024 Market share (%)]]-Table1[[#This Row],[2023 Market share (%)]])*10000</f>
        <v>1.3201717781005391</v>
      </c>
      <c r="M74" s="6">
        <f>_xlfn.RRI(5,Table1[[#This Row],[2019 U.S. Sales ($000)]],Table1[[#This Row],[2024 U.S. Sales ($000)]])</f>
        <v>-4.5794496788945427E-2</v>
      </c>
      <c r="N74" s="9">
        <f>(Table1[[#This Row],[2024 Market share (%)]]-Table1[[#This Row],[2019 Market share (%)]])*10000</f>
        <v>-42.182917551267884</v>
      </c>
      <c r="O74" s="6">
        <f>IF(Table1[[#This Row],[2024 AUV]]=0,"",_xlfn.RRI(5,Table1[[#This Row],[2019 AUV]],Table1[[#This Row],[2024 AUV]]))</f>
        <v>2.3698042561434818E-2</v>
      </c>
      <c r="P74" s="6">
        <f>_xlfn.RRI(5,Table1[[#This Row],[2019 U.S. Units]],Table1[[#This Row],[2024 U.S. Units]])</f>
        <v>-6.7883825562956246E-2</v>
      </c>
      <c r="Q74" s="5">
        <v>741200</v>
      </c>
      <c r="R74" s="6">
        <f>Table1[[#This Row],[2023 U.S. Sales ($000)]]/SUMIF($E:$E, E74, $Q:$Q)</f>
        <v>6.7699971737179903E-3</v>
      </c>
      <c r="S74" s="8">
        <f>(Table1[[#This Row],[2023 Market share (%)]]-Table1[[#This Row],[2022 Market share (%)]])*10000</f>
        <v>-13.017948933165451</v>
      </c>
      <c r="T74" s="10">
        <v>-0.10124893900812416</v>
      </c>
      <c r="U74" s="5">
        <v>436</v>
      </c>
      <c r="V74" s="5">
        <f t="shared" si="8"/>
        <v>1700</v>
      </c>
      <c r="W74" s="10">
        <v>-8.9770354906054284E-2</v>
      </c>
      <c r="X74" s="10">
        <f t="shared" si="9"/>
        <v>-6.3106804716181908E-2</v>
      </c>
      <c r="Y74" s="8">
        <f>(Table1[[#This Row],[2023 Market share (%)]]-Table1[[#This Row],[2019 Market share (%)]])*10000</f>
        <v>-43.503089329368422</v>
      </c>
      <c r="Z74" s="10">
        <f t="shared" si="10"/>
        <v>4.8758652581937234E-3</v>
      </c>
      <c r="AA74" s="10">
        <f t="shared" si="11"/>
        <v>-6.7652804017646617E-2</v>
      </c>
      <c r="AB74" s="5">
        <v>824700</v>
      </c>
      <c r="AC74" s="6">
        <f>Table1[[#This Row],[2022 U.S. Sales ($000)]]/SUMIF($E:$E, E74, $AB:$AB)</f>
        <v>8.0717920670345354E-3</v>
      </c>
      <c r="AD74" s="5">
        <v>479</v>
      </c>
      <c r="AE74" s="5">
        <f t="shared" si="12"/>
        <v>1721.7118997912316</v>
      </c>
      <c r="AF74" s="5">
        <v>829800</v>
      </c>
      <c r="AG74" s="6">
        <f>Table1[[#This Row],[2021 U.S. Sales ($000)]]/SUMIF($E:$E, E74, $AF:$AF)</f>
        <v>8.5288630168395396E-3</v>
      </c>
      <c r="AH74" s="5">
        <v>497</v>
      </c>
      <c r="AI74" s="12">
        <f t="shared" si="13"/>
        <v>1669.6177062374245</v>
      </c>
      <c r="AJ74" s="5">
        <v>765000</v>
      </c>
      <c r="AK74" s="6">
        <f>Table1[[#This Row],[2020 U.S. Sales ($000)]]/SUMIF($E:$E, E74, $AJ:$AJ)</f>
        <v>8.7545276786408586E-3</v>
      </c>
      <c r="AL74" s="5">
        <v>518</v>
      </c>
      <c r="AM74" s="5">
        <f t="shared" si="14"/>
        <v>1476.8339768339767</v>
      </c>
      <c r="AN74" s="5">
        <v>962000</v>
      </c>
      <c r="AO74" s="6">
        <f>Table1[[#This Row],[2019 U.S. Sales ($000)]]/SUMIF($E:$E, E74, $AN:$AN)</f>
        <v>1.1120306106654832E-2</v>
      </c>
      <c r="AP74" s="5">
        <v>577</v>
      </c>
      <c r="AQ74" s="5">
        <f t="shared" si="15"/>
        <v>1667.2443674176777</v>
      </c>
    </row>
    <row r="75" spans="1:43" x14ac:dyDescent="0.25">
      <c r="A75" t="s">
        <v>140</v>
      </c>
      <c r="B75">
        <v>1115</v>
      </c>
      <c r="C75" t="s">
        <v>44</v>
      </c>
      <c r="D75" t="s">
        <v>45</v>
      </c>
      <c r="E75" t="s">
        <v>112</v>
      </c>
      <c r="F75" s="5">
        <v>63</v>
      </c>
      <c r="G75" s="5">
        <v>748000</v>
      </c>
      <c r="H75" s="6">
        <f>Table1[[#This Row],[2024 U.S. Sales ($000)]]/SUMIF($E:$E, E75, $G:$G)</f>
        <v>9.1108404384896466E-2</v>
      </c>
      <c r="I75" s="5">
        <v>361</v>
      </c>
      <c r="J75" s="5">
        <f>Table1[[#This Row],[2024 U.S. Sales ($000)]]/Table1[[#This Row],[2024 U.S. Units]]</f>
        <v>2072.0221606648201</v>
      </c>
      <c r="K75" s="6">
        <f>Table1[[#This Row],[2024 U.S. Units]]/Table1[[#This Row],[2023 U.S. Units]]-1</f>
        <v>-2.7624309392265678E-3</v>
      </c>
      <c r="L75" s="8">
        <f>(Table1[[#This Row],[2024 Market share (%)]]-Table1[[#This Row],[2023 Market share (%)]])*10000</f>
        <v>-157.15117236172222</v>
      </c>
      <c r="M75" s="6">
        <f>_xlfn.RRI(5,Table1[[#This Row],[2019 U.S. Sales ($000)]],Table1[[#This Row],[2024 U.S. Sales ($000)]])</f>
        <v>4.3866270105830774E-2</v>
      </c>
      <c r="N75" s="9">
        <f>(Table1[[#This Row],[2024 Market share (%)]]-Table1[[#This Row],[2019 Market share (%)]])*10000</f>
        <v>-331.51722815470367</v>
      </c>
      <c r="O75" s="6">
        <f>IF(Table1[[#This Row],[2024 AUV]]=0,"",_xlfn.RRI(5,Table1[[#This Row],[2019 AUV]],Table1[[#This Row],[2024 AUV]]))</f>
        <v>4.3287308978540606E-2</v>
      </c>
      <c r="P75" s="6">
        <f>_xlfn.RRI(5,Table1[[#This Row],[2019 U.S. Units]],Table1[[#This Row],[2024 U.S. Units]])</f>
        <v>5.549392984152135E-4</v>
      </c>
      <c r="Q75" s="5">
        <v>884000</v>
      </c>
      <c r="R75" s="6">
        <f>Table1[[#This Row],[2023 U.S. Sales ($000)]]/SUMIF($E:$E, E75, $Q:$Q)</f>
        <v>0.10682352162106869</v>
      </c>
      <c r="S75" s="8">
        <f>(Table1[[#This Row],[2023 Market share (%)]]-Table1[[#This Row],[2022 Market share (%)]])*10000</f>
        <v>-54.193674382711357</v>
      </c>
      <c r="T75" s="10">
        <v>6.7117334620956065E-2</v>
      </c>
      <c r="U75" s="5">
        <v>362</v>
      </c>
      <c r="V75" s="5">
        <f t="shared" si="8"/>
        <v>2441.988950276243</v>
      </c>
      <c r="W75" s="10">
        <v>5.5555555555555558E-3</v>
      </c>
      <c r="X75" s="10">
        <f t="shared" si="9"/>
        <v>0.100129340896284</v>
      </c>
      <c r="Y75" s="8">
        <f>(Table1[[#This Row],[2023 Market share (%)]]-Table1[[#This Row],[2019 Market share (%)]])*10000</f>
        <v>-174.36605579298146</v>
      </c>
      <c r="Z75" s="10">
        <f t="shared" si="10"/>
        <v>9.8606666879522464E-2</v>
      </c>
      <c r="AA75" s="10">
        <f t="shared" si="11"/>
        <v>1.3860047118468E-3</v>
      </c>
      <c r="AB75" s="5">
        <v>828400</v>
      </c>
      <c r="AC75" s="6">
        <f>Table1[[#This Row],[2022 U.S. Sales ($000)]]/SUMIF($E:$E, E75, $AB:$AB)</f>
        <v>0.11224288905933982</v>
      </c>
      <c r="AD75" s="5">
        <v>360</v>
      </c>
      <c r="AE75" s="5">
        <f t="shared" si="12"/>
        <v>2301.1111111111113</v>
      </c>
      <c r="AF75" s="5">
        <v>766200</v>
      </c>
      <c r="AG75" s="6">
        <f>Table1[[#This Row],[2021 U.S. Sales ($000)]]/SUMIF($E:$E, E75, $AF:$AF)</f>
        <v>0.12247677385116083</v>
      </c>
      <c r="AH75" s="5">
        <v>363</v>
      </c>
      <c r="AI75" s="12">
        <f t="shared" si="13"/>
        <v>2110.7438016528927</v>
      </c>
      <c r="AJ75" s="5">
        <v>655000</v>
      </c>
      <c r="AK75" s="6">
        <f>Table1[[#This Row],[2020 U.S. Sales ($000)]]/SUMIF($E:$E, E75, $AJ:$AJ)</f>
        <v>0.14191797704265469</v>
      </c>
      <c r="AL75" s="5">
        <v>363</v>
      </c>
      <c r="AM75" s="5">
        <f t="shared" si="14"/>
        <v>1804.4077134986226</v>
      </c>
      <c r="AN75" s="5">
        <v>603500</v>
      </c>
      <c r="AO75" s="6">
        <f>Table1[[#This Row],[2019 U.S. Sales ($000)]]/SUMIF($E:$E, E75, $AN:$AN)</f>
        <v>0.12426012720036683</v>
      </c>
      <c r="AP75" s="5">
        <v>360</v>
      </c>
      <c r="AQ75" s="5">
        <f t="shared" si="15"/>
        <v>1676.3888888888889</v>
      </c>
    </row>
    <row r="76" spans="1:43" x14ac:dyDescent="0.25">
      <c r="A76" t="s">
        <v>141</v>
      </c>
      <c r="B76">
        <v>1749</v>
      </c>
      <c r="C76" t="s">
        <v>44</v>
      </c>
      <c r="D76" t="s">
        <v>56</v>
      </c>
      <c r="E76" t="s">
        <v>59</v>
      </c>
      <c r="F76" s="5">
        <v>86</v>
      </c>
      <c r="G76" s="5">
        <v>745000</v>
      </c>
      <c r="H76" s="6">
        <f>Table1[[#This Row],[2024 U.S. Sales ($000)]]/SUMIF($E:$E, E76, $G:$G)</f>
        <v>2.1332646107150015E-2</v>
      </c>
      <c r="I76" s="5">
        <v>813</v>
      </c>
      <c r="J76" s="5">
        <f>Table1[[#This Row],[2024 U.S. Sales ($000)]]/Table1[[#This Row],[2024 U.S. Units]]</f>
        <v>916.35916359163593</v>
      </c>
      <c r="K76" s="6">
        <f>Table1[[#This Row],[2024 U.S. Units]]/Table1[[#This Row],[2023 U.S. Units]]-1</f>
        <v>6.8331143232588598E-2</v>
      </c>
      <c r="L76" s="8">
        <f>(Table1[[#This Row],[2024 Market share (%)]]-Table1[[#This Row],[2023 Market share (%)]])*10000</f>
        <v>37.741701870959361</v>
      </c>
      <c r="M76" s="6">
        <f>_xlfn.RRI(5,Table1[[#This Row],[2019 U.S. Sales ($000)]],Table1[[#This Row],[2024 U.S. Sales ($000)]])</f>
        <v>0.10364392031862191</v>
      </c>
      <c r="N76" s="9">
        <f>(Table1[[#This Row],[2024 Market share (%)]]-Table1[[#This Row],[2019 Market share (%)]])*10000</f>
        <v>74.033264751240665</v>
      </c>
      <c r="O76" s="6">
        <f>IF(Table1[[#This Row],[2024 AUV]]=0,"",_xlfn.RRI(5,Table1[[#This Row],[2019 AUV]],Table1[[#This Row],[2024 AUV]]))</f>
        <v>2.0294005325506514E-2</v>
      </c>
      <c r="P76" s="6">
        <f>_xlfn.RRI(5,Table1[[#This Row],[2019 U.S. Units]],Table1[[#This Row],[2024 U.S. Units]])</f>
        <v>8.1692055974124766E-2</v>
      </c>
      <c r="Q76" s="5">
        <v>663200</v>
      </c>
      <c r="R76" s="6">
        <f>Table1[[#This Row],[2023 U.S. Sales ($000)]]/SUMIF($E:$E, E76, $Q:$Q)</f>
        <v>1.7558475920054079E-2</v>
      </c>
      <c r="S76" s="8">
        <f>(Table1[[#This Row],[2023 Market share (%)]]-Table1[[#This Row],[2022 Market share (%)]])*10000</f>
        <v>10.528471286524004</v>
      </c>
      <c r="T76" s="10">
        <v>0.12294485175841108</v>
      </c>
      <c r="U76" s="5">
        <v>761</v>
      </c>
      <c r="V76" s="5">
        <f t="shared" si="8"/>
        <v>871.48488830486201</v>
      </c>
      <c r="W76" s="10">
        <v>0.13075780089153047</v>
      </c>
      <c r="X76" s="10">
        <f t="shared" si="9"/>
        <v>9.8773762044502611E-2</v>
      </c>
      <c r="Y76" s="8">
        <f>(Table1[[#This Row],[2023 Market share (%)]]-Table1[[#This Row],[2019 Market share (%)]])*10000</f>
        <v>36.291562880281305</v>
      </c>
      <c r="Z76" s="10">
        <f t="shared" si="10"/>
        <v>1.2640288688147594E-2</v>
      </c>
      <c r="AA76" s="10">
        <f t="shared" si="11"/>
        <v>8.5058311740626724E-2</v>
      </c>
      <c r="AB76" s="5">
        <v>590590</v>
      </c>
      <c r="AC76" s="6">
        <f>Table1[[#This Row],[2022 U.S. Sales ($000)]]/SUMIF($E:$E, E76, $AB:$AB)</f>
        <v>1.6505628791401678E-2</v>
      </c>
      <c r="AD76" s="5">
        <v>673</v>
      </c>
      <c r="AE76" s="5">
        <f t="shared" si="12"/>
        <v>877.54829123328375</v>
      </c>
      <c r="AF76" s="5">
        <v>493367</v>
      </c>
      <c r="AG76" s="6">
        <f>Table1[[#This Row],[2021 U.S. Sales ($000)]]/SUMIF($E:$E, E76, $AF:$AF)</f>
        <v>1.4870236602072557E-2</v>
      </c>
      <c r="AH76" s="5">
        <v>593</v>
      </c>
      <c r="AI76" s="12">
        <f t="shared" si="13"/>
        <v>831.98482293423274</v>
      </c>
      <c r="AJ76" s="5">
        <v>319344</v>
      </c>
      <c r="AK76" s="6">
        <f>Table1[[#This Row],[2020 U.S. Sales ($000)]]/SUMIF($E:$E, E76, $AJ:$AJ)</f>
        <v>1.1213135531802292E-2</v>
      </c>
      <c r="AL76" s="5">
        <v>551</v>
      </c>
      <c r="AM76" s="5">
        <f t="shared" si="14"/>
        <v>579.57168784029034</v>
      </c>
      <c r="AN76" s="5">
        <v>455000</v>
      </c>
      <c r="AO76" s="6">
        <f>Table1[[#This Row],[2019 U.S. Sales ($000)]]/SUMIF($E:$E, E76, $AN:$AN)</f>
        <v>1.3929319632025948E-2</v>
      </c>
      <c r="AP76" s="5">
        <v>549</v>
      </c>
      <c r="AQ76" s="5">
        <f t="shared" si="15"/>
        <v>828.7795992714025</v>
      </c>
    </row>
    <row r="77" spans="1:43" x14ac:dyDescent="0.25">
      <c r="A77" t="s">
        <v>142</v>
      </c>
      <c r="B77">
        <v>795</v>
      </c>
      <c r="C77" t="s">
        <v>68</v>
      </c>
      <c r="D77" t="s">
        <v>69</v>
      </c>
      <c r="E77" t="s">
        <v>73</v>
      </c>
      <c r="F77" s="5">
        <v>69</v>
      </c>
      <c r="G77" s="5">
        <v>736000</v>
      </c>
      <c r="H77" s="6">
        <f>Table1[[#This Row],[2024 U.S. Sales ($000)]]/SUMIF($E:$E, E77, $G:$G)</f>
        <v>9.227260788592298E-2</v>
      </c>
      <c r="I77" s="5">
        <v>210</v>
      </c>
      <c r="J77" s="5">
        <f>Table1[[#This Row],[2024 U.S. Sales ($000)]]/Table1[[#This Row],[2024 U.S. Units]]</f>
        <v>3504.7619047619046</v>
      </c>
      <c r="K77" s="6">
        <f>Table1[[#This Row],[2024 U.S. Units]]/Table1[[#This Row],[2023 U.S. Units]]-1</f>
        <v>-3.2258064516129004E-2</v>
      </c>
      <c r="L77" s="8">
        <f>(Table1[[#This Row],[2024 Market share (%)]]-Table1[[#This Row],[2023 Market share (%)]])*10000</f>
        <v>121.53382116690648</v>
      </c>
      <c r="M77" s="6">
        <f>_xlfn.RRI(5,Table1[[#This Row],[2019 U.S. Sales ($000)]],Table1[[#This Row],[2024 U.S. Sales ($000)]])</f>
        <v>2.4209508132542856E-2</v>
      </c>
      <c r="N77" s="9">
        <f>(Table1[[#This Row],[2024 Market share (%)]]-Table1[[#This Row],[2019 Market share (%)]])*10000</f>
        <v>206.78411279392586</v>
      </c>
      <c r="O77" s="6">
        <f>IF(Table1[[#This Row],[2024 AUV]]=0,"",_xlfn.RRI(5,Table1[[#This Row],[2019 AUV]],Table1[[#This Row],[2024 AUV]]))</f>
        <v>3.8440094234390543E-2</v>
      </c>
      <c r="P77" s="6">
        <f>_xlfn.RRI(5,Table1[[#This Row],[2019 U.S. Units]],Table1[[#This Row],[2024 U.S. Units]])</f>
        <v>-1.3703810340970568E-2</v>
      </c>
      <c r="Q77" s="5">
        <v>769946</v>
      </c>
      <c r="R77" s="6">
        <f>Table1[[#This Row],[2023 U.S. Sales ($000)]]/SUMIF($E:$E, E77, $Q:$Q)</f>
        <v>8.0119225769232333E-2</v>
      </c>
      <c r="S77" s="8">
        <f>(Table1[[#This Row],[2023 Market share (%)]]-Table1[[#This Row],[2022 Market share (%)]])*10000</f>
        <v>11.256034741383703</v>
      </c>
      <c r="T77" s="10">
        <v>6.1310852182111658E-2</v>
      </c>
      <c r="U77" s="5">
        <v>217</v>
      </c>
      <c r="V77" s="5">
        <f t="shared" si="8"/>
        <v>3548.1382488479262</v>
      </c>
      <c r="W77" s="10">
        <v>-4.5871559633027525E-3</v>
      </c>
      <c r="X77" s="10">
        <f t="shared" si="9"/>
        <v>4.2033346576795916E-2</v>
      </c>
      <c r="Y77" s="8">
        <f>(Table1[[#This Row],[2023 Market share (%)]]-Table1[[#This Row],[2019 Market share (%)]])*10000</f>
        <v>85.250291627019394</v>
      </c>
      <c r="Z77" s="10">
        <f t="shared" si="10"/>
        <v>5.1507351374926902E-2</v>
      </c>
      <c r="AA77" s="10">
        <f t="shared" si="11"/>
        <v>-9.0099273064929708E-3</v>
      </c>
      <c r="AB77" s="5">
        <v>725467</v>
      </c>
      <c r="AC77" s="6">
        <f>Table1[[#This Row],[2022 U.S. Sales ($000)]]/SUMIF($E:$E, E77, $AB:$AB)</f>
        <v>7.8993622295093963E-2</v>
      </c>
      <c r="AD77" s="5">
        <v>218</v>
      </c>
      <c r="AE77" s="5">
        <f t="shared" si="12"/>
        <v>3327.830275229358</v>
      </c>
      <c r="AF77" s="5">
        <v>697231</v>
      </c>
      <c r="AG77" s="6">
        <f>Table1[[#This Row],[2021 U.S. Sales ($000)]]/SUMIF($E:$E, E77, $AF:$AF)</f>
        <v>8.3266952825373358E-2</v>
      </c>
      <c r="AH77" s="5">
        <v>219</v>
      </c>
      <c r="AI77" s="12">
        <f t="shared" si="13"/>
        <v>3183.7031963470322</v>
      </c>
      <c r="AJ77" s="5">
        <v>529212</v>
      </c>
      <c r="AK77" s="6">
        <f>Table1[[#This Row],[2020 U.S. Sales ($000)]]/SUMIF($E:$E, E77, $AJ:$AJ)</f>
        <v>7.6709853876260184E-2</v>
      </c>
      <c r="AL77" s="5">
        <v>220</v>
      </c>
      <c r="AM77" s="5">
        <f t="shared" si="14"/>
        <v>2405.5090909090909</v>
      </c>
      <c r="AN77" s="5">
        <v>653031</v>
      </c>
      <c r="AO77" s="6">
        <f>Table1[[#This Row],[2019 U.S. Sales ($000)]]/SUMIF($E:$E, E77, $AN:$AN)</f>
        <v>7.1594196606530394E-2</v>
      </c>
      <c r="AP77" s="5">
        <v>225</v>
      </c>
      <c r="AQ77" s="5">
        <f t="shared" si="15"/>
        <v>2902.36</v>
      </c>
    </row>
    <row r="78" spans="1:43" x14ac:dyDescent="0.25">
      <c r="A78" t="s">
        <v>143</v>
      </c>
      <c r="B78">
        <v>2652</v>
      </c>
      <c r="C78" t="s">
        <v>44</v>
      </c>
      <c r="D78" t="s">
        <v>45</v>
      </c>
      <c r="E78" t="s">
        <v>61</v>
      </c>
      <c r="F78" s="5">
        <v>71</v>
      </c>
      <c r="G78" s="5">
        <v>728000</v>
      </c>
      <c r="H78" s="6">
        <f>Table1[[#This Row],[2024 U.S. Sales ($000)]]/SUMIF($E:$E, E78, $G:$G)</f>
        <v>2.4770330044232732E-2</v>
      </c>
      <c r="I78" s="5">
        <v>1049</v>
      </c>
      <c r="J78" s="5">
        <f>Table1[[#This Row],[2024 U.S. Sales ($000)]]/Table1[[#This Row],[2024 U.S. Units]]</f>
        <v>693.9942802669209</v>
      </c>
      <c r="K78" s="6">
        <f>Table1[[#This Row],[2024 U.S. Units]]/Table1[[#This Row],[2023 U.S. Units]]-1</f>
        <v>-6.9210292812777241E-2</v>
      </c>
      <c r="L78" s="8">
        <f>(Table1[[#This Row],[2024 Market share (%)]]-Table1[[#This Row],[2023 Market share (%)]])*10000</f>
        <v>-0.6368108564849817</v>
      </c>
      <c r="M78" s="6">
        <f>_xlfn.RRI(5,Table1[[#This Row],[2019 U.S. Sales ($000)]],Table1[[#This Row],[2024 U.S. Sales ($000)]])</f>
        <v>-5.4993046216115227E-3</v>
      </c>
      <c r="N78" s="9">
        <f>(Table1[[#This Row],[2024 Market share (%)]]-Table1[[#This Row],[2019 Market share (%)]])*10000</f>
        <v>-42.258319800058779</v>
      </c>
      <c r="O78" s="6">
        <f>IF(Table1[[#This Row],[2024 AUV]]=0,"",_xlfn.RRI(5,Table1[[#This Row],[2019 AUV]],Table1[[#This Row],[2024 AUV]]))</f>
        <v>4.2689474815919004E-2</v>
      </c>
      <c r="P78" s="6">
        <f>_xlfn.RRI(5,Table1[[#This Row],[2019 U.S. Units]],Table1[[#This Row],[2024 U.S. Units]])</f>
        <v>-4.6215849110817886E-2</v>
      </c>
      <c r="Q78" s="5">
        <v>758599</v>
      </c>
      <c r="R78" s="6">
        <f>Table1[[#This Row],[2023 U.S. Sales ($000)]]/SUMIF($E:$E, E78, $Q:$Q)</f>
        <v>2.483401112988123E-2</v>
      </c>
      <c r="S78" s="8">
        <f>(Table1[[#This Row],[2023 Market share (%)]]-Table1[[#This Row],[2022 Market share (%)]])*10000</f>
        <v>-5.3580754792940599</v>
      </c>
      <c r="T78" s="10">
        <v>7.3406093183776833E-3</v>
      </c>
      <c r="U78" s="5">
        <v>1127</v>
      </c>
      <c r="V78" s="5">
        <f t="shared" si="8"/>
        <v>673.11357586512861</v>
      </c>
      <c r="W78" s="10">
        <v>-3.5102739726027399E-2</v>
      </c>
      <c r="X78" s="10">
        <f t="shared" si="9"/>
        <v>3.4057503127973288E-3</v>
      </c>
      <c r="Y78" s="8">
        <f>(Table1[[#This Row],[2023 Market share (%)]]-Table1[[#This Row],[2019 Market share (%)]])*10000</f>
        <v>-41.621508943573794</v>
      </c>
      <c r="Z78" s="10">
        <f t="shared" si="10"/>
        <v>4.5627151155015699E-2</v>
      </c>
      <c r="AA78" s="10">
        <f t="shared" si="11"/>
        <v>-4.0379021141120686E-2</v>
      </c>
      <c r="AB78" s="5">
        <v>753071</v>
      </c>
      <c r="AC78" s="6">
        <f>Table1[[#This Row],[2022 U.S. Sales ($000)]]/SUMIF($E:$E, E78, $AB:$AB)</f>
        <v>2.5369818677810636E-2</v>
      </c>
      <c r="AD78" s="5">
        <v>1168</v>
      </c>
      <c r="AE78" s="5">
        <f t="shared" si="12"/>
        <v>644.75256849315065</v>
      </c>
      <c r="AF78" s="5">
        <v>809199</v>
      </c>
      <c r="AG78" s="6">
        <f>Table1[[#This Row],[2021 U.S. Sales ($000)]]/SUMIF($E:$E, E78, $AF:$AF)</f>
        <v>2.7837601862630967E-2</v>
      </c>
      <c r="AH78" s="5">
        <v>1240</v>
      </c>
      <c r="AI78" s="12">
        <f t="shared" si="13"/>
        <v>652.57983870967746</v>
      </c>
      <c r="AJ78" s="5">
        <v>797076</v>
      </c>
      <c r="AK78" s="6">
        <f>Table1[[#This Row],[2020 U.S. Sales ($000)]]/SUMIF($E:$E, E78, $AJ:$AJ)</f>
        <v>2.9448346152733527E-2</v>
      </c>
      <c r="AL78" s="5">
        <v>1293</v>
      </c>
      <c r="AM78" s="5">
        <f t="shared" si="14"/>
        <v>616.45475638051039</v>
      </c>
      <c r="AN78" s="5">
        <v>748352</v>
      </c>
      <c r="AO78" s="6">
        <f>Table1[[#This Row],[2019 U.S. Sales ($000)]]/SUMIF($E:$E, E78, $AN:$AN)</f>
        <v>2.899616202423861E-2</v>
      </c>
      <c r="AP78" s="5">
        <v>1329</v>
      </c>
      <c r="AQ78" s="5">
        <f t="shared" si="15"/>
        <v>563.09405568096315</v>
      </c>
    </row>
    <row r="79" spans="1:43" x14ac:dyDescent="0.25">
      <c r="A79" t="s">
        <v>144</v>
      </c>
      <c r="B79">
        <v>5951</v>
      </c>
      <c r="C79" t="s">
        <v>44</v>
      </c>
      <c r="D79" t="s">
        <v>45</v>
      </c>
      <c r="E79" t="s">
        <v>48</v>
      </c>
      <c r="F79" s="5">
        <v>98</v>
      </c>
      <c r="G79" s="5">
        <v>723000</v>
      </c>
      <c r="H79" s="6">
        <f>Table1[[#This Row],[2024 U.S. Sales ($000)]]/SUMIF($E:$E, E79, $G:$G)</f>
        <v>1.4308043994207438E-2</v>
      </c>
      <c r="I79" s="5">
        <v>849</v>
      </c>
      <c r="J79" s="5">
        <f>Table1[[#This Row],[2024 U.S. Sales ($000)]]/Table1[[#This Row],[2024 U.S. Units]]</f>
        <v>851.59010600706711</v>
      </c>
      <c r="K79" s="6">
        <f>Table1[[#This Row],[2024 U.S. Units]]/Table1[[#This Row],[2023 U.S. Units]]-1</f>
        <v>0.1319999999999999</v>
      </c>
      <c r="L79" s="8">
        <f>(Table1[[#This Row],[2024 Market share (%)]]-Table1[[#This Row],[2023 Market share (%)]])*10000</f>
        <v>28.581296080785382</v>
      </c>
      <c r="M79" s="6">
        <f>_xlfn.RRI(5,Table1[[#This Row],[2019 U.S. Sales ($000)]],Table1[[#This Row],[2024 U.S. Sales ($000)]])</f>
        <v>0.35073592436784562</v>
      </c>
      <c r="N79" s="9">
        <f>(Table1[[#This Row],[2024 Market share (%)]]-Table1[[#This Row],[2019 Market share (%)]])*10000</f>
        <v>97.118727991783445</v>
      </c>
      <c r="O79" s="6">
        <f>IF(Table1[[#This Row],[2024 AUV]]=0,"",_xlfn.RRI(5,Table1[[#This Row],[2019 AUV]],Table1[[#This Row],[2024 AUV]]))</f>
        <v>6.9324944567730196E-2</v>
      </c>
      <c r="P79" s="6">
        <f>_xlfn.RRI(5,Table1[[#This Row],[2019 U.S. Units]],Table1[[#This Row],[2024 U.S. Units]])</f>
        <v>0.26316694586590272</v>
      </c>
      <c r="Q79" s="5">
        <v>561316</v>
      </c>
      <c r="R79" s="6">
        <f>Table1[[#This Row],[2023 U.S. Sales ($000)]]/SUMIF($E:$E, E79, $Q:$Q)</f>
        <v>1.14499143861289E-2</v>
      </c>
      <c r="S79" s="8">
        <f>(Table1[[#This Row],[2023 Market share (%)]]-Table1[[#This Row],[2022 Market share (%)]])*10000</f>
        <v>23.945025838626403</v>
      </c>
      <c r="T79" s="10">
        <v>0.40874890199523151</v>
      </c>
      <c r="U79" s="5">
        <v>750</v>
      </c>
      <c r="V79" s="5">
        <f t="shared" si="8"/>
        <v>748.42133333333334</v>
      </c>
      <c r="W79" s="10">
        <v>0.35135135135135137</v>
      </c>
      <c r="X79" s="10">
        <f t="shared" si="9"/>
        <v>0.3668798593371172</v>
      </c>
      <c r="Y79" s="8">
        <f>(Table1[[#This Row],[2023 Market share (%)]]-Table1[[#This Row],[2019 Market share (%)]])*10000</f>
        <v>68.53743191099808</v>
      </c>
      <c r="Z79" s="10">
        <f t="shared" si="10"/>
        <v>5.2848809021761145E-2</v>
      </c>
      <c r="AA79" s="10">
        <f t="shared" si="11"/>
        <v>0.29826794467016904</v>
      </c>
      <c r="AB79" s="5">
        <v>398450</v>
      </c>
      <c r="AC79" s="6">
        <f>Table1[[#This Row],[2022 U.S. Sales ($000)]]/SUMIF($E:$E, E79, $AB:$AB)</f>
        <v>9.0554118022662597E-3</v>
      </c>
      <c r="AD79" s="5">
        <v>555</v>
      </c>
      <c r="AE79" s="5">
        <f t="shared" si="12"/>
        <v>717.92792792792795</v>
      </c>
      <c r="AF79" s="5">
        <v>262800</v>
      </c>
      <c r="AG79" s="6">
        <f>Table1[[#This Row],[2021 U.S. Sales ($000)]]/SUMIF($E:$E, E79, $AF:$AF)</f>
        <v>6.7714351286336915E-3</v>
      </c>
      <c r="AH79" s="5">
        <v>400</v>
      </c>
      <c r="AI79" s="12">
        <f t="shared" si="13"/>
        <v>657</v>
      </c>
      <c r="AJ79" s="5">
        <v>168100</v>
      </c>
      <c r="AK79" s="6">
        <f>Table1[[#This Row],[2020 U.S. Sales ($000)]]/SUMIF($E:$E, E79, $AJ:$AJ)</f>
        <v>5.4210863489402676E-3</v>
      </c>
      <c r="AL79" s="5">
        <v>308</v>
      </c>
      <c r="AM79" s="5">
        <f t="shared" si="14"/>
        <v>545.77922077922074</v>
      </c>
      <c r="AN79" s="5">
        <v>160800</v>
      </c>
      <c r="AO79" s="6">
        <f>Table1[[#This Row],[2019 U.S. Sales ($000)]]/SUMIF($E:$E, E79, $AN:$AN)</f>
        <v>4.5961711950290923E-3</v>
      </c>
      <c r="AP79" s="5">
        <v>264</v>
      </c>
      <c r="AQ79" s="5">
        <f t="shared" si="15"/>
        <v>609.09090909090912</v>
      </c>
    </row>
    <row r="80" spans="1:43" x14ac:dyDescent="0.25">
      <c r="A80" t="s">
        <v>145</v>
      </c>
      <c r="B80">
        <v>2406</v>
      </c>
      <c r="C80" t="s">
        <v>44</v>
      </c>
      <c r="D80" t="s">
        <v>56</v>
      </c>
      <c r="E80" t="s">
        <v>52</v>
      </c>
      <c r="F80" s="5">
        <v>75</v>
      </c>
      <c r="G80" s="5">
        <v>721000</v>
      </c>
      <c r="H80" s="6">
        <f>Table1[[#This Row],[2024 U.S. Sales ($000)]]/SUMIF($E:$E, E80, $G:$G)</f>
        <v>2.1414993465605322E-2</v>
      </c>
      <c r="I80" s="5">
        <v>596</v>
      </c>
      <c r="J80" s="5">
        <f>Table1[[#This Row],[2024 U.S. Sales ($000)]]/Table1[[#This Row],[2024 U.S. Units]]</f>
        <v>1209.7315436241611</v>
      </c>
      <c r="K80" s="6">
        <f>Table1[[#This Row],[2024 U.S. Units]]/Table1[[#This Row],[2023 U.S. Units]]-1</f>
        <v>-2.6143790849673221E-2</v>
      </c>
      <c r="L80" s="8">
        <f>(Table1[[#This Row],[2024 Market share (%)]]-Table1[[#This Row],[2023 Market share (%)]])*10000</f>
        <v>-6.914602986905841</v>
      </c>
      <c r="M80" s="6">
        <f>_xlfn.RRI(5,Table1[[#This Row],[2019 U.S. Sales ($000)]],Table1[[#This Row],[2024 U.S. Sales ($000)]])</f>
        <v>-2.7325188319361482E-3</v>
      </c>
      <c r="N80" s="9">
        <f>(Table1[[#This Row],[2024 Market share (%)]]-Table1[[#This Row],[2019 Market share (%)]])*10000</f>
        <v>-87.354842019908318</v>
      </c>
      <c r="O80" s="6">
        <f>IF(Table1[[#This Row],[2024 AUV]]=0,"",_xlfn.RRI(5,Table1[[#This Row],[2019 AUV]],Table1[[#This Row],[2024 AUV]]))</f>
        <v>3.6262650536091012E-2</v>
      </c>
      <c r="P80" s="6">
        <f>_xlfn.RRI(5,Table1[[#This Row],[2019 U.S. Units]],Table1[[#This Row],[2024 U.S. Units]])</f>
        <v>-3.763058462818647E-2</v>
      </c>
      <c r="Q80" s="5">
        <v>731477</v>
      </c>
      <c r="R80" s="6">
        <f>Table1[[#This Row],[2023 U.S. Sales ($000)]]/SUMIF($E:$E, E80, $Q:$Q)</f>
        <v>2.2106453764295906E-2</v>
      </c>
      <c r="S80" s="8">
        <f>(Table1[[#This Row],[2023 Market share (%)]]-Table1[[#This Row],[2022 Market share (%)]])*10000</f>
        <v>-11.804219673561024</v>
      </c>
      <c r="T80" s="10">
        <v>3.7079413149134301E-2</v>
      </c>
      <c r="U80" s="5">
        <v>612</v>
      </c>
      <c r="V80" s="5">
        <f t="shared" si="8"/>
        <v>1195.2238562091504</v>
      </c>
      <c r="W80" s="10">
        <v>-3.924646781789639E-2</v>
      </c>
      <c r="X80" s="10">
        <f t="shared" si="9"/>
        <v>1.8635375091813344E-4</v>
      </c>
      <c r="Y80" s="8">
        <f>(Table1[[#This Row],[2023 Market share (%)]]-Table1[[#This Row],[2019 Market share (%)]])*10000</f>
        <v>-80.440239033002484</v>
      </c>
      <c r="Z80" s="10">
        <f t="shared" si="10"/>
        <v>4.2383117067570586E-2</v>
      </c>
      <c r="AA80" s="10">
        <f t="shared" si="11"/>
        <v>-4.0481050225909421E-2</v>
      </c>
      <c r="AB80" s="5">
        <v>705324</v>
      </c>
      <c r="AC80" s="6">
        <f>Table1[[#This Row],[2022 U.S. Sales ($000)]]/SUMIF($E:$E, E80, $AB:$AB)</f>
        <v>2.3286875731652008E-2</v>
      </c>
      <c r="AD80" s="5">
        <v>637</v>
      </c>
      <c r="AE80" s="5">
        <f t="shared" si="12"/>
        <v>1107.2590266875982</v>
      </c>
      <c r="AF80" s="5">
        <v>661856</v>
      </c>
      <c r="AG80" s="6">
        <f>Table1[[#This Row],[2021 U.S. Sales ($000)]]/SUMIF($E:$E, E80, $AF:$AF)</f>
        <v>2.4147171305926727E-2</v>
      </c>
      <c r="AH80" s="5">
        <v>659</v>
      </c>
      <c r="AI80" s="12">
        <f t="shared" si="13"/>
        <v>1004.3338391502276</v>
      </c>
      <c r="AJ80" s="5">
        <v>560630</v>
      </c>
      <c r="AK80" s="6">
        <f>Table1[[#This Row],[2020 U.S. Sales ($000)]]/SUMIF($E:$E, E80, $AJ:$AJ)</f>
        <v>2.3784092721264968E-2</v>
      </c>
      <c r="AL80" s="5">
        <v>681</v>
      </c>
      <c r="AM80" s="5">
        <f t="shared" si="14"/>
        <v>823.24522760646107</v>
      </c>
      <c r="AN80" s="5">
        <v>730932</v>
      </c>
      <c r="AO80" s="6">
        <f>Table1[[#This Row],[2019 U.S. Sales ($000)]]/SUMIF($E:$E, E80, $AN:$AN)</f>
        <v>3.0150477667596154E-2</v>
      </c>
      <c r="AP80" s="5">
        <v>722</v>
      </c>
      <c r="AQ80" s="5">
        <f t="shared" si="15"/>
        <v>1012.3711911357341</v>
      </c>
    </row>
    <row r="81" spans="1:43" x14ac:dyDescent="0.25">
      <c r="A81" t="s">
        <v>146</v>
      </c>
      <c r="B81">
        <v>6308</v>
      </c>
      <c r="C81" t="s">
        <v>44</v>
      </c>
      <c r="D81" t="s">
        <v>56</v>
      </c>
      <c r="E81" t="s">
        <v>46</v>
      </c>
      <c r="F81" s="5">
        <v>81</v>
      </c>
      <c r="G81" s="5">
        <v>713000</v>
      </c>
      <c r="H81" s="6">
        <f>Table1[[#This Row],[2024 U.S. Sales ($000)]]/SUMIF($E:$E, E81, $G:$G)</f>
        <v>6.4666704765302171E-3</v>
      </c>
      <c r="I81" s="5">
        <v>377</v>
      </c>
      <c r="J81" s="7">
        <f>Table1[[#This Row],[2024 U.S. Sales ($000)]]/Table1[[#This Row],[2024 U.S. Units]]</f>
        <v>1891.2466843501327</v>
      </c>
      <c r="K81" s="6">
        <f>Table1[[#This Row],[2024 U.S. Units]]/Table1[[#This Row],[2023 U.S. Units]]-1</f>
        <v>3.0054644808743092E-2</v>
      </c>
      <c r="L81" s="8">
        <f>(Table1[[#This Row],[2024 Market share (%)]]-Table1[[#This Row],[2023 Market share (%)]])*10000</f>
        <v>1.0952256381067949</v>
      </c>
      <c r="M81" s="6">
        <f>_xlfn.RRI(5,Table1[[#This Row],[2019 U.S. Sales ($000)]],Table1[[#This Row],[2024 U.S. Sales ($000)]])</f>
        <v>6.9898638363564025E-2</v>
      </c>
      <c r="N81" s="9">
        <f>(Table1[[#This Row],[2024 Market share (%)]]-Table1[[#This Row],[2019 Market share (%)]])*10000</f>
        <v>5.8747329789752678</v>
      </c>
      <c r="O81" s="6">
        <f>IF(Table1[[#This Row],[2024 AUV]]=0,"",_xlfn.RRI(5,Table1[[#This Row],[2019 AUV]],Table1[[#This Row],[2024 AUV]]))</f>
        <v>-3.6884841438620253E-3</v>
      </c>
      <c r="P81" s="6">
        <f>_xlfn.RRI(5,Table1[[#This Row],[2019 U.S. Units]],Table1[[#This Row],[2024 U.S. Units]])</f>
        <v>7.3859552294938569E-2</v>
      </c>
      <c r="Q81" s="5">
        <v>696000</v>
      </c>
      <c r="R81" s="6">
        <f>Table1[[#This Row],[2023 U.S. Sales ($000)]]/SUMIF($E:$E, E81, $Q:$Q)</f>
        <v>6.3571479127195376E-3</v>
      </c>
      <c r="S81" s="8">
        <f>(Table1[[#This Row],[2023 Market share (%)]]-Table1[[#This Row],[2022 Market share (%)]])*10000</f>
        <v>-1.1242230227964753</v>
      </c>
      <c r="T81" s="10">
        <v>5.2950075642965201E-2</v>
      </c>
      <c r="U81" s="5">
        <v>366</v>
      </c>
      <c r="V81" s="5">
        <f t="shared" si="8"/>
        <v>1901.639344262295</v>
      </c>
      <c r="W81" s="10">
        <v>8.2840236686390539E-2</v>
      </c>
      <c r="X81" s="10">
        <f t="shared" si="9"/>
        <v>8.1578936618388331E-2</v>
      </c>
      <c r="Y81" s="8">
        <f>(Table1[[#This Row],[2023 Market share (%)]]-Table1[[#This Row],[2019 Market share (%)]])*10000</f>
        <v>4.7795073408684727</v>
      </c>
      <c r="Z81" s="10">
        <f t="shared" si="10"/>
        <v>-3.243833095141424E-3</v>
      </c>
      <c r="AA81" s="10">
        <f t="shared" si="11"/>
        <v>8.5098816069453243E-2</v>
      </c>
      <c r="AB81" s="5">
        <v>661000</v>
      </c>
      <c r="AC81" s="6">
        <f>Table1[[#This Row],[2022 U.S. Sales ($000)]]/SUMIF($E:$E, E81, $AB:$AB)</f>
        <v>6.4695702149991851E-3</v>
      </c>
      <c r="AD81" s="5">
        <v>338</v>
      </c>
      <c r="AE81" s="5">
        <f t="shared" si="12"/>
        <v>1955.6213017751479</v>
      </c>
      <c r="AF81" s="5">
        <v>588000</v>
      </c>
      <c r="AG81" s="6">
        <f>Table1[[#This Row],[2021 U.S. Sales ($000)]]/SUMIF($E:$E, E81, $AF:$AF)</f>
        <v>6.0435905686932389E-3</v>
      </c>
      <c r="AH81" s="5">
        <v>307</v>
      </c>
      <c r="AI81" s="12">
        <f t="shared" si="13"/>
        <v>1915.3094462540716</v>
      </c>
      <c r="AJ81" s="5">
        <v>482600</v>
      </c>
      <c r="AK81" s="6">
        <f>Table1[[#This Row],[2020 U.S. Sales ($000)]]/SUMIF($E:$E, E81, $AJ:$AJ)</f>
        <v>5.5227909251138272E-3</v>
      </c>
      <c r="AL81" s="5">
        <v>278</v>
      </c>
      <c r="AM81" s="5">
        <f t="shared" si="14"/>
        <v>1735.9712230215828</v>
      </c>
      <c r="AN81" s="5">
        <v>508600</v>
      </c>
      <c r="AO81" s="6">
        <f>Table1[[#This Row],[2019 U.S. Sales ($000)]]/SUMIF($E:$E, E81, $AN:$AN)</f>
        <v>5.8791971786326903E-3</v>
      </c>
      <c r="AP81" s="5">
        <v>264</v>
      </c>
      <c r="AQ81" s="5">
        <f t="shared" si="15"/>
        <v>1926.5151515151515</v>
      </c>
    </row>
    <row r="82" spans="1:43" x14ac:dyDescent="0.25">
      <c r="A82" t="s">
        <v>147</v>
      </c>
      <c r="B82">
        <v>958</v>
      </c>
      <c r="C82" t="s">
        <v>44</v>
      </c>
      <c r="D82" t="s">
        <v>56</v>
      </c>
      <c r="E82" t="s">
        <v>59</v>
      </c>
      <c r="F82" s="5">
        <v>83</v>
      </c>
      <c r="G82" s="5">
        <v>711000</v>
      </c>
      <c r="H82" s="6">
        <f>Table1[[#This Row],[2024 U.S. Sales ($000)]]/SUMIF($E:$E, E82, $G:$G)</f>
        <v>2.0359075680783437E-2</v>
      </c>
      <c r="I82" s="5">
        <v>94</v>
      </c>
      <c r="J82" s="5">
        <f>Table1[[#This Row],[2024 U.S. Sales ($000)]]/Table1[[#This Row],[2024 U.S. Units]]</f>
        <v>7563.8297872340427</v>
      </c>
      <c r="K82" s="6">
        <f>Table1[[#This Row],[2024 U.S. Units]]/Table1[[#This Row],[2023 U.S. Units]]-1</f>
        <v>0.11904761904761907</v>
      </c>
      <c r="L82" s="8">
        <f>(Table1[[#This Row],[2024 Market share (%)]]-Table1[[#This Row],[2023 Market share (%)]])*10000</f>
        <v>23.583284394921716</v>
      </c>
      <c r="M82" s="6">
        <f>_xlfn.RRI(5,Table1[[#This Row],[2019 U.S. Sales ($000)]],Table1[[#This Row],[2024 U.S. Sales ($000)]])</f>
        <v>8.2009899331954239E-2</v>
      </c>
      <c r="N82" s="9">
        <f>(Table1[[#This Row],[2024 Market share (%)]]-Table1[[#This Row],[2019 Market share (%)]])*10000</f>
        <v>56.822567136911637</v>
      </c>
      <c r="O82" s="6">
        <f>IF(Table1[[#This Row],[2024 AUV]]=0,"",_xlfn.RRI(5,Table1[[#This Row],[2019 AUV]],Table1[[#This Row],[2024 AUV]]))</f>
        <v>-4.4020324839911806E-3</v>
      </c>
      <c r="P82" s="6">
        <f>_xlfn.RRI(5,Table1[[#This Row],[2019 U.S. Units]],Table1[[#This Row],[2024 U.S. Units]])</f>
        <v>8.6794001831422829E-2</v>
      </c>
      <c r="Q82" s="5">
        <v>679905</v>
      </c>
      <c r="R82" s="6">
        <f>Table1[[#This Row],[2023 U.S. Sales ($000)]]/SUMIF($E:$E, E82, $Q:$Q)</f>
        <v>1.8000747241291266E-2</v>
      </c>
      <c r="S82" s="8">
        <f>(Table1[[#This Row],[2023 Market share (%)]]-Table1[[#This Row],[2022 Market share (%)]])*10000</f>
        <v>15.925441123065369</v>
      </c>
      <c r="T82" s="10">
        <v>0.15806569193873657</v>
      </c>
      <c r="U82" s="5">
        <v>84</v>
      </c>
      <c r="V82" s="5">
        <f t="shared" si="8"/>
        <v>8094.1071428571431</v>
      </c>
      <c r="W82" s="10">
        <v>0.16666666666666666</v>
      </c>
      <c r="X82" s="10">
        <f t="shared" si="9"/>
        <v>9.127373152907281E-2</v>
      </c>
      <c r="Y82" s="8">
        <f>(Table1[[#This Row],[2023 Market share (%)]]-Table1[[#This Row],[2019 Market share (%)]])*10000</f>
        <v>33.239282741989918</v>
      </c>
      <c r="Z82" s="10">
        <f t="shared" si="10"/>
        <v>1.1490485841021414E-2</v>
      </c>
      <c r="AA82" s="10">
        <f t="shared" si="11"/>
        <v>7.8876911651535764E-2</v>
      </c>
      <c r="AB82" s="5">
        <v>587104</v>
      </c>
      <c r="AC82" s="6">
        <f>Table1[[#This Row],[2022 U.S. Sales ($000)]]/SUMIF($E:$E, E82, $AB:$AB)</f>
        <v>1.6408203128984729E-2</v>
      </c>
      <c r="AD82" s="5">
        <v>72</v>
      </c>
      <c r="AE82" s="5">
        <f t="shared" si="12"/>
        <v>8154.2222222222226</v>
      </c>
      <c r="AF82" s="5">
        <v>534952</v>
      </c>
      <c r="AG82" s="6">
        <f>Table1[[#This Row],[2021 U.S. Sales ($000)]]/SUMIF($E:$E, E82, $AF:$AF)</f>
        <v>1.6123621585456504E-2</v>
      </c>
      <c r="AH82" s="5">
        <v>69</v>
      </c>
      <c r="AI82" s="12">
        <f t="shared" si="13"/>
        <v>7752.927536231884</v>
      </c>
      <c r="AJ82" s="5">
        <v>455471</v>
      </c>
      <c r="AK82" s="6">
        <f>Table1[[#This Row],[2020 U.S. Sales ($000)]]/SUMIF($E:$E, E82, $AJ:$AJ)</f>
        <v>1.5992967000493269E-2</v>
      </c>
      <c r="AL82" s="5">
        <v>64</v>
      </c>
      <c r="AM82" s="5">
        <f t="shared" si="14"/>
        <v>7116.734375</v>
      </c>
      <c r="AN82" s="5">
        <v>479417</v>
      </c>
      <c r="AO82" s="6">
        <f>Table1[[#This Row],[2019 U.S. Sales ($000)]]/SUMIF($E:$E, E82, $AN:$AN)</f>
        <v>1.4676818967092274E-2</v>
      </c>
      <c r="AP82" s="5">
        <v>62</v>
      </c>
      <c r="AQ82" s="5">
        <f t="shared" si="15"/>
        <v>7732.5322580645161</v>
      </c>
    </row>
    <row r="83" spans="1:43" x14ac:dyDescent="0.25">
      <c r="A83" t="s">
        <v>148</v>
      </c>
      <c r="B83">
        <v>467</v>
      </c>
      <c r="C83" t="s">
        <v>44</v>
      </c>
      <c r="D83" t="s">
        <v>45</v>
      </c>
      <c r="E83" t="s">
        <v>76</v>
      </c>
      <c r="F83" s="5">
        <v>80</v>
      </c>
      <c r="G83" s="5">
        <v>705000</v>
      </c>
      <c r="H83" s="6">
        <f>Table1[[#This Row],[2024 U.S. Sales ($000)]]/SUMIF($E:$E, E83, $G:$G)</f>
        <v>0.10019897669130187</v>
      </c>
      <c r="I83" s="5">
        <v>2245</v>
      </c>
      <c r="J83" s="5">
        <f>Table1[[#This Row],[2024 U.S. Sales ($000)]]/Table1[[#This Row],[2024 U.S. Units]]</f>
        <v>314.03118040089089</v>
      </c>
      <c r="K83" s="6">
        <f>Table1[[#This Row],[2024 U.S. Units]]/Table1[[#This Row],[2023 U.S. Units]]-1</f>
        <v>-7.0765148164528835E-3</v>
      </c>
      <c r="L83" s="8">
        <f>(Table1[[#This Row],[2024 Market share (%)]]-Table1[[#This Row],[2023 Market share (%)]])*10000</f>
        <v>128.8097597942546</v>
      </c>
      <c r="M83" s="6">
        <f>_xlfn.RRI(5,Table1[[#This Row],[2019 U.S. Sales ($000)]],Table1[[#This Row],[2024 U.S. Sales ($000)]])</f>
        <v>2.7591351302213241E-2</v>
      </c>
      <c r="N83" s="9">
        <f>(Table1[[#This Row],[2024 Market share (%)]]-Table1[[#This Row],[2019 Market share (%)]])*10000</f>
        <v>32.884887179359531</v>
      </c>
      <c r="O83" s="6">
        <f>IF(Table1[[#This Row],[2024 AUV]]=0,"",_xlfn.RRI(5,Table1[[#This Row],[2019 AUV]],Table1[[#This Row],[2024 AUV]]))</f>
        <v>5.1949863079483016E-2</v>
      </c>
      <c r="P83" s="6">
        <f>_xlfn.RRI(5,Table1[[#This Row],[2019 U.S. Units]],Table1[[#This Row],[2024 U.S. Units]])</f>
        <v>-2.3155582439986722E-2</v>
      </c>
      <c r="Q83" s="5">
        <v>708478</v>
      </c>
      <c r="R83" s="6">
        <f>Table1[[#This Row],[2023 U.S. Sales ($000)]]/SUMIF($E:$E, E83, $Q:$Q)</f>
        <v>8.7318000711876412E-2</v>
      </c>
      <c r="S83" s="8">
        <f>(Table1[[#This Row],[2023 Market share (%)]]-Table1[[#This Row],[2022 Market share (%)]])*10000</f>
        <v>-36.05578242397975</v>
      </c>
      <c r="T83" s="10">
        <v>3.4834925193060765E-2</v>
      </c>
      <c r="U83" s="5">
        <v>2261</v>
      </c>
      <c r="V83" s="5">
        <f t="shared" si="8"/>
        <v>313.34719150818222</v>
      </c>
      <c r="W83" s="10">
        <v>3.5508211273857079E-3</v>
      </c>
      <c r="X83" s="10">
        <f t="shared" si="9"/>
        <v>3.588099064731054E-2</v>
      </c>
      <c r="Y83" s="8">
        <f>(Table1[[#This Row],[2023 Market share (%)]]-Table1[[#This Row],[2019 Market share (%)]])*10000</f>
        <v>-95.924872614895079</v>
      </c>
      <c r="Z83" s="10">
        <f t="shared" si="10"/>
        <v>6.4773074842112255E-2</v>
      </c>
      <c r="AA83" s="10">
        <f t="shared" si="11"/>
        <v>-2.7134499244438337E-2</v>
      </c>
      <c r="AB83" s="5">
        <v>684629</v>
      </c>
      <c r="AC83" s="6">
        <f>Table1[[#This Row],[2022 U.S. Sales ($000)]]/SUMIF($E:$E, E83, $AB:$AB)</f>
        <v>9.0923578954274387E-2</v>
      </c>
      <c r="AD83" s="5">
        <v>2253</v>
      </c>
      <c r="AE83" s="5">
        <f t="shared" si="12"/>
        <v>303.87438970261871</v>
      </c>
      <c r="AF83" s="5">
        <v>686264</v>
      </c>
      <c r="AG83" s="6">
        <f>Table1[[#This Row],[2021 U.S. Sales ($000)]]/SUMIF($E:$E, E83, $AF:$AF)</f>
        <v>9.3995221510543958E-2</v>
      </c>
      <c r="AH83" s="5">
        <v>2317</v>
      </c>
      <c r="AI83" s="12">
        <f t="shared" si="13"/>
        <v>296.18644799309453</v>
      </c>
      <c r="AJ83" s="5">
        <v>620000</v>
      </c>
      <c r="AK83" s="6">
        <f>Table1[[#This Row],[2020 U.S. Sales ($000)]]/SUMIF($E:$E, E83, $AJ:$AJ)</f>
        <v>9.7023354773408219E-2</v>
      </c>
      <c r="AL83" s="5">
        <v>2419</v>
      </c>
      <c r="AM83" s="5">
        <f t="shared" si="14"/>
        <v>256.30425795783384</v>
      </c>
      <c r="AN83" s="5">
        <v>615300</v>
      </c>
      <c r="AO83" s="6">
        <f>Table1[[#This Row],[2019 U.S. Sales ($000)]]/SUMIF($E:$E, E83, $AN:$AN)</f>
        <v>9.6910487973365919E-2</v>
      </c>
      <c r="AP83" s="5">
        <v>2524</v>
      </c>
      <c r="AQ83" s="5">
        <f t="shared" si="15"/>
        <v>243.77971473851031</v>
      </c>
    </row>
    <row r="84" spans="1:43" x14ac:dyDescent="0.25">
      <c r="A84" t="s">
        <v>149</v>
      </c>
      <c r="B84">
        <v>816</v>
      </c>
      <c r="C84" t="s">
        <v>68</v>
      </c>
      <c r="D84" t="s">
        <v>69</v>
      </c>
      <c r="E84" t="s">
        <v>87</v>
      </c>
      <c r="F84" s="5">
        <v>67</v>
      </c>
      <c r="G84" s="5">
        <v>678000</v>
      </c>
      <c r="H84" s="6">
        <f>Table1[[#This Row],[2024 U.S. Sales ($000)]]/SUMIF($E:$E, E84, $G:$G)</f>
        <v>8.4951760431023676E-2</v>
      </c>
      <c r="I84" s="5">
        <v>245</v>
      </c>
      <c r="J84" s="5">
        <f>Table1[[#This Row],[2024 U.S. Sales ($000)]]/Table1[[#This Row],[2024 U.S. Units]]</f>
        <v>2767.3469387755104</v>
      </c>
      <c r="K84" s="6">
        <f>Table1[[#This Row],[2024 U.S. Units]]/Table1[[#This Row],[2023 U.S. Units]]-1</f>
        <v>-0.16095890410958902</v>
      </c>
      <c r="L84" s="8">
        <f>(Table1[[#This Row],[2024 Market share (%)]]-Table1[[#This Row],[2023 Market share (%)]])*10000</f>
        <v>26.517072564721801</v>
      </c>
      <c r="M84" s="6">
        <f>_xlfn.RRI(5,Table1[[#This Row],[2019 U.S. Sales ($000)]],Table1[[#This Row],[2024 U.S. Sales ($000)]])</f>
        <v>-7.2297102288932158E-2</v>
      </c>
      <c r="N84" s="9">
        <f>(Table1[[#This Row],[2024 Market share (%)]]-Table1[[#This Row],[2019 Market share (%)]])*10000</f>
        <v>-303.32392163272851</v>
      </c>
      <c r="O84" s="6">
        <f>IF(Table1[[#This Row],[2024 AUV]]=0,"",_xlfn.RRI(5,Table1[[#This Row],[2019 AUV]],Table1[[#This Row],[2024 AUV]]))</f>
        <v>-1.7154515335910836E-2</v>
      </c>
      <c r="P84" s="6">
        <f>_xlfn.RRI(5,Table1[[#This Row],[2019 U.S. Units]],Table1[[#This Row],[2024 U.S. Units]])</f>
        <v>-5.6105041752181006E-2</v>
      </c>
      <c r="Q84" s="5">
        <v>802500</v>
      </c>
      <c r="R84" s="6">
        <f>Table1[[#This Row],[2023 U.S. Sales ($000)]]/SUMIF($E:$E, E84, $Q:$Q)</f>
        <v>8.2300053174551496E-2</v>
      </c>
      <c r="S84" s="8">
        <f>(Table1[[#This Row],[2023 Market share (%)]]-Table1[[#This Row],[2022 Market share (%)]])*10000</f>
        <v>-66.24132922430762</v>
      </c>
      <c r="T84" s="10">
        <v>-3.6151813595964449E-2</v>
      </c>
      <c r="U84" s="5">
        <v>292</v>
      </c>
      <c r="V84" s="5">
        <f t="shared" si="8"/>
        <v>2748.2876712328766</v>
      </c>
      <c r="W84" s="10">
        <v>-1.6835016835016835E-2</v>
      </c>
      <c r="X84" s="10">
        <f t="shared" si="9"/>
        <v>-5.0346926349142507E-2</v>
      </c>
      <c r="Y84" s="8">
        <f>(Table1[[#This Row],[2023 Market share (%)]]-Table1[[#This Row],[2019 Market share (%)]])*10000</f>
        <v>-329.84099419745036</v>
      </c>
      <c r="Z84" s="10">
        <f t="shared" si="10"/>
        <v>-2.3086292271871534E-2</v>
      </c>
      <c r="AA84" s="10">
        <f t="shared" si="11"/>
        <v>-2.7904853685252529E-2</v>
      </c>
      <c r="AB84" s="5">
        <v>832600</v>
      </c>
      <c r="AC84" s="6">
        <f>Table1[[#This Row],[2022 U.S. Sales ($000)]]/SUMIF($E:$E, E84, $AB:$AB)</f>
        <v>8.8924186096982258E-2</v>
      </c>
      <c r="AD84" s="5">
        <v>297</v>
      </c>
      <c r="AE84" s="5">
        <f t="shared" si="12"/>
        <v>2803.3670033670032</v>
      </c>
      <c r="AF84" s="5">
        <v>834400</v>
      </c>
      <c r="AG84" s="6">
        <f>Table1[[#This Row],[2021 U.S. Sales ($000)]]/SUMIF($E:$E, E84, $AF:$AF)</f>
        <v>9.7835999942780486E-2</v>
      </c>
      <c r="AH84" s="5">
        <v>302</v>
      </c>
      <c r="AI84" s="12">
        <f t="shared" si="13"/>
        <v>2762.9139072847684</v>
      </c>
      <c r="AJ84" s="5">
        <v>713300</v>
      </c>
      <c r="AK84" s="6">
        <f>Table1[[#This Row],[2020 U.S. Sales ($000)]]/SUMIF($E:$E, E84, $AJ:$AJ)</f>
        <v>0.10765893805392546</v>
      </c>
      <c r="AL84" s="5">
        <v>307</v>
      </c>
      <c r="AM84" s="5">
        <f t="shared" si="14"/>
        <v>2323.4527687296418</v>
      </c>
      <c r="AN84" s="5">
        <v>986700</v>
      </c>
      <c r="AO84" s="6">
        <f>Table1[[#This Row],[2019 U.S. Sales ($000)]]/SUMIF($E:$E, E84, $AN:$AN)</f>
        <v>0.11528415259429653</v>
      </c>
      <c r="AP84" s="5">
        <v>327</v>
      </c>
      <c r="AQ84" s="5">
        <f t="shared" si="15"/>
        <v>3017.4311926605506</v>
      </c>
    </row>
    <row r="85" spans="1:43" x14ac:dyDescent="0.25">
      <c r="A85" t="s">
        <v>150</v>
      </c>
      <c r="B85">
        <v>29838</v>
      </c>
      <c r="C85" t="s">
        <v>44</v>
      </c>
      <c r="D85" t="s">
        <v>56</v>
      </c>
      <c r="E85" t="s">
        <v>128</v>
      </c>
      <c r="F85" s="5">
        <v>92</v>
      </c>
      <c r="G85" s="5">
        <v>677000</v>
      </c>
      <c r="H85" s="6">
        <f>Table1[[#This Row],[2024 U.S. Sales ($000)]]/SUMIF($E:$E, E85, $G:$G)</f>
        <v>0.15463682046596619</v>
      </c>
      <c r="I85" s="5">
        <v>246</v>
      </c>
      <c r="J85" s="5">
        <f>Table1[[#This Row],[2024 U.S. Sales ($000)]]/Table1[[#This Row],[2024 U.S. Units]]</f>
        <v>2752.0325203252032</v>
      </c>
      <c r="K85" s="6">
        <f>Table1[[#This Row],[2024 U.S. Units]]/Table1[[#This Row],[2023 U.S. Units]]-1</f>
        <v>0.1131221719457014</v>
      </c>
      <c r="L85" s="8">
        <f>(Table1[[#This Row],[2024 Market share (%)]]-Table1[[#This Row],[2023 Market share (%)]])*10000</f>
        <v>422.63155001972501</v>
      </c>
      <c r="M85" s="6">
        <f>_xlfn.RRI(5,Table1[[#This Row],[2019 U.S. Sales ($000)]],Table1[[#This Row],[2024 U.S. Sales ($000)]])</f>
        <v>0.19817365668650644</v>
      </c>
      <c r="N85" s="9">
        <f>(Table1[[#This Row],[2024 Market share (%)]]-Table1[[#This Row],[2019 Market share (%)]])*10000</f>
        <v>778.13890299058028</v>
      </c>
      <c r="O85" s="6">
        <f>IF(Table1[[#This Row],[2024 AUV]]=0,"",_xlfn.RRI(5,Table1[[#This Row],[2019 AUV]],Table1[[#This Row],[2024 AUV]]))</f>
        <v>8.6474927309259098E-3</v>
      </c>
      <c r="P85" s="6">
        <f>_xlfn.RRI(5,Table1[[#This Row],[2019 U.S. Units]],Table1[[#This Row],[2024 U.S. Units]])</f>
        <v>0.18790128892546609</v>
      </c>
      <c r="Q85" s="5">
        <v>584041</v>
      </c>
      <c r="R85" s="6">
        <f>Table1[[#This Row],[2023 U.S. Sales ($000)]]/SUMIF($E:$E, E85, $Q:$Q)</f>
        <v>0.11237366546399369</v>
      </c>
      <c r="S85" s="8">
        <f>(Table1[[#This Row],[2023 Market share (%)]]-Table1[[#This Row],[2022 Market share (%)]])*10000</f>
        <v>62.573590757742103</v>
      </c>
      <c r="T85" s="10">
        <v>0.24236287637868137</v>
      </c>
      <c r="U85" s="5">
        <v>221</v>
      </c>
      <c r="V85" s="5">
        <f t="shared" si="8"/>
        <v>2642.7194570135748</v>
      </c>
      <c r="W85" s="10">
        <v>0.18817204301075269</v>
      </c>
      <c r="X85" s="10">
        <f t="shared" si="9"/>
        <v>0.20812918387701251</v>
      </c>
      <c r="Y85" s="8">
        <f>(Table1[[#This Row],[2023 Market share (%)]]-Table1[[#This Row],[2019 Market share (%)]])*10000</f>
        <v>355.50735297085521</v>
      </c>
      <c r="Z85" s="10">
        <f t="shared" si="10"/>
        <v>6.3028204066650773E-4</v>
      </c>
      <c r="AA85" s="10">
        <f t="shared" si="11"/>
        <v>0.20736820138320899</v>
      </c>
      <c r="AB85" s="5">
        <v>470105</v>
      </c>
      <c r="AC85" s="6">
        <f>Table1[[#This Row],[2022 U.S. Sales ($000)]]/SUMIF($E:$E, E85, $AB:$AB)</f>
        <v>0.10611630638821948</v>
      </c>
      <c r="AD85" s="5">
        <v>186</v>
      </c>
      <c r="AE85" s="5">
        <f t="shared" si="12"/>
        <v>2527.4462365591398</v>
      </c>
      <c r="AF85" s="5">
        <v>339874</v>
      </c>
      <c r="AG85" s="6">
        <f>Table1[[#This Row],[2021 U.S. Sales ($000)]]/SUMIF($E:$E, E85, $AF:$AF)</f>
        <v>9.0084201642896822E-2</v>
      </c>
      <c r="AH85" s="5">
        <v>150</v>
      </c>
      <c r="AI85" s="12">
        <f t="shared" si="13"/>
        <v>2265.8266666666668</v>
      </c>
      <c r="AJ85" s="5">
        <v>220615</v>
      </c>
      <c r="AK85" s="6">
        <f>Table1[[#This Row],[2020 U.S. Sales ($000)]]/SUMIF($E:$E, E85, $AJ:$AJ)</f>
        <v>7.199359085227959E-2</v>
      </c>
      <c r="AL85" s="5">
        <v>119</v>
      </c>
      <c r="AM85" s="5">
        <f t="shared" si="14"/>
        <v>1853.90756302521</v>
      </c>
      <c r="AN85" s="5">
        <v>274151</v>
      </c>
      <c r="AO85" s="6">
        <f>Table1[[#This Row],[2019 U.S. Sales ($000)]]/SUMIF($E:$E, E85, $AN:$AN)</f>
        <v>7.6822930166908165E-2</v>
      </c>
      <c r="AP85" s="5">
        <v>104</v>
      </c>
      <c r="AQ85" s="5">
        <f t="shared" si="15"/>
        <v>2636.0673076923076</v>
      </c>
    </row>
    <row r="86" spans="1:43" x14ac:dyDescent="0.25">
      <c r="A86" t="s">
        <v>151</v>
      </c>
      <c r="B86">
        <v>1589</v>
      </c>
      <c r="C86" t="s">
        <v>44</v>
      </c>
      <c r="D86" t="s">
        <v>56</v>
      </c>
      <c r="E86" t="s">
        <v>59</v>
      </c>
      <c r="F86" s="5">
        <v>85</v>
      </c>
      <c r="G86" s="5">
        <v>666000</v>
      </c>
      <c r="H86" s="6">
        <f>Table1[[#This Row],[2024 U.S. Sales ($000)]]/SUMIF($E:$E, E86, $G:$G)</f>
        <v>1.9070526587062969E-2</v>
      </c>
      <c r="I86" s="5">
        <v>236</v>
      </c>
      <c r="J86" s="5">
        <f>Table1[[#This Row],[2024 U.S. Sales ($000)]]/Table1[[#This Row],[2024 U.S. Units]]</f>
        <v>2822.0338983050847</v>
      </c>
      <c r="K86" s="6">
        <f>Table1[[#This Row],[2024 U.S. Units]]/Table1[[#This Row],[2023 U.S. Units]]-1</f>
        <v>-2.8806584362139898E-2</v>
      </c>
      <c r="L86" s="8">
        <f>(Table1[[#This Row],[2024 Market share (%)]]-Table1[[#This Row],[2023 Market share (%)]])*10000</f>
        <v>14.590998952355056</v>
      </c>
      <c r="M86" s="6">
        <f>_xlfn.RRI(5,Table1[[#This Row],[2019 U.S. Sales ($000)]],Table1[[#This Row],[2024 U.S. Sales ($000)]])</f>
        <v>5.6792785512536081E-3</v>
      </c>
      <c r="N86" s="9">
        <f>(Table1[[#This Row],[2024 Market share (%)]]-Table1[[#This Row],[2019 Market share (%)]])*10000</f>
        <v>-7.490890298411899</v>
      </c>
      <c r="O86" s="6">
        <f>IF(Table1[[#This Row],[2024 AUV]]=0,"",_xlfn.RRI(5,Table1[[#This Row],[2019 AUV]],Table1[[#This Row],[2024 AUV]]))</f>
        <v>4.2880118999482741E-2</v>
      </c>
      <c r="P86" s="6">
        <f>_xlfn.RRI(5,Table1[[#This Row],[2019 U.S. Units]],Table1[[#This Row],[2024 U.S. Units]])</f>
        <v>-3.5671252879879045E-2</v>
      </c>
      <c r="Q86" s="5">
        <v>665200</v>
      </c>
      <c r="R86" s="6">
        <f>Table1[[#This Row],[2023 U.S. Sales ($000)]]/SUMIF($E:$E, E86, $Q:$Q)</f>
        <v>1.7611426691827463E-2</v>
      </c>
      <c r="S86" s="8">
        <f>(Table1[[#This Row],[2023 Market share (%)]]-Table1[[#This Row],[2022 Market share (%)]])*10000</f>
        <v>1.5191514541921385</v>
      </c>
      <c r="T86" s="10">
        <v>6.4795324632916138E-2</v>
      </c>
      <c r="U86" s="5">
        <v>243</v>
      </c>
      <c r="V86" s="5">
        <f t="shared" si="8"/>
        <v>2737.4485596707818</v>
      </c>
      <c r="W86" s="10">
        <v>-4.0983606557377051E-3</v>
      </c>
      <c r="X86" s="10">
        <f t="shared" si="9"/>
        <v>6.8015607709832615E-3</v>
      </c>
      <c r="Y86" s="8">
        <f>(Table1[[#This Row],[2023 Market share (%)]]-Table1[[#This Row],[2019 Market share (%)]])*10000</f>
        <v>-22.081889250766956</v>
      </c>
      <c r="Z86" s="10">
        <f t="shared" si="10"/>
        <v>4.5897008003203732E-2</v>
      </c>
      <c r="AA86" s="10">
        <f t="shared" si="11"/>
        <v>-3.7379825100427588E-2</v>
      </c>
      <c r="AB86" s="5">
        <v>624721</v>
      </c>
      <c r="AC86" s="6">
        <f>Table1[[#This Row],[2022 U.S. Sales ($000)]]/SUMIF($E:$E, E86, $AB:$AB)</f>
        <v>1.7459511546408249E-2</v>
      </c>
      <c r="AD86" s="5">
        <v>244</v>
      </c>
      <c r="AE86" s="5">
        <f t="shared" si="12"/>
        <v>2560.3319672131147</v>
      </c>
      <c r="AF86" s="5">
        <v>515544</v>
      </c>
      <c r="AG86" s="6">
        <f>Table1[[#This Row],[2021 U.S. Sales ($000)]]/SUMIF($E:$E, E86, $AF:$AF)</f>
        <v>1.5538658359352964E-2</v>
      </c>
      <c r="AH86" s="5">
        <v>247</v>
      </c>
      <c r="AI86" s="12">
        <f t="shared" si="13"/>
        <v>2087.2226720647773</v>
      </c>
      <c r="AJ86" s="5">
        <v>404446</v>
      </c>
      <c r="AK86" s="6">
        <f>Table1[[#This Row],[2020 U.S. Sales ($000)]]/SUMIF($E:$E, E86, $AJ:$AJ)</f>
        <v>1.4201324632043533E-2</v>
      </c>
      <c r="AL86" s="5">
        <v>252</v>
      </c>
      <c r="AM86" s="5">
        <f t="shared" si="14"/>
        <v>1604.9444444444443</v>
      </c>
      <c r="AN86" s="5">
        <v>647406</v>
      </c>
      <c r="AO86" s="6">
        <f>Table1[[#This Row],[2019 U.S. Sales ($000)]]/SUMIF($E:$E, E86, $AN:$AN)</f>
        <v>1.9819615616904158E-2</v>
      </c>
      <c r="AP86" s="5">
        <v>283</v>
      </c>
      <c r="AQ86" s="5">
        <f t="shared" si="15"/>
        <v>2287.6537102473499</v>
      </c>
    </row>
    <row r="87" spans="1:43" x14ac:dyDescent="0.25">
      <c r="A87" t="s">
        <v>152</v>
      </c>
      <c r="B87">
        <v>2267</v>
      </c>
      <c r="C87" t="s">
        <v>68</v>
      </c>
      <c r="D87" t="s">
        <v>69</v>
      </c>
      <c r="E87" t="s">
        <v>70</v>
      </c>
      <c r="F87" s="5">
        <v>91</v>
      </c>
      <c r="G87" s="5">
        <v>651000</v>
      </c>
      <c r="H87" s="6">
        <f>Table1[[#This Row],[2024 U.S. Sales ($000)]]/SUMIF($E:$E, E87, $G:$G)</f>
        <v>4.0101022545275346E-2</v>
      </c>
      <c r="I87" s="5">
        <v>76</v>
      </c>
      <c r="J87" s="5">
        <f>Table1[[#This Row],[2024 U.S. Sales ($000)]]/Table1[[#This Row],[2024 U.S. Units]]</f>
        <v>8565.78947368421</v>
      </c>
      <c r="K87" s="6">
        <f>Table1[[#This Row],[2024 U.S. Units]]/Table1[[#This Row],[2023 U.S. Units]]-1</f>
        <v>0.1515151515151516</v>
      </c>
      <c r="L87" s="8">
        <f>(Table1[[#This Row],[2024 Market share (%)]]-Table1[[#This Row],[2023 Market share (%)]])*10000</f>
        <v>27.455723955838312</v>
      </c>
      <c r="M87" s="6">
        <f>_xlfn.RRI(5,Table1[[#This Row],[2019 U.S. Sales ($000)]],Table1[[#This Row],[2024 U.S. Sales ($000)]])</f>
        <v>0.15244875947160708</v>
      </c>
      <c r="N87" s="9">
        <f>(Table1[[#This Row],[2024 Market share (%)]]-Table1[[#This Row],[2019 Market share (%)]])*10000</f>
        <v>145.61475916530114</v>
      </c>
      <c r="O87" s="6">
        <f>IF(Table1[[#This Row],[2024 AUV]]=0,"",_xlfn.RRI(5,Table1[[#This Row],[2019 AUV]],Table1[[#This Row],[2024 AUV]]))</f>
        <v>2.8377574176444265E-2</v>
      </c>
      <c r="P87" s="6">
        <f>_xlfn.RRI(5,Table1[[#This Row],[2019 U.S. Units]],Table1[[#This Row],[2024 U.S. Units]])</f>
        <v>0.12064750186187467</v>
      </c>
      <c r="Q87" s="5">
        <v>596386</v>
      </c>
      <c r="R87" s="6">
        <f>Table1[[#This Row],[2023 U.S. Sales ($000)]]/SUMIF($E:$E, E87, $Q:$Q)</f>
        <v>3.7355450149691515E-2</v>
      </c>
      <c r="S87" s="8">
        <f>(Table1[[#This Row],[2023 Market share (%)]]-Table1[[#This Row],[2022 Market share (%)]])*10000</f>
        <v>40.607503106180815</v>
      </c>
      <c r="T87" s="10">
        <v>0.22422980917660196</v>
      </c>
      <c r="U87" s="5">
        <v>66</v>
      </c>
      <c r="V87" s="5">
        <f t="shared" si="8"/>
        <v>9036.1515151515159</v>
      </c>
      <c r="W87" s="10">
        <v>0.2</v>
      </c>
      <c r="X87" s="10">
        <f t="shared" si="9"/>
        <v>0.16819042914937321</v>
      </c>
      <c r="Y87" s="8">
        <f>(Table1[[#This Row],[2023 Market share (%)]]-Table1[[#This Row],[2019 Market share (%)]])*10000</f>
        <v>118.15903520946281</v>
      </c>
      <c r="Z87" s="10">
        <f t="shared" si="10"/>
        <v>4.9529798782286916E-2</v>
      </c>
      <c r="AA87" s="10">
        <f t="shared" si="11"/>
        <v>0.11306075397264737</v>
      </c>
      <c r="AB87" s="5">
        <v>487152</v>
      </c>
      <c r="AC87" s="6">
        <f>Table1[[#This Row],[2022 U.S. Sales ($000)]]/SUMIF($E:$E, E87, $AB:$AB)</f>
        <v>3.3294699839073433E-2</v>
      </c>
      <c r="AD87" s="5">
        <v>55</v>
      </c>
      <c r="AE87" s="5">
        <f t="shared" si="12"/>
        <v>8857.3090909090915</v>
      </c>
      <c r="AF87" s="5">
        <v>415474</v>
      </c>
      <c r="AG87" s="6">
        <f>Table1[[#This Row],[2021 U.S. Sales ($000)]]/SUMIF($E:$E, E87, $AF:$AF)</f>
        <v>3.196579638090688E-2</v>
      </c>
      <c r="AH87" s="5">
        <v>48</v>
      </c>
      <c r="AI87" s="12">
        <f t="shared" si="13"/>
        <v>8655.7083333333339</v>
      </c>
      <c r="AJ87" s="5">
        <v>194357</v>
      </c>
      <c r="AK87" s="6">
        <f>Table1[[#This Row],[2020 U.S. Sales ($000)]]/SUMIF($E:$E, E87, $AJ:$AJ)</f>
        <v>2.0694985743494491E-2</v>
      </c>
      <c r="AL87" s="5">
        <v>46</v>
      </c>
      <c r="AM87" s="5">
        <f t="shared" si="14"/>
        <v>4225.152173913043</v>
      </c>
      <c r="AN87" s="5">
        <v>320238</v>
      </c>
      <c r="AO87" s="6">
        <f>Table1[[#This Row],[2019 U.S. Sales ($000)]]/SUMIF($E:$E, E87, $AN:$AN)</f>
        <v>2.5539546628745233E-2</v>
      </c>
      <c r="AP87" s="5">
        <v>43</v>
      </c>
      <c r="AQ87" s="5">
        <f t="shared" si="15"/>
        <v>7447.395348837209</v>
      </c>
    </row>
    <row r="88" spans="1:43" x14ac:dyDescent="0.25">
      <c r="A88" t="s">
        <v>153</v>
      </c>
      <c r="B88">
        <v>854</v>
      </c>
      <c r="C88" t="s">
        <v>44</v>
      </c>
      <c r="D88" t="s">
        <v>45</v>
      </c>
      <c r="E88" t="s">
        <v>46</v>
      </c>
      <c r="F88" s="5">
        <v>82</v>
      </c>
      <c r="G88" s="5">
        <v>651000</v>
      </c>
      <c r="H88" s="6">
        <f>Table1[[#This Row],[2024 U.S. Sales ($000)]]/SUMIF($E:$E, E88, $G:$G)</f>
        <v>5.904351304658024E-3</v>
      </c>
      <c r="I88" s="5">
        <v>340</v>
      </c>
      <c r="J88" s="7">
        <f>Table1[[#This Row],[2024 U.S. Sales ($000)]]/Table1[[#This Row],[2024 U.S. Units]]</f>
        <v>1914.7058823529412</v>
      </c>
      <c r="K88" s="6">
        <f>Table1[[#This Row],[2024 U.S. Units]]/Table1[[#This Row],[2023 U.S. Units]]-1</f>
        <v>-5.8479532163743242E-3</v>
      </c>
      <c r="L88" s="8">
        <f>(Table1[[#This Row],[2024 Market share (%)]]-Table1[[#This Row],[2023 Market share (%)]])*10000</f>
        <v>-3.4292572840331945</v>
      </c>
      <c r="M88" s="6">
        <f>_xlfn.RRI(5,Table1[[#This Row],[2019 U.S. Sales ($000)]],Table1[[#This Row],[2024 U.S. Sales ($000)]])</f>
        <v>2.3425799712786688E-2</v>
      </c>
      <c r="N88" s="9">
        <f>(Table1[[#This Row],[2024 Market share (%)]]-Table1[[#This Row],[2019 Market share (%)]])*10000</f>
        <v>-7.9821090865742157</v>
      </c>
      <c r="O88" s="6">
        <f>IF(Table1[[#This Row],[2024 AUV]]=0,"",_xlfn.RRI(5,Table1[[#This Row],[2019 AUV]],Table1[[#This Row],[2024 AUV]]))</f>
        <v>4.1442650501483769E-2</v>
      </c>
      <c r="P88" s="6">
        <f>_xlfn.RRI(5,Table1[[#This Row],[2019 U.S. Units]],Table1[[#This Row],[2024 U.S. Units]])</f>
        <v>-1.7299897195511948E-2</v>
      </c>
      <c r="Q88" s="5">
        <v>683971</v>
      </c>
      <c r="R88" s="6">
        <f>Table1[[#This Row],[2023 U.S. Sales ($000)]]/SUMIF($E:$E, E88, $Q:$Q)</f>
        <v>6.2472770330613435E-3</v>
      </c>
      <c r="S88" s="8">
        <f>(Table1[[#This Row],[2023 Market share (%)]]-Table1[[#This Row],[2022 Market share (%)]])*10000</f>
        <v>-2.2128506434004271</v>
      </c>
      <c r="T88" s="10">
        <v>3.491315590780409E-2</v>
      </c>
      <c r="U88" s="5">
        <v>342</v>
      </c>
      <c r="V88" s="5">
        <f t="shared" si="8"/>
        <v>1999.9152046783627</v>
      </c>
      <c r="W88" s="10">
        <v>-2.9154518950437317E-3</v>
      </c>
      <c r="X88" s="10">
        <f t="shared" si="9"/>
        <v>4.2160542339702234E-2</v>
      </c>
      <c r="Y88" s="8">
        <f>(Table1[[#This Row],[2023 Market share (%)]]-Table1[[#This Row],[2019 Market share (%)]])*10000</f>
        <v>-4.5528518025410216</v>
      </c>
      <c r="Z88" s="10">
        <f t="shared" si="10"/>
        <v>6.3583465196768163E-2</v>
      </c>
      <c r="AA88" s="10">
        <f t="shared" si="11"/>
        <v>-2.0142211267925814E-2</v>
      </c>
      <c r="AB88" s="5">
        <v>660897</v>
      </c>
      <c r="AC88" s="6">
        <f>Table1[[#This Row],[2022 U.S. Sales ($000)]]/SUMIF($E:$E, E88, $AB:$AB)</f>
        <v>6.4685620974013862E-3</v>
      </c>
      <c r="AD88" s="5">
        <v>343</v>
      </c>
      <c r="AE88" s="5">
        <f t="shared" si="12"/>
        <v>1926.8134110787173</v>
      </c>
      <c r="AF88" s="5">
        <v>626075</v>
      </c>
      <c r="AG88" s="6">
        <f>Table1[[#This Row],[2021 U.S. Sales ($000)]]/SUMIF($E:$E, E88, $AF:$AF)</f>
        <v>6.4349336144466319E-3</v>
      </c>
      <c r="AH88" s="5">
        <v>353</v>
      </c>
      <c r="AI88" s="12">
        <f t="shared" si="13"/>
        <v>1773.5835694050991</v>
      </c>
      <c r="AJ88" s="5">
        <v>582502</v>
      </c>
      <c r="AK88" s="6">
        <f>Table1[[#This Row],[2020 U.S. Sales ($000)]]/SUMIF($E:$E, E88, $AJ:$AJ)</f>
        <v>6.6660521331551072E-3</v>
      </c>
      <c r="AL88" s="5">
        <v>361</v>
      </c>
      <c r="AM88" s="5">
        <f t="shared" si="14"/>
        <v>1613.578947368421</v>
      </c>
      <c r="AN88" s="5">
        <v>579828</v>
      </c>
      <c r="AO88" s="6">
        <f>Table1[[#This Row],[2019 U.S. Sales ($000)]]/SUMIF($E:$E, E88, $AN:$AN)</f>
        <v>6.7025622133154456E-3</v>
      </c>
      <c r="AP88" s="5">
        <v>371</v>
      </c>
      <c r="AQ88" s="5">
        <f t="shared" si="15"/>
        <v>1562.878706199461</v>
      </c>
    </row>
    <row r="89" spans="1:43" x14ac:dyDescent="0.25">
      <c r="A89" t="s">
        <v>154</v>
      </c>
      <c r="B89">
        <v>1031</v>
      </c>
      <c r="C89" t="s">
        <v>44</v>
      </c>
      <c r="D89" t="s">
        <v>56</v>
      </c>
      <c r="E89" t="s">
        <v>59</v>
      </c>
      <c r="F89" s="5">
        <v>93</v>
      </c>
      <c r="G89" s="5">
        <v>649000</v>
      </c>
      <c r="H89" s="6">
        <f>Table1[[#This Row],[2024 U.S. Sales ($000)]]/SUMIF($E:$E, E89, $G:$G)</f>
        <v>1.8583741373879678E-2</v>
      </c>
      <c r="I89" s="5">
        <v>689</v>
      </c>
      <c r="J89" s="5">
        <f>Table1[[#This Row],[2024 U.S. Sales ($000)]]/Table1[[#This Row],[2024 U.S. Units]]</f>
        <v>941.94484760522494</v>
      </c>
      <c r="K89" s="6">
        <f>Table1[[#This Row],[2024 U.S. Units]]/Table1[[#This Row],[2023 U.S. Units]]-1</f>
        <v>2.9895366218236186E-2</v>
      </c>
      <c r="L89" s="8">
        <f>(Table1[[#This Row],[2024 Market share (%)]]-Table1[[#This Row],[2023 Market share (%)]])*10000</f>
        <v>31.552631991817389</v>
      </c>
      <c r="M89" s="6">
        <f>_xlfn.RRI(5,Table1[[#This Row],[2019 U.S. Sales ($000)]],Table1[[#This Row],[2024 U.S. Sales ($000)]])</f>
        <v>5.5370998371734093E-2</v>
      </c>
      <c r="N89" s="9">
        <f>(Table1[[#This Row],[2024 Market share (%)]]-Table1[[#This Row],[2019 Market share (%)]])*10000</f>
        <v>34.084364472966833</v>
      </c>
      <c r="O89" s="6">
        <f>IF(Table1[[#This Row],[2024 AUV]]=0,"",_xlfn.RRI(5,Table1[[#This Row],[2019 AUV]],Table1[[#This Row],[2024 AUV]]))</f>
        <v>6.7349907684412402E-2</v>
      </c>
      <c r="P89" s="6">
        <f>_xlfn.RRI(5,Table1[[#This Row],[2019 U.S. Units]],Table1[[#This Row],[2024 U.S. Units]])</f>
        <v>-1.1223038692781073E-2</v>
      </c>
      <c r="Q89" s="5">
        <v>582748</v>
      </c>
      <c r="R89" s="6">
        <f>Table1[[#This Row],[2023 U.S. Sales ($000)]]/SUMIF($E:$E, E89, $Q:$Q)</f>
        <v>1.5428478174697939E-2</v>
      </c>
      <c r="S89" s="8">
        <f>(Table1[[#This Row],[2023 Market share (%)]]-Table1[[#This Row],[2022 Market share (%)]])*10000</f>
        <v>9.3368598998000074</v>
      </c>
      <c r="T89" s="10">
        <v>0.12360789757828165</v>
      </c>
      <c r="U89" s="5">
        <v>669</v>
      </c>
      <c r="V89" s="5">
        <f t="shared" si="8"/>
        <v>871.07324364723468</v>
      </c>
      <c r="W89" s="10">
        <v>-3.6023054755043228E-2</v>
      </c>
      <c r="X89" s="10">
        <f t="shared" si="9"/>
        <v>4.1275063939986145E-2</v>
      </c>
      <c r="Y89" s="8">
        <f>(Table1[[#This Row],[2023 Market share (%)]]-Table1[[#This Row],[2019 Market share (%)]])*10000</f>
        <v>2.5317324811494415</v>
      </c>
      <c r="Z89" s="10">
        <f t="shared" si="10"/>
        <v>6.3875532336717944E-2</v>
      </c>
      <c r="AA89" s="10">
        <f t="shared" si="11"/>
        <v>-2.1243526812851465E-2</v>
      </c>
      <c r="AB89" s="5">
        <v>518640</v>
      </c>
      <c r="AC89" s="6">
        <f>Table1[[#This Row],[2022 U.S. Sales ($000)]]/SUMIF($E:$E, E89, $AB:$AB)</f>
        <v>1.4494792184717938E-2</v>
      </c>
      <c r="AD89" s="5">
        <v>694</v>
      </c>
      <c r="AE89" s="5">
        <f t="shared" si="12"/>
        <v>747.31988472622481</v>
      </c>
      <c r="AF89" s="5">
        <v>426700</v>
      </c>
      <c r="AG89" s="6">
        <f>Table1[[#This Row],[2021 U.S. Sales ($000)]]/SUMIF($E:$E, E89, $AF:$AF)</f>
        <v>1.2860872247443303E-2</v>
      </c>
      <c r="AH89" s="5">
        <v>695</v>
      </c>
      <c r="AI89" s="12">
        <f t="shared" si="13"/>
        <v>613.95683453237405</v>
      </c>
      <c r="AJ89" s="5">
        <v>325800</v>
      </c>
      <c r="AK89" s="6">
        <f>Table1[[#This Row],[2020 U.S. Sales ($000)]]/SUMIF($E:$E, E89, $AJ:$AJ)</f>
        <v>1.1439825255089141E-2</v>
      </c>
      <c r="AL89" s="5">
        <v>703</v>
      </c>
      <c r="AM89" s="5">
        <f t="shared" si="14"/>
        <v>463.44238975817922</v>
      </c>
      <c r="AN89" s="5">
        <v>495700</v>
      </c>
      <c r="AO89" s="6">
        <f>Table1[[#This Row],[2019 U.S. Sales ($000)]]/SUMIF($E:$E, E89, $AN:$AN)</f>
        <v>1.5175304926582995E-2</v>
      </c>
      <c r="AP89" s="5">
        <v>729</v>
      </c>
      <c r="AQ89" s="5">
        <f t="shared" si="15"/>
        <v>679.9725651577503</v>
      </c>
    </row>
    <row r="90" spans="1:43" x14ac:dyDescent="0.25">
      <c r="A90" t="s">
        <v>155</v>
      </c>
      <c r="B90">
        <v>562791</v>
      </c>
      <c r="C90" t="s">
        <v>44</v>
      </c>
      <c r="D90" t="s">
        <v>56</v>
      </c>
      <c r="E90" t="s">
        <v>50</v>
      </c>
      <c r="F90" s="5">
        <v>118</v>
      </c>
      <c r="G90" s="5">
        <v>617000</v>
      </c>
      <c r="H90" s="6">
        <f>Table1[[#This Row],[2024 U.S. Sales ($000)]]/SUMIF($E:$E, E90, $G:$G)</f>
        <v>1.174656360659483E-2</v>
      </c>
      <c r="I90" s="5">
        <v>245</v>
      </c>
      <c r="J90" s="5">
        <f>Table1[[#This Row],[2024 U.S. Sales ($000)]]/Table1[[#This Row],[2024 U.S. Units]]</f>
        <v>2518.3673469387754</v>
      </c>
      <c r="K90" s="6">
        <f>Table1[[#This Row],[2024 U.S. Units]]/Table1[[#This Row],[2023 U.S. Units]]-1</f>
        <v>0.4497041420118344</v>
      </c>
      <c r="L90" s="8">
        <f>(Table1[[#This Row],[2024 Market share (%)]]-Table1[[#This Row],[2023 Market share (%)]])*10000</f>
        <v>34.540875421805985</v>
      </c>
      <c r="M90" s="6">
        <f>_xlfn.RRI(5,Table1[[#This Row],[2019 U.S. Sales ($000)]],Table1[[#This Row],[2024 U.S. Sales ($000)]])</f>
        <v>1.5344669393573795</v>
      </c>
      <c r="N90" s="9">
        <f>(Table1[[#This Row],[2024 Market share (%)]]-Table1[[#This Row],[2019 Market share (%)]])*10000</f>
        <v>115.54378998881563</v>
      </c>
      <c r="O90" s="6">
        <f>IF(Table1[[#This Row],[2024 AUV]]=0,"",_xlfn.RRI(5,Table1[[#This Row],[2019 AUV]],Table1[[#This Row],[2024 AUV]]))</f>
        <v>-3.1143599332048022E-2</v>
      </c>
      <c r="P90" s="6">
        <f>_xlfn.RRI(5,Table1[[#This Row],[2019 U.S. Units]],Table1[[#This Row],[2024 U.S. Units]])</f>
        <v>1.6159366213714019</v>
      </c>
      <c r="Q90" s="5">
        <v>406188</v>
      </c>
      <c r="R90" s="6">
        <f>Table1[[#This Row],[2023 U.S. Sales ($000)]]/SUMIF($E:$E, E90, $Q:$Q)</f>
        <v>8.2924760644142309E-3</v>
      </c>
      <c r="S90" s="8">
        <f>(Table1[[#This Row],[2023 Market share (%)]]-Table1[[#This Row],[2022 Market share (%)]])*10000</f>
        <v>36.335792069212488</v>
      </c>
      <c r="T90" s="10">
        <v>0.99820933115567012</v>
      </c>
      <c r="U90" s="5">
        <v>169</v>
      </c>
      <c r="V90" s="5">
        <f t="shared" si="8"/>
        <v>2403.4792899408285</v>
      </c>
      <c r="W90" s="10">
        <v>0.76041666666666663</v>
      </c>
      <c r="X90" s="10">
        <f t="shared" si="9"/>
        <v>1.8805059013868832</v>
      </c>
      <c r="Y90" s="8">
        <f>(Table1[[#This Row],[2023 Market share (%)]]-Table1[[#This Row],[2019 Market share (%)]])*10000</f>
        <v>81.00291456700964</v>
      </c>
      <c r="Z90" s="10">
        <f t="shared" si="10"/>
        <v>-4.9932215345963593E-2</v>
      </c>
      <c r="AA90" s="10">
        <f t="shared" si="11"/>
        <v>2.0318951425511269</v>
      </c>
      <c r="AB90" s="5">
        <v>203276</v>
      </c>
      <c r="AC90" s="6">
        <f>Table1[[#This Row],[2022 U.S. Sales ($000)]]/SUMIF($E:$E, E90, $AB:$AB)</f>
        <v>4.658896857492982E-3</v>
      </c>
      <c r="AD90" s="5">
        <v>102</v>
      </c>
      <c r="AE90" s="5">
        <f t="shared" si="12"/>
        <v>1992.9019607843138</v>
      </c>
      <c r="AF90" s="5">
        <v>79575</v>
      </c>
      <c r="AG90" s="6">
        <f>Table1[[#This Row],[2021 U.S. Sales ($000)]]/SUMIF($E:$E, E90, $AF:$AF)</f>
        <v>2.0240434744444131E-3</v>
      </c>
      <c r="AH90" s="5">
        <v>36</v>
      </c>
      <c r="AI90" s="12">
        <f t="shared" si="13"/>
        <v>2210.4166666666665</v>
      </c>
      <c r="AJ90" s="5">
        <v>21974</v>
      </c>
      <c r="AK90" s="6">
        <f>Table1[[#This Row],[2020 U.S. Sales ($000)]]/SUMIF($E:$E, E90, $AJ:$AJ)</f>
        <v>6.4974693016456482E-4</v>
      </c>
      <c r="AL90" s="5">
        <v>7</v>
      </c>
      <c r="AM90" s="5">
        <f t="shared" si="14"/>
        <v>3139.1428571428573</v>
      </c>
      <c r="AN90" s="5">
        <v>5900</v>
      </c>
      <c r="AO90" s="6">
        <f>Table1[[#This Row],[2019 U.S. Sales ($000)]]/SUMIF($E:$E, E90, $AN:$AN)</f>
        <v>1.9218460771326735E-4</v>
      </c>
      <c r="AP90" s="5">
        <v>2</v>
      </c>
      <c r="AQ90" s="5">
        <f t="shared" si="15"/>
        <v>2950</v>
      </c>
    </row>
    <row r="91" spans="1:43" x14ac:dyDescent="0.25">
      <c r="A91" t="s">
        <v>156</v>
      </c>
      <c r="B91">
        <v>6602</v>
      </c>
      <c r="C91" t="s">
        <v>68</v>
      </c>
      <c r="D91" t="s">
        <v>69</v>
      </c>
      <c r="E91" t="s">
        <v>79</v>
      </c>
      <c r="F91" s="5">
        <v>87</v>
      </c>
      <c r="G91" s="5">
        <v>605000</v>
      </c>
      <c r="H91" s="6">
        <f>Table1[[#This Row],[2024 U.S. Sales ($000)]]/SUMIF($E:$E, E91, $G:$G)</f>
        <v>2.9085140137493391E-2</v>
      </c>
      <c r="I91" s="5">
        <v>66</v>
      </c>
      <c r="J91" s="5">
        <f>Table1[[#This Row],[2024 U.S. Sales ($000)]]/Table1[[#This Row],[2024 U.S. Units]]</f>
        <v>9166.6666666666661</v>
      </c>
      <c r="K91" s="6">
        <f>Table1[[#This Row],[2024 U.S. Units]]/Table1[[#This Row],[2023 U.S. Units]]-1</f>
        <v>6.4516129032258007E-2</v>
      </c>
      <c r="L91" s="8">
        <f>(Table1[[#This Row],[2024 Market share (%)]]-Table1[[#This Row],[2023 Market share (%)]])*10000</f>
        <v>31.593373475387391</v>
      </c>
      <c r="M91" s="6">
        <f>_xlfn.RRI(5,Table1[[#This Row],[2019 U.S. Sales ($000)]],Table1[[#This Row],[2024 U.S. Sales ($000)]])</f>
        <v>0.12310564621598896</v>
      </c>
      <c r="N91" s="9">
        <f>(Table1[[#This Row],[2024 Market share (%)]]-Table1[[#This Row],[2019 Market share (%)]])*10000</f>
        <v>142.59419305221573</v>
      </c>
      <c r="O91" s="6">
        <f>IF(Table1[[#This Row],[2024 AUV]]=0,"",_xlfn.RRI(5,Table1[[#This Row],[2019 AUV]],Table1[[#This Row],[2024 AUV]]))</f>
        <v>2.110074916064586E-2</v>
      </c>
      <c r="P91" s="6">
        <f>_xlfn.RRI(5,Table1[[#This Row],[2019 U.S. Units]],Table1[[#This Row],[2024 U.S. Units]])</f>
        <v>9.9896995609093597E-2</v>
      </c>
      <c r="Q91" s="5">
        <v>625400</v>
      </c>
      <c r="R91" s="6">
        <f>Table1[[#This Row],[2023 U.S. Sales ($000)]]/SUMIF($E:$E, E91, $Q:$Q)</f>
        <v>2.5925802789954652E-2</v>
      </c>
      <c r="S91" s="8">
        <f>(Table1[[#This Row],[2023 Market share (%)]]-Table1[[#This Row],[2022 Market share (%)]])*10000</f>
        <v>35.928408647206631</v>
      </c>
      <c r="T91" s="10">
        <v>0.19078446306169078</v>
      </c>
      <c r="U91" s="5">
        <v>62</v>
      </c>
      <c r="V91" s="5">
        <f t="shared" si="8"/>
        <v>10087.096774193549</v>
      </c>
      <c r="W91" s="10">
        <v>0.10714285714285714</v>
      </c>
      <c r="X91" s="10">
        <f t="shared" si="9"/>
        <v>0.16580627554545035</v>
      </c>
      <c r="Y91" s="8">
        <f>(Table1[[#This Row],[2023 Market share (%)]]-Table1[[#This Row],[2019 Market share (%)]])*10000</f>
        <v>111.00081957682833</v>
      </c>
      <c r="Z91" s="10">
        <f t="shared" si="10"/>
        <v>5.1294592618468249E-2</v>
      </c>
      <c r="AA91" s="10">
        <f t="shared" si="11"/>
        <v>0.1089244477532858</v>
      </c>
      <c r="AB91" s="5">
        <v>525200</v>
      </c>
      <c r="AC91" s="6">
        <f>Table1[[#This Row],[2022 U.S. Sales ($000)]]/SUMIF($E:$E, E91, $AB:$AB)</f>
        <v>2.2332961925233989E-2</v>
      </c>
      <c r="AD91" s="5">
        <v>56</v>
      </c>
      <c r="AE91" s="5">
        <f t="shared" si="12"/>
        <v>9378.5714285714294</v>
      </c>
      <c r="AF91" s="5">
        <v>447000</v>
      </c>
      <c r="AG91" s="6">
        <f>Table1[[#This Row],[2021 U.S. Sales ($000)]]/SUMIF($E:$E, E91, $AF:$AF)</f>
        <v>2.0580011008234075E-2</v>
      </c>
      <c r="AH91" s="5">
        <v>54</v>
      </c>
      <c r="AI91" s="12">
        <f t="shared" si="13"/>
        <v>8277.7777777777774</v>
      </c>
      <c r="AJ91" s="5">
        <v>272500</v>
      </c>
      <c r="AK91" s="6">
        <f>Table1[[#This Row],[2020 U.S. Sales ($000)]]/SUMIF($E:$E, E91, $AJ:$AJ)</f>
        <v>1.6711335504314685E-2</v>
      </c>
      <c r="AL91" s="5">
        <v>48</v>
      </c>
      <c r="AM91" s="5">
        <f t="shared" si="14"/>
        <v>5677.083333333333</v>
      </c>
      <c r="AN91" s="5">
        <v>338573</v>
      </c>
      <c r="AO91" s="6">
        <f>Table1[[#This Row],[2019 U.S. Sales ($000)]]/SUMIF($E:$E, E91, $AN:$AN)</f>
        <v>1.4825720832271818E-2</v>
      </c>
      <c r="AP91" s="5">
        <v>41</v>
      </c>
      <c r="AQ91" s="5">
        <f t="shared" si="15"/>
        <v>8257.878048780487</v>
      </c>
    </row>
    <row r="92" spans="1:43" x14ac:dyDescent="0.25">
      <c r="A92" t="s">
        <v>157</v>
      </c>
      <c r="B92">
        <v>2523</v>
      </c>
      <c r="C92" t="s">
        <v>44</v>
      </c>
      <c r="D92" t="s">
        <v>56</v>
      </c>
      <c r="E92" t="s">
        <v>63</v>
      </c>
      <c r="F92" s="5">
        <v>89</v>
      </c>
      <c r="G92" s="5">
        <v>599000</v>
      </c>
      <c r="H92" s="6">
        <f>Table1[[#This Row],[2024 U.S. Sales ($000)]]/SUMIF($E:$E, E92, $G:$G)</f>
        <v>7.6598465473145777E-2</v>
      </c>
      <c r="I92" s="5">
        <v>463</v>
      </c>
      <c r="J92" s="5">
        <f>Table1[[#This Row],[2024 U.S. Sales ($000)]]/Table1[[#This Row],[2024 U.S. Units]]</f>
        <v>1293.7365010799135</v>
      </c>
      <c r="K92" s="6">
        <f>Table1[[#This Row],[2024 U.S. Units]]/Table1[[#This Row],[2023 U.S. Units]]-1</f>
        <v>-1.4893617021276562E-2</v>
      </c>
      <c r="L92" s="8">
        <f>(Table1[[#This Row],[2024 Market share (%)]]-Table1[[#This Row],[2023 Market share (%)]])*10000</f>
        <v>22.195150813124343</v>
      </c>
      <c r="M92" s="6">
        <f>_xlfn.RRI(5,Table1[[#This Row],[2019 U.S. Sales ($000)]],Table1[[#This Row],[2024 U.S. Sales ($000)]])</f>
        <v>2.3096945911665445E-2</v>
      </c>
      <c r="N92" s="9">
        <f>(Table1[[#This Row],[2024 Market share (%)]]-Table1[[#This Row],[2019 Market share (%)]])*10000</f>
        <v>-149.79785568390565</v>
      </c>
      <c r="O92" s="6">
        <f>IF(Table1[[#This Row],[2024 AUV]]=0,"",_xlfn.RRI(5,Table1[[#This Row],[2019 AUV]],Table1[[#This Row],[2024 AUV]]))</f>
        <v>2.0431437827254095E-2</v>
      </c>
      <c r="P92" s="6">
        <f>_xlfn.RRI(5,Table1[[#This Row],[2019 U.S. Units]],Table1[[#This Row],[2024 U.S. Units]])</f>
        <v>2.6121383422748057E-3</v>
      </c>
      <c r="Q92" s="5">
        <v>614248</v>
      </c>
      <c r="R92" s="6">
        <f>Table1[[#This Row],[2023 U.S. Sales ($000)]]/SUMIF($E:$E, E92, $Q:$Q)</f>
        <v>7.4378950391833343E-2</v>
      </c>
      <c r="S92" s="8">
        <f>(Table1[[#This Row],[2023 Market share (%)]]-Table1[[#This Row],[2022 Market share (%)]])*10000</f>
        <v>-62.62282979484862</v>
      </c>
      <c r="T92" s="10">
        <v>1.6126954516770238E-3</v>
      </c>
      <c r="U92" s="5">
        <v>470</v>
      </c>
      <c r="V92" s="5">
        <f t="shared" si="8"/>
        <v>1306.9106382978723</v>
      </c>
      <c r="W92" s="10">
        <v>1.9522776572668113E-2</v>
      </c>
      <c r="X92" s="10">
        <f t="shared" si="9"/>
        <v>3.5440665917993108E-2</v>
      </c>
      <c r="Y92" s="8">
        <f>(Table1[[#This Row],[2023 Market share (%)]]-Table1[[#This Row],[2019 Market share (%)]])*10000</f>
        <v>-171.99300649703</v>
      </c>
      <c r="Z92" s="10">
        <f t="shared" si="10"/>
        <v>2.8205216776889142E-2</v>
      </c>
      <c r="AA92" s="10">
        <f t="shared" si="11"/>
        <v>7.0369698801808767E-3</v>
      </c>
      <c r="AB92" s="5">
        <v>613259</v>
      </c>
      <c r="AC92" s="6">
        <f>Table1[[#This Row],[2022 U.S. Sales ($000)]]/SUMIF($E:$E, E92, $AB:$AB)</f>
        <v>8.0641233371318205E-2</v>
      </c>
      <c r="AD92" s="5">
        <v>461</v>
      </c>
      <c r="AE92" s="5">
        <f t="shared" si="12"/>
        <v>1330.2798264642083</v>
      </c>
      <c r="AF92" s="5">
        <v>566136</v>
      </c>
      <c r="AG92" s="6">
        <f>Table1[[#This Row],[2021 U.S. Sales ($000)]]/SUMIF($E:$E, E92, $AF:$AF)</f>
        <v>8.5454258388430043E-2</v>
      </c>
      <c r="AH92" s="5">
        <v>448</v>
      </c>
      <c r="AI92" s="12">
        <f t="shared" si="13"/>
        <v>1263.6964285714287</v>
      </c>
      <c r="AJ92" s="5">
        <v>465080</v>
      </c>
      <c r="AK92" s="6">
        <f>Table1[[#This Row],[2020 U.S. Sales ($000)]]/SUMIF($E:$E, E92, $AJ:$AJ)</f>
        <v>8.479234644605245E-2</v>
      </c>
      <c r="AL92" s="5">
        <v>454</v>
      </c>
      <c r="AM92" s="5">
        <f t="shared" si="14"/>
        <v>1024.4052863436123</v>
      </c>
      <c r="AN92" s="5">
        <v>534371</v>
      </c>
      <c r="AO92" s="6">
        <f>Table1[[#This Row],[2019 U.S. Sales ($000)]]/SUMIF($E:$E, E92, $AN:$AN)</f>
        <v>9.1578251041536343E-2</v>
      </c>
      <c r="AP92" s="5">
        <v>457</v>
      </c>
      <c r="AQ92" s="5">
        <f t="shared" si="15"/>
        <v>1169.3019693654267</v>
      </c>
    </row>
    <row r="93" spans="1:43" x14ac:dyDescent="0.25">
      <c r="A93" t="s">
        <v>158</v>
      </c>
      <c r="B93">
        <v>1167</v>
      </c>
      <c r="C93" t="s">
        <v>68</v>
      </c>
      <c r="D93" t="s">
        <v>69</v>
      </c>
      <c r="E93" t="s">
        <v>87</v>
      </c>
      <c r="F93" s="5">
        <v>88</v>
      </c>
      <c r="G93" s="5">
        <v>599000</v>
      </c>
      <c r="H93" s="6">
        <f>Table1[[#This Row],[2024 U.S. Sales ($000)]]/SUMIF($E:$E, E93, $G:$G)</f>
        <v>7.505325147224659E-2</v>
      </c>
      <c r="I93" s="5">
        <v>171</v>
      </c>
      <c r="J93" s="5">
        <f>Table1[[#This Row],[2024 U.S. Sales ($000)]]/Table1[[#This Row],[2024 U.S. Units]]</f>
        <v>3502.9239766081873</v>
      </c>
      <c r="K93" s="6">
        <f>Table1[[#This Row],[2024 U.S. Units]]/Table1[[#This Row],[2023 U.S. Units]]-1</f>
        <v>5.555555555555558E-2</v>
      </c>
      <c r="L93" s="8">
        <f>(Table1[[#This Row],[2024 Market share (%)]]-Table1[[#This Row],[2023 Market share (%)]])*10000</f>
        <v>111.20724183753886</v>
      </c>
      <c r="M93" s="6">
        <f>_xlfn.RRI(5,Table1[[#This Row],[2019 U.S. Sales ($000)]],Table1[[#This Row],[2024 U.S. Sales ($000)]])</f>
        <v>1.2266504413146251E-2</v>
      </c>
      <c r="N93" s="9">
        <f>(Table1[[#This Row],[2024 Market share (%)]]-Table1[[#This Row],[2019 Market share (%)]])*10000</f>
        <v>92.061028125898915</v>
      </c>
      <c r="O93" s="6">
        <f>IF(Table1[[#This Row],[2024 AUV]]=0,"",_xlfn.RRI(5,Table1[[#This Row],[2019 AUV]],Table1[[#This Row],[2024 AUV]]))</f>
        <v>-3.3051317469900865E-2</v>
      </c>
      <c r="P93" s="6">
        <f>_xlfn.RRI(5,Table1[[#This Row],[2019 U.S. Units]],Table1[[#This Row],[2024 U.S. Units]])</f>
        <v>4.6866832440858541E-2</v>
      </c>
      <c r="Q93" s="5">
        <v>623400</v>
      </c>
      <c r="R93" s="6">
        <f>Table1[[#This Row],[2023 U.S. Sales ($000)]]/SUMIF($E:$E, E93, $Q:$Q)</f>
        <v>6.3932527288492705E-2</v>
      </c>
      <c r="S93" s="8">
        <f>(Table1[[#This Row],[2023 Market share (%)]]-Table1[[#This Row],[2022 Market share (%)]])*10000</f>
        <v>9.6147261304141409</v>
      </c>
      <c r="T93" s="10">
        <v>5.7327001356852106E-2</v>
      </c>
      <c r="U93" s="5">
        <v>162</v>
      </c>
      <c r="V93" s="5">
        <f t="shared" si="8"/>
        <v>3848.1481481481483</v>
      </c>
      <c r="W93" s="10">
        <v>7.2847682119205295E-2</v>
      </c>
      <c r="X93" s="10">
        <f t="shared" si="9"/>
        <v>2.5542296975401335E-2</v>
      </c>
      <c r="Y93" s="8">
        <f>(Table1[[#This Row],[2023 Market share (%)]]-Table1[[#This Row],[2019 Market share (%)]])*10000</f>
        <v>-19.146213711639938</v>
      </c>
      <c r="Z93" s="10">
        <f t="shared" si="10"/>
        <v>-1.8343491476688678E-2</v>
      </c>
      <c r="AA93" s="10">
        <f t="shared" si="11"/>
        <v>4.4705849827356037E-2</v>
      </c>
      <c r="AB93" s="5">
        <v>589600</v>
      </c>
      <c r="AC93" s="6">
        <f>Table1[[#This Row],[2022 U.S. Sales ($000)]]/SUMIF($E:$E, E93, $AB:$AB)</f>
        <v>6.2971054675451291E-2</v>
      </c>
      <c r="AD93" s="5">
        <v>151</v>
      </c>
      <c r="AE93" s="5">
        <f t="shared" si="12"/>
        <v>3904.635761589404</v>
      </c>
      <c r="AF93" s="5">
        <v>436637</v>
      </c>
      <c r="AG93" s="6">
        <f>Table1[[#This Row],[2021 U.S. Sales ($000)]]/SUMIF($E:$E, E93, $AF:$AF)</f>
        <v>5.1197048785972962E-2</v>
      </c>
      <c r="AH93" s="5">
        <v>144</v>
      </c>
      <c r="AI93" s="12">
        <f t="shared" si="13"/>
        <v>3032.2013888888887</v>
      </c>
      <c r="AJ93" s="5">
        <v>159501</v>
      </c>
      <c r="AK93" s="6">
        <f>Table1[[#This Row],[2020 U.S. Sales ($000)]]/SUMIF($E:$E, E93, $AJ:$AJ)</f>
        <v>2.40736131761379E-2</v>
      </c>
      <c r="AL93" s="5">
        <v>140</v>
      </c>
      <c r="AM93" s="5">
        <f t="shared" si="14"/>
        <v>1139.2928571428572</v>
      </c>
      <c r="AN93" s="5">
        <v>563576</v>
      </c>
      <c r="AO93" s="6">
        <f>Table1[[#This Row],[2019 U.S. Sales ($000)]]/SUMIF($E:$E, E93, $AN:$AN)</f>
        <v>6.5847148659656698E-2</v>
      </c>
      <c r="AP93" s="5">
        <v>136</v>
      </c>
      <c r="AQ93" s="5">
        <f t="shared" si="15"/>
        <v>4143.9411764705883</v>
      </c>
    </row>
    <row r="94" spans="1:43" x14ac:dyDescent="0.25">
      <c r="A94" t="s">
        <v>159</v>
      </c>
      <c r="B94">
        <v>1586</v>
      </c>
      <c r="C94" t="s">
        <v>68</v>
      </c>
      <c r="D94" t="s">
        <v>69</v>
      </c>
      <c r="E94" t="s">
        <v>87</v>
      </c>
      <c r="F94" s="5">
        <v>90</v>
      </c>
      <c r="G94" s="5">
        <v>595000</v>
      </c>
      <c r="H94" s="6">
        <f>Table1[[#This Row],[2024 U.S. Sales ($000)]]/SUMIF($E:$E, E94, $G:$G)</f>
        <v>7.4552061145219894E-2</v>
      </c>
      <c r="I94" s="5">
        <v>115</v>
      </c>
      <c r="J94" s="5">
        <f>Table1[[#This Row],[2024 U.S. Sales ($000)]]/Table1[[#This Row],[2024 U.S. Units]]</f>
        <v>5173.913043478261</v>
      </c>
      <c r="K94" s="6">
        <f>Table1[[#This Row],[2024 U.S. Units]]/Table1[[#This Row],[2023 U.S. Units]]-1</f>
        <v>4.5454545454545414E-2</v>
      </c>
      <c r="L94" s="8">
        <f>(Table1[[#This Row],[2024 Market share (%)]]-Table1[[#This Row],[2023 Market share (%)]])*10000</f>
        <v>127.73180108023863</v>
      </c>
      <c r="M94" s="6">
        <f>_xlfn.RRI(5,Table1[[#This Row],[2019 U.S. Sales ($000)]],Table1[[#This Row],[2024 U.S. Sales ($000)]])</f>
        <v>4.3804012504885748E-2</v>
      </c>
      <c r="N94" s="9">
        <f>(Table1[[#This Row],[2024 Market share (%)]]-Table1[[#This Row],[2019 Market share (%)]])*10000</f>
        <v>184.46405854066359</v>
      </c>
      <c r="O94" s="6">
        <f>IF(Table1[[#This Row],[2024 AUV]]=0,"",_xlfn.RRI(5,Table1[[#This Row],[2019 AUV]],Table1[[#This Row],[2024 AUV]]))</f>
        <v>-3.935017465813595E-3</v>
      </c>
      <c r="P94" s="6">
        <f>_xlfn.RRI(5,Table1[[#This Row],[2019 U.S. Units]],Table1[[#This Row],[2024 U.S. Units]])</f>
        <v>4.7927626016168068E-2</v>
      </c>
      <c r="Q94" s="5">
        <v>602400</v>
      </c>
      <c r="R94" s="6">
        <f>Table1[[#This Row],[2023 U.S. Sales ($000)]]/SUMIF($E:$E, E94, $Q:$Q)</f>
        <v>6.1778881037196032E-2</v>
      </c>
      <c r="S94" s="8">
        <f>(Table1[[#This Row],[2023 Market share (%)]]-Table1[[#This Row],[2022 Market share (%)]])*10000</f>
        <v>60.59750738378299</v>
      </c>
      <c r="T94" s="10">
        <v>0.15468660149511212</v>
      </c>
      <c r="U94" s="5">
        <v>110</v>
      </c>
      <c r="V94" s="5">
        <f t="shared" si="8"/>
        <v>5476.363636363636</v>
      </c>
      <c r="W94" s="10">
        <v>8.9108910891089105E-2</v>
      </c>
      <c r="X94" s="10">
        <f t="shared" si="9"/>
        <v>5.8316828222512385E-2</v>
      </c>
      <c r="Y94" s="8">
        <f>(Table1[[#This Row],[2023 Market share (%)]]-Table1[[#This Row],[2019 Market share (%)]])*10000</f>
        <v>56.732257460424954</v>
      </c>
      <c r="Z94" s="10">
        <f t="shared" si="10"/>
        <v>9.3176751102934663E-3</v>
      </c>
      <c r="AA94" s="10">
        <f t="shared" si="11"/>
        <v>4.8546809711683903E-2</v>
      </c>
      <c r="AB94" s="5">
        <v>521700</v>
      </c>
      <c r="AC94" s="6">
        <f>Table1[[#This Row],[2022 U.S. Sales ($000)]]/SUMIF($E:$E, E94, $AB:$AB)</f>
        <v>5.5719130298817733E-2</v>
      </c>
      <c r="AD94" s="5">
        <v>101</v>
      </c>
      <c r="AE94" s="5">
        <f t="shared" si="12"/>
        <v>5165.3465346534649</v>
      </c>
      <c r="AF94" s="5">
        <v>457400</v>
      </c>
      <c r="AG94" s="6">
        <f>Table1[[#This Row],[2021 U.S. Sales ($000)]]/SUMIF($E:$E, E94, $AF:$AF)</f>
        <v>5.363157523229601E-2</v>
      </c>
      <c r="AH94" s="5">
        <v>97</v>
      </c>
      <c r="AI94" s="12">
        <f t="shared" si="13"/>
        <v>4715.4639175257735</v>
      </c>
      <c r="AJ94" s="5">
        <v>326600</v>
      </c>
      <c r="AK94" s="6">
        <f>Table1[[#This Row],[2020 U.S. Sales ($000)]]/SUMIF($E:$E, E94, $AJ:$AJ)</f>
        <v>4.9293998553781096E-2</v>
      </c>
      <c r="AL94" s="5">
        <v>93</v>
      </c>
      <c r="AM94" s="5">
        <f t="shared" si="14"/>
        <v>3511.8279569892475</v>
      </c>
      <c r="AN94" s="5">
        <v>480200</v>
      </c>
      <c r="AO94" s="6">
        <f>Table1[[#This Row],[2019 U.S. Sales ($000)]]/SUMIF($E:$E, E94, $AN:$AN)</f>
        <v>5.6105655291153536E-2</v>
      </c>
      <c r="AP94" s="5">
        <v>91</v>
      </c>
      <c r="AQ94" s="5">
        <f t="shared" si="15"/>
        <v>5276.9230769230771</v>
      </c>
    </row>
    <row r="95" spans="1:43" x14ac:dyDescent="0.25">
      <c r="A95" t="s">
        <v>160</v>
      </c>
      <c r="B95">
        <v>2530</v>
      </c>
      <c r="C95" t="s">
        <v>44</v>
      </c>
      <c r="D95" t="s">
        <v>45</v>
      </c>
      <c r="E95" t="s">
        <v>46</v>
      </c>
      <c r="F95" s="5">
        <v>102</v>
      </c>
      <c r="G95" s="5">
        <v>590000</v>
      </c>
      <c r="H95" s="6">
        <f>Table1[[#This Row],[2024 U.S. Sales ($000)]]/SUMIF($E:$E, E95, $G:$G)</f>
        <v>5.3511017968482866E-3</v>
      </c>
      <c r="I95" s="5">
        <v>267</v>
      </c>
      <c r="J95" s="7">
        <f>Table1[[#This Row],[2024 U.S. Sales ($000)]]/Table1[[#This Row],[2024 U.S. Units]]</f>
        <v>2209.7378277153557</v>
      </c>
      <c r="K95" s="6">
        <f>Table1[[#This Row],[2024 U.S. Units]]/Table1[[#This Row],[2023 U.S. Units]]-1</f>
        <v>5.9523809523809534E-2</v>
      </c>
      <c r="L95" s="8">
        <f>(Table1[[#This Row],[2024 Market share (%)]]-Table1[[#This Row],[2023 Market share (%)]])*10000</f>
        <v>3.6768239860147673</v>
      </c>
      <c r="M95" s="6">
        <f>_xlfn.RRI(5,Table1[[#This Row],[2019 U.S. Sales ($000)]],Table1[[#This Row],[2024 U.S. Sales ($000)]])</f>
        <v>0.12700920209792543</v>
      </c>
      <c r="N95" s="9">
        <f>(Table1[[#This Row],[2024 Market share (%)]]-Table1[[#This Row],[2019 Market share (%)]])*10000</f>
        <v>16.000214105598324</v>
      </c>
      <c r="O95" s="6">
        <f>IF(Table1[[#This Row],[2024 AUV]]=0,"",_xlfn.RRI(5,Table1[[#This Row],[2019 AUV]],Table1[[#This Row],[2024 AUV]]))</f>
        <v>3.6878199299475778E-2</v>
      </c>
      <c r="P95" s="6">
        <f>_xlfn.RRI(5,Table1[[#This Row],[2019 U.S. Units]],Table1[[#This Row],[2024 U.S. Units]])</f>
        <v>8.6925352331009398E-2</v>
      </c>
      <c r="Q95" s="5">
        <v>545600</v>
      </c>
      <c r="R95" s="6">
        <f>Table1[[#This Row],[2023 U.S. Sales ($000)]]/SUMIF($E:$E, E95, $Q:$Q)</f>
        <v>4.9834193982468099E-3</v>
      </c>
      <c r="S95" s="8">
        <f>(Table1[[#This Row],[2023 Market share (%)]]-Table1[[#This Row],[2022 Market share (%)]])*10000</f>
        <v>2.4624544354241458</v>
      </c>
      <c r="T95" s="10">
        <v>0.12727272727272726</v>
      </c>
      <c r="U95" s="5">
        <v>252</v>
      </c>
      <c r="V95" s="5">
        <f t="shared" si="8"/>
        <v>2165.0793650793653</v>
      </c>
      <c r="W95" s="10">
        <v>9.5652173913043481E-2</v>
      </c>
      <c r="X95" s="10">
        <f t="shared" si="9"/>
        <v>0.138714668556702</v>
      </c>
      <c r="Y95" s="8">
        <f>(Table1[[#This Row],[2023 Market share (%)]]-Table1[[#This Row],[2019 Market share (%)]])*10000</f>
        <v>12.323390119583555</v>
      </c>
      <c r="Z95" s="10">
        <f t="shared" si="10"/>
        <v>4.0981345285925563E-2</v>
      </c>
      <c r="AA95" s="10">
        <f t="shared" si="11"/>
        <v>9.388575858094006E-2</v>
      </c>
      <c r="AB95" s="5">
        <v>484000</v>
      </c>
      <c r="AC95" s="6">
        <f>Table1[[#This Row],[2022 U.S. Sales ($000)]]/SUMIF($E:$E, E95, $AB:$AB)</f>
        <v>4.7371739547043953E-3</v>
      </c>
      <c r="AD95" s="5">
        <v>230</v>
      </c>
      <c r="AE95" s="5">
        <f t="shared" si="12"/>
        <v>2104.3478260869565</v>
      </c>
      <c r="AF95" s="5">
        <v>428100</v>
      </c>
      <c r="AG95" s="6">
        <f>Table1[[#This Row],[2021 U.S. Sales ($000)]]/SUMIF($E:$E, E95, $AF:$AF)</f>
        <v>4.4001039497577818E-3</v>
      </c>
      <c r="AH95" s="5">
        <v>210</v>
      </c>
      <c r="AI95" s="12">
        <f t="shared" si="13"/>
        <v>2038.5714285714287</v>
      </c>
      <c r="AJ95" s="5">
        <v>368000</v>
      </c>
      <c r="AK95" s="6">
        <f>Table1[[#This Row],[2020 U.S. Sales ($000)]]/SUMIF($E:$E, E95, $AJ:$AJ)</f>
        <v>4.2113283473723343E-3</v>
      </c>
      <c r="AL95" s="5">
        <v>192</v>
      </c>
      <c r="AM95" s="5">
        <f t="shared" si="14"/>
        <v>1916.6666666666667</v>
      </c>
      <c r="AN95" s="5">
        <v>324500</v>
      </c>
      <c r="AO95" s="6">
        <f>Table1[[#This Row],[2019 U.S. Sales ($000)]]/SUMIF($E:$E, E95, $AN:$AN)</f>
        <v>3.7510803862884543E-3</v>
      </c>
      <c r="AP95" s="5">
        <v>176</v>
      </c>
      <c r="AQ95" s="5">
        <f t="shared" si="15"/>
        <v>1843.75</v>
      </c>
    </row>
    <row r="96" spans="1:43" x14ac:dyDescent="0.25">
      <c r="A96" t="s">
        <v>161</v>
      </c>
      <c r="B96">
        <v>9251</v>
      </c>
      <c r="C96" t="s">
        <v>44</v>
      </c>
      <c r="D96" t="s">
        <v>56</v>
      </c>
      <c r="E96" t="s">
        <v>61</v>
      </c>
      <c r="F96" s="5">
        <v>84</v>
      </c>
      <c r="G96" s="5">
        <v>583000</v>
      </c>
      <c r="H96" s="6">
        <f>Table1[[#This Row],[2024 U.S. Sales ($000)]]/SUMIF($E:$E, E96, $G:$G)</f>
        <v>1.9836679142565497E-2</v>
      </c>
      <c r="I96" s="5">
        <v>485</v>
      </c>
      <c r="J96" s="5">
        <f>Table1[[#This Row],[2024 U.S. Sales ($000)]]/Table1[[#This Row],[2024 U.S. Units]]</f>
        <v>1202.0618556701031</v>
      </c>
      <c r="K96" s="6">
        <f>Table1[[#This Row],[2024 U.S. Units]]/Table1[[#This Row],[2023 U.S. Units]]-1</f>
        <v>-0.12137681159420288</v>
      </c>
      <c r="L96" s="8">
        <f>(Table1[[#This Row],[2024 Market share (%)]]-Table1[[#This Row],[2023 Market share (%)]])*10000</f>
        <v>-21.460000775695779</v>
      </c>
      <c r="M96" s="6">
        <f>_xlfn.RRI(5,Table1[[#This Row],[2019 U.S. Sales ($000)]],Table1[[#This Row],[2024 U.S. Sales ($000)]])</f>
        <v>3.8136391310545692E-2</v>
      </c>
      <c r="N96" s="9">
        <f>(Table1[[#This Row],[2024 Market share (%)]]-Table1[[#This Row],[2019 Market share (%)]])*10000</f>
        <v>11.026551288401791</v>
      </c>
      <c r="O96" s="6">
        <f>IF(Table1[[#This Row],[2024 AUV]]=0,"",_xlfn.RRI(5,Table1[[#This Row],[2019 AUV]],Table1[[#This Row],[2024 AUV]]))</f>
        <v>3.0313626496701218E-2</v>
      </c>
      <c r="P96" s="6">
        <f>_xlfn.RRI(5,Table1[[#This Row],[2019 U.S. Units]],Table1[[#This Row],[2024 U.S. Units]])</f>
        <v>7.5926054093291562E-3</v>
      </c>
      <c r="Q96" s="5">
        <v>671500</v>
      </c>
      <c r="R96" s="6">
        <f>Table1[[#This Row],[2023 U.S. Sales ($000)]]/SUMIF($E:$E, E96, $Q:$Q)</f>
        <v>2.1982679220135075E-2</v>
      </c>
      <c r="S96" s="8">
        <f>(Table1[[#This Row],[2023 Market share (%)]]-Table1[[#This Row],[2022 Market share (%)]])*10000</f>
        <v>-3.1235803528317785</v>
      </c>
      <c r="T96" s="10">
        <v>1.4656996071320641E-2</v>
      </c>
      <c r="U96" s="5">
        <v>552</v>
      </c>
      <c r="V96" s="5">
        <f t="shared" si="8"/>
        <v>1216.4855072463768</v>
      </c>
      <c r="W96" s="10">
        <v>3.954802259887006E-2</v>
      </c>
      <c r="X96" s="10">
        <f t="shared" si="9"/>
        <v>8.5581377483091137E-2</v>
      </c>
      <c r="Y96" s="8">
        <f>(Table1[[#This Row],[2023 Market share (%)]]-Table1[[#This Row],[2019 Market share (%)]])*10000</f>
        <v>32.486552064097566</v>
      </c>
      <c r="Z96" s="10">
        <f t="shared" si="10"/>
        <v>4.113449389773538E-2</v>
      </c>
      <c r="AA96" s="10">
        <f t="shared" si="11"/>
        <v>4.2690818377324247E-2</v>
      </c>
      <c r="AB96" s="5">
        <v>661800</v>
      </c>
      <c r="AC96" s="6">
        <f>Table1[[#This Row],[2022 U.S. Sales ($000)]]/SUMIF($E:$E, E96, $AB:$AB)</f>
        <v>2.2295037255418253E-2</v>
      </c>
      <c r="AD96" s="5">
        <v>531</v>
      </c>
      <c r="AE96" s="5">
        <f t="shared" si="12"/>
        <v>1246.3276836158193</v>
      </c>
      <c r="AF96" s="5">
        <v>590000</v>
      </c>
      <c r="AG96" s="6">
        <f>Table1[[#This Row],[2021 U.S. Sales ($000)]]/SUMIF($E:$E, E96, $AF:$AF)</f>
        <v>2.029684304967291E-2</v>
      </c>
      <c r="AH96" s="5">
        <v>506</v>
      </c>
      <c r="AI96" s="12">
        <f t="shared" si="13"/>
        <v>1166.00790513834</v>
      </c>
      <c r="AJ96" s="5">
        <v>461000</v>
      </c>
      <c r="AK96" s="6">
        <f>Table1[[#This Row],[2020 U.S. Sales ($000)]]/SUMIF($E:$E, E96, $AJ:$AJ)</f>
        <v>1.7031860922183274E-2</v>
      </c>
      <c r="AL96" s="5">
        <v>489</v>
      </c>
      <c r="AM96" s="5">
        <f t="shared" si="14"/>
        <v>942.74028629856855</v>
      </c>
      <c r="AN96" s="5">
        <v>483500</v>
      </c>
      <c r="AO96" s="6">
        <f>Table1[[#This Row],[2019 U.S. Sales ($000)]]/SUMIF($E:$E, E96, $AN:$AN)</f>
        <v>1.8734024013725318E-2</v>
      </c>
      <c r="AP96" s="5">
        <v>467</v>
      </c>
      <c r="AQ96" s="5">
        <f t="shared" si="15"/>
        <v>1035.3319057815845</v>
      </c>
    </row>
    <row r="97" spans="1:43" x14ac:dyDescent="0.25">
      <c r="A97" t="s">
        <v>162</v>
      </c>
      <c r="B97">
        <v>1618</v>
      </c>
      <c r="C97" t="s">
        <v>68</v>
      </c>
      <c r="D97" t="s">
        <v>133</v>
      </c>
      <c r="E97" t="s">
        <v>70</v>
      </c>
      <c r="F97" s="5">
        <v>96</v>
      </c>
      <c r="G97" s="5">
        <v>582000</v>
      </c>
      <c r="H97" s="6">
        <f>Table1[[#This Row],[2024 U.S. Sales ($000)]]/SUMIF($E:$E, E97, $G:$G)</f>
        <v>3.5850683750153996E-2</v>
      </c>
      <c r="I97" s="5">
        <v>66</v>
      </c>
      <c r="J97" s="5">
        <f>Table1[[#This Row],[2024 U.S. Sales ($000)]]/Table1[[#This Row],[2024 U.S. Units]]</f>
        <v>8818.181818181818</v>
      </c>
      <c r="K97" s="6">
        <f>Table1[[#This Row],[2024 U.S. Units]]/Table1[[#This Row],[2023 U.S. Units]]-1</f>
        <v>6.4516129032258007E-2</v>
      </c>
      <c r="L97" s="8">
        <f>(Table1[[#This Row],[2024 Market share (%)]]-Table1[[#This Row],[2023 Market share (%)]])*10000</f>
        <v>0.85320318628352709</v>
      </c>
      <c r="M97" s="6">
        <f>_xlfn.RRI(5,Table1[[#This Row],[2019 U.S. Sales ($000)]],Table1[[#This Row],[2024 U.S. Sales ($000)]])</f>
        <v>4.0898734730234532E-2</v>
      </c>
      <c r="N97" s="9">
        <f>(Table1[[#This Row],[2024 Market share (%)]]-Table1[[#This Row],[2019 Market share (%)]])*10000</f>
        <v>-21.350832708471184</v>
      </c>
      <c r="O97" s="6">
        <f>IF(Table1[[#This Row],[2024 AUV]]=0,"",_xlfn.RRI(5,Table1[[#This Row],[2019 AUV]],Table1[[#This Row],[2024 AUV]]))</f>
        <v>1.4344064470968476E-2</v>
      </c>
      <c r="P97" s="6">
        <f>_xlfn.RRI(5,Table1[[#This Row],[2019 U.S. Units]],Table1[[#This Row],[2024 U.S. Units]])</f>
        <v>2.6179154775372693E-2</v>
      </c>
      <c r="Q97" s="5">
        <v>571000</v>
      </c>
      <c r="R97" s="6">
        <f>Table1[[#This Row],[2023 U.S. Sales ($000)]]/SUMIF($E:$E, E97, $Q:$Q)</f>
        <v>3.5765363431525643E-2</v>
      </c>
      <c r="S97" s="8">
        <f>(Table1[[#This Row],[2023 Market share (%)]]-Table1[[#This Row],[2022 Market share (%)]])*10000</f>
        <v>-16.196843810116491</v>
      </c>
      <c r="T97" s="10">
        <v>4.3875685557586835E-2</v>
      </c>
      <c r="U97" s="5">
        <v>62</v>
      </c>
      <c r="V97" s="5">
        <f t="shared" si="8"/>
        <v>9209.677419354839</v>
      </c>
      <c r="W97" s="10">
        <v>0</v>
      </c>
      <c r="X97" s="10">
        <f t="shared" si="9"/>
        <v>4.6378678500334169E-2</v>
      </c>
      <c r="Y97" s="8">
        <f>(Table1[[#This Row],[2023 Market share (%)]]-Table1[[#This Row],[2019 Market share (%)]])*10000</f>
        <v>-22.204035894754711</v>
      </c>
      <c r="Z97" s="10">
        <f t="shared" si="10"/>
        <v>2.9077203606367563E-2</v>
      </c>
      <c r="AA97" s="10">
        <f t="shared" si="11"/>
        <v>1.6812611175657466E-2</v>
      </c>
      <c r="AB97" s="5">
        <v>547000</v>
      </c>
      <c r="AC97" s="6">
        <f>Table1[[#This Row],[2022 U.S. Sales ($000)]]/SUMIF($E:$E, E97, $AB:$AB)</f>
        <v>3.7385047812537292E-2</v>
      </c>
      <c r="AD97" s="5">
        <v>62</v>
      </c>
      <c r="AE97" s="5">
        <f t="shared" si="12"/>
        <v>8822.5806451612898</v>
      </c>
      <c r="AF97" s="5">
        <v>450300</v>
      </c>
      <c r="AG97" s="6">
        <f>Table1[[#This Row],[2021 U.S. Sales ($000)]]/SUMIF($E:$E, E97, $AF:$AF)</f>
        <v>3.4645244011231431E-2</v>
      </c>
      <c r="AH97" s="5">
        <v>62</v>
      </c>
      <c r="AI97" s="12">
        <f t="shared" si="13"/>
        <v>7262.9032258064517</v>
      </c>
      <c r="AJ97" s="5">
        <v>328800</v>
      </c>
      <c r="AK97" s="6">
        <f>Table1[[#This Row],[2020 U.S. Sales ($000)]]/SUMIF($E:$E, E97, $AJ:$AJ)</f>
        <v>3.5010374272400731E-2</v>
      </c>
      <c r="AL97" s="5">
        <v>60</v>
      </c>
      <c r="AM97" s="5">
        <f t="shared" si="14"/>
        <v>5480</v>
      </c>
      <c r="AN97" s="5">
        <v>476300</v>
      </c>
      <c r="AO97" s="6">
        <f>Table1[[#This Row],[2019 U.S. Sales ($000)]]/SUMIF($E:$E, E97, $AN:$AN)</f>
        <v>3.7985767021001114E-2</v>
      </c>
      <c r="AP97" s="5">
        <v>58</v>
      </c>
      <c r="AQ97" s="5">
        <f t="shared" si="15"/>
        <v>8212.0689655172409</v>
      </c>
    </row>
    <row r="98" spans="1:43" x14ac:dyDescent="0.25">
      <c r="A98" t="s">
        <v>163</v>
      </c>
      <c r="B98">
        <v>7711</v>
      </c>
      <c r="C98" t="s">
        <v>68</v>
      </c>
      <c r="D98" t="s">
        <v>69</v>
      </c>
      <c r="E98" t="s">
        <v>87</v>
      </c>
      <c r="F98" s="5">
        <v>101</v>
      </c>
      <c r="G98" s="5">
        <v>575000</v>
      </c>
      <c r="H98" s="6">
        <f>Table1[[#This Row],[2024 U.S. Sales ($000)]]/SUMIF($E:$E, E98, $G:$G)</f>
        <v>7.2046109510086456E-2</v>
      </c>
      <c r="I98" s="5">
        <v>108</v>
      </c>
      <c r="J98" s="5">
        <f>Table1[[#This Row],[2024 U.S. Sales ($000)]]/Table1[[#This Row],[2024 U.S. Units]]</f>
        <v>5324.0740740740739</v>
      </c>
      <c r="K98" s="6">
        <f>Table1[[#This Row],[2024 U.S. Units]]/Table1[[#This Row],[2023 U.S. Units]]-1</f>
        <v>4.8543689320388328E-2</v>
      </c>
      <c r="L98" s="8">
        <f>(Table1[[#This Row],[2024 Market share (%)]]-Table1[[#This Row],[2023 Market share (%)]])*10000</f>
        <v>160.60536888878477</v>
      </c>
      <c r="M98" s="6">
        <f>_xlfn.RRI(5,Table1[[#This Row],[2019 U.S. Sales ($000)]],Table1[[#This Row],[2024 U.S. Sales ($000)]])</f>
        <v>0.11356910141517051</v>
      </c>
      <c r="N98" s="9">
        <f>(Table1[[#This Row],[2024 Market share (%)]]-Table1[[#This Row],[2019 Market share (%)]])*10000</f>
        <v>328.11758921946836</v>
      </c>
      <c r="O98" s="6">
        <f>IF(Table1[[#This Row],[2024 AUV]]=0,"",_xlfn.RRI(5,Table1[[#This Row],[2019 AUV]],Table1[[#This Row],[2024 AUV]]))</f>
        <v>5.8981267899729239E-2</v>
      </c>
      <c r="P98" s="6">
        <f>_xlfn.RRI(5,Table1[[#This Row],[2019 U.S. Units]],Table1[[#This Row],[2024 U.S. Units]])</f>
        <v>5.1547496797280434E-2</v>
      </c>
      <c r="Q98" s="5">
        <v>545910</v>
      </c>
      <c r="R98" s="6">
        <f>Table1[[#This Row],[2023 U.S. Sales ($000)]]/SUMIF($E:$E, E98, $Q:$Q)</f>
        <v>5.5985572621207978E-2</v>
      </c>
      <c r="S98" s="8">
        <f>(Table1[[#This Row],[2023 Market share (%)]]-Table1[[#This Row],[2022 Market share (%)]])*10000</f>
        <v>35.250021564269126</v>
      </c>
      <c r="T98" s="10">
        <v>0.11140291944054236</v>
      </c>
      <c r="U98" s="5">
        <v>103</v>
      </c>
      <c r="V98" s="5">
        <f t="shared" si="8"/>
        <v>5300.0970873786409</v>
      </c>
      <c r="W98" s="10">
        <v>0.11956521739130435</v>
      </c>
      <c r="X98" s="10">
        <f t="shared" si="9"/>
        <v>0.12917113090375487</v>
      </c>
      <c r="Y98" s="8">
        <f>(Table1[[#This Row],[2023 Market share (%)]]-Table1[[#This Row],[2019 Market share (%)]])*10000</f>
        <v>167.51222033068356</v>
      </c>
      <c r="Z98" s="10">
        <f t="shared" si="10"/>
        <v>7.3050797132508283E-2</v>
      </c>
      <c r="AA98" s="10">
        <f t="shared" si="11"/>
        <v>5.2299792257007649E-2</v>
      </c>
      <c r="AB98" s="5">
        <v>491190</v>
      </c>
      <c r="AC98" s="6">
        <f>Table1[[#This Row],[2022 U.S. Sales ($000)]]/SUMIF($E:$E, E98, $AB:$AB)</f>
        <v>5.2460570464781066E-2</v>
      </c>
      <c r="AD98" s="5">
        <v>92</v>
      </c>
      <c r="AE98" s="5">
        <f t="shared" si="12"/>
        <v>5339.021739130435</v>
      </c>
      <c r="AF98" s="5">
        <v>392528</v>
      </c>
      <c r="AG98" s="6">
        <f>Table1[[#This Row],[2021 U.S. Sales ($000)]]/SUMIF($E:$E, E98, $AF:$AF)</f>
        <v>4.6025131094846281E-2</v>
      </c>
      <c r="AH98" s="5">
        <v>84</v>
      </c>
      <c r="AI98" s="12">
        <f t="shared" si="13"/>
        <v>4672.9523809523807</v>
      </c>
      <c r="AJ98" s="5">
        <v>259550</v>
      </c>
      <c r="AK98" s="6">
        <f>Table1[[#This Row],[2020 U.S. Sales ($000)]]/SUMIF($E:$E, E98, $AJ:$AJ)</f>
        <v>3.9174088562871655E-2</v>
      </c>
      <c r="AL98" s="5">
        <v>79</v>
      </c>
      <c r="AM98" s="5">
        <f t="shared" si="14"/>
        <v>3285.4430379746836</v>
      </c>
      <c r="AN98" s="5">
        <v>335801</v>
      </c>
      <c r="AO98" s="6">
        <f>Table1[[#This Row],[2019 U.S. Sales ($000)]]/SUMIF($E:$E, E98, $AN:$AN)</f>
        <v>3.9234350588139622E-2</v>
      </c>
      <c r="AP98" s="5">
        <v>84</v>
      </c>
      <c r="AQ98" s="5">
        <f t="shared" si="15"/>
        <v>3997.6309523809523</v>
      </c>
    </row>
    <row r="99" spans="1:43" x14ac:dyDescent="0.25">
      <c r="A99" t="s">
        <v>164</v>
      </c>
      <c r="B99">
        <v>2690</v>
      </c>
      <c r="C99" t="s">
        <v>44</v>
      </c>
      <c r="D99" t="s">
        <v>45</v>
      </c>
      <c r="E99" t="s">
        <v>76</v>
      </c>
      <c r="F99" s="5">
        <v>100</v>
      </c>
      <c r="G99" s="5">
        <v>574000</v>
      </c>
      <c r="H99" s="6">
        <f>Table1[[#This Row],[2024 U.S. Sales ($000)]]/SUMIF($E:$E, E99, $G:$G)</f>
        <v>8.158044343376919E-2</v>
      </c>
      <c r="I99" s="5">
        <v>994</v>
      </c>
      <c r="J99" s="5">
        <f>Table1[[#This Row],[2024 U.S. Sales ($000)]]/Table1[[#This Row],[2024 U.S. Units]]</f>
        <v>577.46478873239437</v>
      </c>
      <c r="K99" s="6">
        <f>Table1[[#This Row],[2024 U.S. Units]]/Table1[[#This Row],[2023 U.S. Units]]-1</f>
        <v>4.3022035676810066E-2</v>
      </c>
      <c r="L99" s="8">
        <f>(Table1[[#This Row],[2024 Market share (%)]]-Table1[[#This Row],[2023 Market share (%)]])*10000</f>
        <v>132.0284131352123</v>
      </c>
      <c r="M99" s="6">
        <f>_xlfn.RRI(5,Table1[[#This Row],[2019 U.S. Sales ($000)]],Table1[[#This Row],[2024 U.S. Sales ($000)]])</f>
        <v>8.2760616533252396E-2</v>
      </c>
      <c r="N99" s="9">
        <f>(Table1[[#This Row],[2024 Market share (%)]]-Table1[[#This Row],[2019 Market share (%)]])*10000</f>
        <v>208.32230836130256</v>
      </c>
      <c r="O99" s="6">
        <f>IF(Table1[[#This Row],[2024 AUV]]=0,"",_xlfn.RRI(5,Table1[[#This Row],[2019 AUV]],Table1[[#This Row],[2024 AUV]]))</f>
        <v>6.0987924741090493E-2</v>
      </c>
      <c r="P99" s="6">
        <f>_xlfn.RRI(5,Table1[[#This Row],[2019 U.S. Units]],Table1[[#This Row],[2024 U.S. Units]])</f>
        <v>2.0521149472530587E-2</v>
      </c>
      <c r="Q99" s="5">
        <v>554800</v>
      </c>
      <c r="R99" s="6">
        <f>Table1[[#This Row],[2023 U.S. Sales ($000)]]/SUMIF($E:$E, E99, $Q:$Q)</f>
        <v>6.837760212024796E-2</v>
      </c>
      <c r="S99" s="8">
        <f>(Table1[[#This Row],[2023 Market share (%)]]-Table1[[#This Row],[2022 Market share (%)]])*10000</f>
        <v>-17.843786920506144</v>
      </c>
      <c r="T99" s="10">
        <v>5.0160893431762256E-2</v>
      </c>
      <c r="U99" s="5">
        <v>953</v>
      </c>
      <c r="V99" s="5">
        <f t="shared" si="8"/>
        <v>582.16159496327384</v>
      </c>
      <c r="W99" s="10">
        <v>4.4956140350877194E-2</v>
      </c>
      <c r="X99" s="10">
        <f t="shared" si="9"/>
        <v>9.5145198455187652E-2</v>
      </c>
      <c r="Y99" s="8">
        <f>(Table1[[#This Row],[2023 Market share (%)]]-Table1[[#This Row],[2019 Market share (%)]])*10000</f>
        <v>76.293895226090257</v>
      </c>
      <c r="Z99" s="10">
        <f t="shared" si="10"/>
        <v>7.8990354530454665E-2</v>
      </c>
      <c r="AA99" s="10">
        <f t="shared" si="11"/>
        <v>1.497218567052272E-2</v>
      </c>
      <c r="AB99" s="5">
        <v>528300</v>
      </c>
      <c r="AC99" s="6">
        <f>Table1[[#This Row],[2022 U.S. Sales ($000)]]/SUMIF($E:$E, E99, $AB:$AB)</f>
        <v>7.0161980812298574E-2</v>
      </c>
      <c r="AD99" s="5">
        <v>912</v>
      </c>
      <c r="AE99" s="5">
        <f t="shared" si="12"/>
        <v>579.27631578947364</v>
      </c>
      <c r="AF99" s="5">
        <v>506200</v>
      </c>
      <c r="AG99" s="6">
        <f>Table1[[#This Row],[2021 U.S. Sales ($000)]]/SUMIF($E:$E, E99, $AF:$AF)</f>
        <v>6.9332474279049108E-2</v>
      </c>
      <c r="AH99" s="5">
        <v>894</v>
      </c>
      <c r="AI99" s="12">
        <f t="shared" si="13"/>
        <v>566.21923937360179</v>
      </c>
      <c r="AJ99" s="5">
        <v>396900</v>
      </c>
      <c r="AK99" s="6">
        <f>Table1[[#This Row],[2020 U.S. Sales ($000)]]/SUMIF($E:$E, E99, $AJ:$AJ)</f>
        <v>6.2110595983170515E-2</v>
      </c>
      <c r="AL99" s="5">
        <v>882</v>
      </c>
      <c r="AM99" s="5">
        <f t="shared" si="14"/>
        <v>450</v>
      </c>
      <c r="AN99" s="5">
        <v>385700</v>
      </c>
      <c r="AO99" s="6">
        <f>Table1[[#This Row],[2019 U.S. Sales ($000)]]/SUMIF($E:$E, E99, $AN:$AN)</f>
        <v>6.0748212597638934E-2</v>
      </c>
      <c r="AP99" s="5">
        <v>898</v>
      </c>
      <c r="AQ99" s="5">
        <f t="shared" si="15"/>
        <v>429.51002227171494</v>
      </c>
    </row>
    <row r="100" spans="1:43" x14ac:dyDescent="0.25">
      <c r="A100" t="s">
        <v>165</v>
      </c>
      <c r="B100">
        <v>2315</v>
      </c>
      <c r="C100" t="s">
        <v>44</v>
      </c>
      <c r="D100" t="s">
        <v>56</v>
      </c>
      <c r="E100" t="s">
        <v>59</v>
      </c>
      <c r="F100" s="5">
        <v>99</v>
      </c>
      <c r="G100" s="5">
        <v>560000</v>
      </c>
      <c r="H100" s="6">
        <f>Table1[[#This Row],[2024 U.S. Sales ($000)]]/SUMIF($E:$E, E100, $G:$G)</f>
        <v>1.6035277610743637E-2</v>
      </c>
      <c r="I100" s="5">
        <v>442</v>
      </c>
      <c r="J100" s="5">
        <f>Table1[[#This Row],[2024 U.S. Sales ($000)]]/Table1[[#This Row],[2024 U.S. Units]]</f>
        <v>1266.9683257918552</v>
      </c>
      <c r="K100" s="6">
        <f>Table1[[#This Row],[2024 U.S. Units]]/Table1[[#This Row],[2023 U.S. Units]]-1</f>
        <v>4.2452830188679291E-2</v>
      </c>
      <c r="L100" s="8">
        <f>(Table1[[#This Row],[2024 Market share (%)]]-Table1[[#This Row],[2023 Market share (%)]])*10000</f>
        <v>12.173218345928118</v>
      </c>
      <c r="M100" s="6">
        <f>_xlfn.RRI(5,Table1[[#This Row],[2019 U.S. Sales ($000)]],Table1[[#This Row],[2024 U.S. Sales ($000)]])</f>
        <v>4.5831981773109653E-2</v>
      </c>
      <c r="N100" s="9">
        <f>(Table1[[#This Row],[2024 Market share (%)]]-Table1[[#This Row],[2019 Market share (%)]])*10000</f>
        <v>23.328681262178556</v>
      </c>
      <c r="O100" s="6">
        <f>IF(Table1[[#This Row],[2024 AUV]]=0,"",_xlfn.RRI(5,Table1[[#This Row],[2019 AUV]],Table1[[#This Row],[2024 AUV]]))</f>
        <v>6.0554846619414793E-2</v>
      </c>
      <c r="P100" s="6">
        <f>_xlfn.RRI(5,Table1[[#This Row],[2019 U.S. Units]],Table1[[#This Row],[2024 U.S. Units]])</f>
        <v>-1.3882228621400317E-2</v>
      </c>
      <c r="Q100" s="5">
        <v>559688</v>
      </c>
      <c r="R100" s="6">
        <f>Table1[[#This Row],[2023 U.S. Sales ($000)]]/SUMIF($E:$E, E100, $Q:$Q)</f>
        <v>1.4817955776150825E-2</v>
      </c>
      <c r="S100" s="8">
        <f>(Table1[[#This Row],[2023 Market share (%)]]-Table1[[#This Row],[2022 Market share (%)]])*10000</f>
        <v>9.2143988384815927</v>
      </c>
      <c r="T100" s="10">
        <v>0.12560509861573951</v>
      </c>
      <c r="U100" s="5">
        <v>424</v>
      </c>
      <c r="V100" s="5">
        <f t="shared" si="8"/>
        <v>1320.0188679245282</v>
      </c>
      <c r="W100" s="10">
        <v>-1.1655011655011656E-2</v>
      </c>
      <c r="X100" s="10">
        <f t="shared" si="9"/>
        <v>5.7467162869194732E-2</v>
      </c>
      <c r="Y100" s="8">
        <f>(Table1[[#This Row],[2023 Market share (%)]]-Table1[[#This Row],[2019 Market share (%)]])*10000</f>
        <v>11.155462916250437</v>
      </c>
      <c r="Z100" s="10">
        <f t="shared" si="10"/>
        <v>8.7351634265190992E-2</v>
      </c>
      <c r="AA100" s="10">
        <f t="shared" si="11"/>
        <v>-2.7483723254061787E-2</v>
      </c>
      <c r="AB100" s="5">
        <v>497233</v>
      </c>
      <c r="AC100" s="6">
        <f>Table1[[#This Row],[2022 U.S. Sales ($000)]]/SUMIF($E:$E, E100, $AB:$AB)</f>
        <v>1.3896515892302666E-2</v>
      </c>
      <c r="AD100" s="5">
        <v>429</v>
      </c>
      <c r="AE100" s="5">
        <f t="shared" si="12"/>
        <v>1159.051282051282</v>
      </c>
      <c r="AF100" s="5">
        <v>420783</v>
      </c>
      <c r="AG100" s="6">
        <f>Table1[[#This Row],[2021 U.S. Sales ($000)]]/SUMIF($E:$E, E100, $AF:$AF)</f>
        <v>1.2682532005849392E-2</v>
      </c>
      <c r="AH100" s="5">
        <v>443</v>
      </c>
      <c r="AI100" s="12">
        <f t="shared" si="13"/>
        <v>949.84875846501131</v>
      </c>
      <c r="AJ100" s="5">
        <v>321437</v>
      </c>
      <c r="AK100" s="6">
        <f>Table1[[#This Row],[2020 U.S. Sales ($000)]]/SUMIF($E:$E, E100, $AJ:$AJ)</f>
        <v>1.1286627104113225E-2</v>
      </c>
      <c r="AL100" s="5">
        <v>446</v>
      </c>
      <c r="AM100" s="5">
        <f t="shared" si="14"/>
        <v>720.71076233183851</v>
      </c>
      <c r="AN100" s="5">
        <v>447588</v>
      </c>
      <c r="AO100" s="6">
        <f>Table1[[#This Row],[2019 U.S. Sales ($000)]]/SUMIF($E:$E, E100, $AN:$AN)</f>
        <v>1.3702409484525781E-2</v>
      </c>
      <c r="AP100" s="5">
        <v>474</v>
      </c>
      <c r="AQ100" s="5">
        <f t="shared" si="15"/>
        <v>944.27848101265818</v>
      </c>
    </row>
    <row r="101" spans="1:43" x14ac:dyDescent="0.25">
      <c r="A101" t="s">
        <v>166</v>
      </c>
      <c r="B101">
        <v>2799</v>
      </c>
      <c r="C101" t="s">
        <v>44</v>
      </c>
      <c r="D101" t="s">
        <v>45</v>
      </c>
      <c r="E101" t="s">
        <v>61</v>
      </c>
      <c r="F101" s="5">
        <v>116</v>
      </c>
      <c r="G101" s="5">
        <v>550000</v>
      </c>
      <c r="H101" s="6">
        <f>Table1[[#This Row],[2024 U.S. Sales ($000)]]/SUMIF($E:$E, E101, $G:$G)</f>
        <v>1.8713848247703301E-2</v>
      </c>
      <c r="I101" s="5">
        <v>450</v>
      </c>
      <c r="J101" s="5">
        <f>Table1[[#This Row],[2024 U.S. Sales ($000)]]/Table1[[#This Row],[2024 U.S. Units]]</f>
        <v>1222.2222222222222</v>
      </c>
      <c r="K101" s="6">
        <f>Table1[[#This Row],[2024 U.S. Units]]/Table1[[#This Row],[2023 U.S. Units]]-1</f>
        <v>6.6350710900473953E-2</v>
      </c>
      <c r="L101" s="8">
        <f>(Table1[[#This Row],[2024 Market share (%)]]-Table1[[#This Row],[2023 Market share (%)]])*10000</f>
        <v>52.787156312573828</v>
      </c>
      <c r="M101" s="6">
        <f>_xlfn.RRI(5,Table1[[#This Row],[2019 U.S. Sales ($000)]],Table1[[#This Row],[2024 U.S. Sales ($000)]])</f>
        <v>0.1058292901236908</v>
      </c>
      <c r="N101" s="9">
        <f>(Table1[[#This Row],[2024 Market share (%)]]-Table1[[#This Row],[2019 Market share (%)]])*10000</f>
        <v>58.266995673205912</v>
      </c>
      <c r="O101" s="6">
        <f>IF(Table1[[#This Row],[2024 AUV]]=0,"",_xlfn.RRI(5,Table1[[#This Row],[2019 AUV]],Table1[[#This Row],[2024 AUV]]))</f>
        <v>7.0183519653604254E-2</v>
      </c>
      <c r="P101" s="6">
        <f>_xlfn.RRI(5,Table1[[#This Row],[2019 U.S. Units]],Table1[[#This Row],[2024 U.S. Units]])</f>
        <v>3.3308091383825733E-2</v>
      </c>
      <c r="Q101" s="5">
        <v>410400</v>
      </c>
      <c r="R101" s="6">
        <f>Table1[[#This Row],[2023 U.S. Sales ($000)]]/SUMIF($E:$E, E101, $Q:$Q)</f>
        <v>1.3435132616445918E-2</v>
      </c>
      <c r="S101" s="8">
        <f>(Table1[[#This Row],[2023 Market share (%)]]-Table1[[#This Row],[2022 Market share (%)]])*10000</f>
        <v>4.2127209700186867</v>
      </c>
      <c r="T101" s="10">
        <v>6.2386746052290963E-2</v>
      </c>
      <c r="U101" s="5">
        <v>422</v>
      </c>
      <c r="V101" s="5">
        <f t="shared" si="8"/>
        <v>972.51184834123228</v>
      </c>
      <c r="W101" s="10">
        <v>3.6855036855036855E-2</v>
      </c>
      <c r="X101" s="10">
        <f t="shared" si="9"/>
        <v>5.3953078709083613E-2</v>
      </c>
      <c r="Y101" s="8">
        <f>(Table1[[#This Row],[2023 Market share (%)]]-Table1[[#This Row],[2019 Market share (%)]])*10000</f>
        <v>5.4798393606320799</v>
      </c>
      <c r="Z101" s="10">
        <f t="shared" si="10"/>
        <v>2.803761354696066E-2</v>
      </c>
      <c r="AA101" s="10">
        <f t="shared" si="11"/>
        <v>2.5208674099684636E-2</v>
      </c>
      <c r="AB101" s="5">
        <v>386300</v>
      </c>
      <c r="AC101" s="6">
        <f>Table1[[#This Row],[2022 U.S. Sales ($000)]]/SUMIF($E:$E, E101, $AB:$AB)</f>
        <v>1.3013860519444049E-2</v>
      </c>
      <c r="AD101" s="5">
        <v>407</v>
      </c>
      <c r="AE101" s="5">
        <f t="shared" si="12"/>
        <v>949.14004914004909</v>
      </c>
      <c r="AF101" s="5">
        <v>368600</v>
      </c>
      <c r="AG101" s="6">
        <f>Table1[[#This Row],[2021 U.S. Sales ($000)]]/SUMIF($E:$E, E101, $AF:$AF)</f>
        <v>1.2680366691710908E-2</v>
      </c>
      <c r="AH101" s="5">
        <v>394</v>
      </c>
      <c r="AI101" s="12">
        <f t="shared" si="13"/>
        <v>935.53299492385781</v>
      </c>
      <c r="AJ101" s="5">
        <v>343800</v>
      </c>
      <c r="AK101" s="6">
        <f>Table1[[#This Row],[2020 U.S. Sales ($000)]]/SUMIF($E:$E, E101, $AJ:$AJ)</f>
        <v>1.2701852028300672E-2</v>
      </c>
      <c r="AL101" s="5">
        <v>382</v>
      </c>
      <c r="AM101" s="5">
        <f t="shared" si="14"/>
        <v>900</v>
      </c>
      <c r="AN101" s="5">
        <v>332600</v>
      </c>
      <c r="AO101" s="6">
        <f>Table1[[#This Row],[2019 U.S. Sales ($000)]]/SUMIF($E:$E, E101, $AN:$AN)</f>
        <v>1.288714868038271E-2</v>
      </c>
      <c r="AP101" s="5">
        <v>382</v>
      </c>
      <c r="AQ101" s="5">
        <f t="shared" si="15"/>
        <v>870.68062827225128</v>
      </c>
    </row>
    <row r="102" spans="1:43" x14ac:dyDescent="0.25">
      <c r="A102" t="s">
        <v>167</v>
      </c>
      <c r="B102">
        <v>798</v>
      </c>
      <c r="C102" t="s">
        <v>44</v>
      </c>
      <c r="D102" t="s">
        <v>45</v>
      </c>
      <c r="E102" t="s">
        <v>46</v>
      </c>
      <c r="F102" s="5">
        <v>95</v>
      </c>
      <c r="G102" s="5">
        <v>549000</v>
      </c>
      <c r="H102" s="6">
        <f>Table1[[#This Row],[2024 U.S. Sales ($000)]]/SUMIF($E:$E, E102, $G:$G)</f>
        <v>4.9792455702876428E-3</v>
      </c>
      <c r="I102" s="5">
        <v>484</v>
      </c>
      <c r="J102" s="7">
        <f>Table1[[#This Row],[2024 U.S. Sales ($000)]]/Table1[[#This Row],[2024 U.S. Units]]</f>
        <v>1134.297520661157</v>
      </c>
      <c r="K102" s="6">
        <f>Table1[[#This Row],[2024 U.S. Units]]/Table1[[#This Row],[2023 U.S. Units]]-1</f>
        <v>-3.9682539682539653E-2</v>
      </c>
      <c r="L102" s="8">
        <f>(Table1[[#This Row],[2024 Market share (%)]]-Table1[[#This Row],[2023 Market share (%)]])*10000</f>
        <v>-2.9006280736738801</v>
      </c>
      <c r="M102" s="6">
        <f>_xlfn.RRI(5,Table1[[#This Row],[2019 U.S. Sales ($000)]],Table1[[#This Row],[2024 U.S. Sales ($000)]])</f>
        <v>-3.415989758169391E-2</v>
      </c>
      <c r="N102" s="9">
        <f>(Table1[[#This Row],[2024 Market share (%)]]-Table1[[#This Row],[2019 Market share (%)]])*10000</f>
        <v>-25.714653952705032</v>
      </c>
      <c r="O102" s="6">
        <f>IF(Table1[[#This Row],[2024 AUV]]=0,"",_xlfn.RRI(5,Table1[[#This Row],[2019 AUV]],Table1[[#This Row],[2024 AUV]]))</f>
        <v>5.5426657638992793E-3</v>
      </c>
      <c r="P102" s="6">
        <f>_xlfn.RRI(5,Table1[[#This Row],[2019 U.S. Units]],Table1[[#This Row],[2024 U.S. Units]])</f>
        <v>-3.9483718291984715E-2</v>
      </c>
      <c r="Q102" s="5">
        <v>576900</v>
      </c>
      <c r="R102" s="6">
        <f>Table1[[#This Row],[2023 U.S. Sales ($000)]]/SUMIF($E:$E, E102, $Q:$Q)</f>
        <v>5.2693083776550308E-3</v>
      </c>
      <c r="S102" s="8">
        <f>(Table1[[#This Row],[2023 Market share (%)]]-Table1[[#This Row],[2022 Market share (%)]])*10000</f>
        <v>-8.0092981802196501</v>
      </c>
      <c r="T102" s="10">
        <v>-6.981618832634634E-2</v>
      </c>
      <c r="U102" s="5">
        <v>504</v>
      </c>
      <c r="V102" s="5">
        <f t="shared" si="8"/>
        <v>1144.6428571428571</v>
      </c>
      <c r="W102" s="10">
        <v>-7.6923076923076927E-2</v>
      </c>
      <c r="X102" s="10">
        <f t="shared" si="9"/>
        <v>-3.0576394228841175E-2</v>
      </c>
      <c r="Y102" s="8">
        <f>(Table1[[#This Row],[2023 Market share (%)]]-Table1[[#This Row],[2019 Market share (%)]])*10000</f>
        <v>-22.814025879031153</v>
      </c>
      <c r="Z102" s="10">
        <f t="shared" si="10"/>
        <v>9.2212428340283648E-3</v>
      </c>
      <c r="AA102" s="10">
        <f t="shared" si="11"/>
        <v>-3.9434006512895414E-2</v>
      </c>
      <c r="AB102" s="5">
        <v>620200</v>
      </c>
      <c r="AC102" s="6">
        <f>Table1[[#This Row],[2022 U.S. Sales ($000)]]/SUMIF($E:$E, E102, $AB:$AB)</f>
        <v>6.0702381956769958E-3</v>
      </c>
      <c r="AD102" s="5">
        <v>546</v>
      </c>
      <c r="AE102" s="5">
        <f t="shared" si="12"/>
        <v>1135.8974358974358</v>
      </c>
      <c r="AF102" s="5">
        <v>635000</v>
      </c>
      <c r="AG102" s="6">
        <f>Table1[[#This Row],[2021 U.S. Sales ($000)]]/SUMIF($E:$E, E102, $AF:$AF)</f>
        <v>6.526666685578583E-3</v>
      </c>
      <c r="AH102" s="5">
        <v>553</v>
      </c>
      <c r="AI102" s="12">
        <f t="shared" si="13"/>
        <v>1148.2820976491862</v>
      </c>
      <c r="AJ102" s="5">
        <v>613700</v>
      </c>
      <c r="AK102" s="6">
        <f>Table1[[#This Row],[2020 U.S. Sales ($000)]]/SUMIF($E:$E, E102, $AJ:$AJ)</f>
        <v>7.0230766488652216E-3</v>
      </c>
      <c r="AL102" s="5">
        <v>566</v>
      </c>
      <c r="AM102" s="5">
        <f t="shared" si="14"/>
        <v>1084.2756183745582</v>
      </c>
      <c r="AN102" s="5">
        <v>653200</v>
      </c>
      <c r="AO102" s="6">
        <f>Table1[[#This Row],[2019 U.S. Sales ($000)]]/SUMIF($E:$E, E102, $AN:$AN)</f>
        <v>7.550710965558146E-3</v>
      </c>
      <c r="AP102" s="5">
        <v>592</v>
      </c>
      <c r="AQ102" s="5">
        <f t="shared" si="15"/>
        <v>1103.3783783783783</v>
      </c>
    </row>
    <row r="103" spans="1:43" x14ac:dyDescent="0.25">
      <c r="A103" t="s">
        <v>168</v>
      </c>
      <c r="B103">
        <v>477</v>
      </c>
      <c r="C103" t="s">
        <v>44</v>
      </c>
      <c r="D103" t="s">
        <v>45</v>
      </c>
      <c r="E103" t="s">
        <v>128</v>
      </c>
      <c r="F103" s="5">
        <v>97</v>
      </c>
      <c r="G103" s="5">
        <v>548000</v>
      </c>
      <c r="H103" s="6">
        <f>Table1[[#This Row],[2024 U.S. Sales ($000)]]/SUMIF($E:$E, E103, $G:$G)</f>
        <v>0.12517131110095933</v>
      </c>
      <c r="I103" s="5">
        <v>530</v>
      </c>
      <c r="J103" s="5">
        <f>Table1[[#This Row],[2024 U.S. Sales ($000)]]/Table1[[#This Row],[2024 U.S. Units]]</f>
        <v>1033.9622641509434</v>
      </c>
      <c r="K103" s="6">
        <f>Table1[[#This Row],[2024 U.S. Units]]/Table1[[#This Row],[2023 U.S. Units]]-1</f>
        <v>7.6045627376426506E-3</v>
      </c>
      <c r="L103" s="8">
        <f>(Table1[[#This Row],[2024 Market share (%)]]-Table1[[#This Row],[2023 Market share (%)]])*10000</f>
        <v>158.51724360736688</v>
      </c>
      <c r="M103" s="6">
        <f>_xlfn.RRI(5,Table1[[#This Row],[2019 U.S. Sales ($000)]],Table1[[#This Row],[2024 U.S. Sales ($000)]])</f>
        <v>-5.0283573519799285E-3</v>
      </c>
      <c r="N103" s="9">
        <f>(Table1[[#This Row],[2024 Market share (%)]]-Table1[[#This Row],[2019 Market share (%)]])*10000</f>
        <v>-323.09656973716267</v>
      </c>
      <c r="O103" s="6">
        <f>IF(Table1[[#This Row],[2024 AUV]]=0,"",_xlfn.RRI(5,Table1[[#This Row],[2019 AUV]],Table1[[#This Row],[2024 AUV]]))</f>
        <v>-1.6719299735921123E-3</v>
      </c>
      <c r="P103" s="6">
        <f>_xlfn.RRI(5,Table1[[#This Row],[2019 U.S. Units]],Table1[[#This Row],[2024 U.S. Units]])</f>
        <v>-3.3620484880275692E-3</v>
      </c>
      <c r="Q103" s="5">
        <v>568168</v>
      </c>
      <c r="R103" s="6">
        <f>Table1[[#This Row],[2023 U.S. Sales ($000)]]/SUMIF($E:$E, E103, $Q:$Q)</f>
        <v>0.10931958674022264</v>
      </c>
      <c r="S103" s="8">
        <f>(Table1[[#This Row],[2023 Market share (%)]]-Table1[[#This Row],[2022 Market share (%)]])*10000</f>
        <v>-144.73327718438705</v>
      </c>
      <c r="T103" s="10">
        <v>3.6020232889751175E-2</v>
      </c>
      <c r="U103" s="5">
        <v>526</v>
      </c>
      <c r="V103" s="5">
        <f t="shared" si="8"/>
        <v>1080.1673003802282</v>
      </c>
      <c r="W103" s="10">
        <v>-7.5471698113207548E-3</v>
      </c>
      <c r="X103" s="10">
        <f t="shared" si="9"/>
        <v>2.737904303730998E-3</v>
      </c>
      <c r="Y103" s="8">
        <f>(Table1[[#This Row],[2023 Market share (%)]]-Table1[[#This Row],[2019 Market share (%)]])*10000</f>
        <v>-481.61381334452955</v>
      </c>
      <c r="Z103" s="10">
        <f t="shared" si="10"/>
        <v>8.8769208507646358E-3</v>
      </c>
      <c r="AA103" s="10">
        <f t="shared" si="11"/>
        <v>-6.0850004794011925E-3</v>
      </c>
      <c r="AB103" s="5">
        <v>548414</v>
      </c>
      <c r="AC103" s="6">
        <f>Table1[[#This Row],[2022 U.S. Sales ($000)]]/SUMIF($E:$E, E103, $AB:$AB)</f>
        <v>0.12379291445866135</v>
      </c>
      <c r="AD103" s="5">
        <v>530</v>
      </c>
      <c r="AE103" s="5">
        <f t="shared" si="12"/>
        <v>1034.7433962264151</v>
      </c>
      <c r="AF103" s="5">
        <v>567507</v>
      </c>
      <c r="AG103" s="6">
        <f>Table1[[#This Row],[2021 U.S. Sales ($000)]]/SUMIF($E:$E, E103, $AF:$AF)</f>
        <v>0.15041872876935408</v>
      </c>
      <c r="AH103" s="5">
        <v>538</v>
      </c>
      <c r="AI103" s="12">
        <f t="shared" si="13"/>
        <v>1054.8457249070632</v>
      </c>
      <c r="AJ103" s="5">
        <v>543781</v>
      </c>
      <c r="AK103" s="6">
        <f>Table1[[#This Row],[2020 U.S. Sales ($000)]]/SUMIF($E:$E, E103, $AJ:$AJ)</f>
        <v>0.17745278801189152</v>
      </c>
      <c r="AL103" s="5">
        <v>539</v>
      </c>
      <c r="AM103" s="5">
        <f t="shared" si="14"/>
        <v>1008.8701298701299</v>
      </c>
      <c r="AN103" s="5">
        <v>561988</v>
      </c>
      <c r="AO103" s="6">
        <f>Table1[[#This Row],[2019 U.S. Sales ($000)]]/SUMIF($E:$E, E103, $AN:$AN)</f>
        <v>0.1574809680746756</v>
      </c>
      <c r="AP103" s="5">
        <v>539</v>
      </c>
      <c r="AQ103" s="5">
        <f t="shared" si="15"/>
        <v>1042.6493506493507</v>
      </c>
    </row>
    <row r="104" spans="1:43" x14ac:dyDescent="0.25">
      <c r="A104" t="s">
        <v>169</v>
      </c>
      <c r="B104">
        <v>2280</v>
      </c>
      <c r="C104" t="s">
        <v>68</v>
      </c>
      <c r="D104" t="s">
        <v>69</v>
      </c>
      <c r="E104" t="s">
        <v>107</v>
      </c>
      <c r="F104" s="5">
        <v>94</v>
      </c>
      <c r="G104" s="5">
        <v>533000</v>
      </c>
      <c r="H104" s="6">
        <f>Table1[[#This Row],[2024 U.S. Sales ($000)]]/SUMIF($E:$E, E104, $G:$G)</f>
        <v>0.15245995423340961</v>
      </c>
      <c r="I104" s="5">
        <v>166</v>
      </c>
      <c r="J104" s="5">
        <f>Table1[[#This Row],[2024 U.S. Sales ($000)]]/Table1[[#This Row],[2024 U.S. Units]]</f>
        <v>3210.8433734939758</v>
      </c>
      <c r="K104" s="6">
        <f>Table1[[#This Row],[2024 U.S. Units]]/Table1[[#This Row],[2023 U.S. Units]]-1</f>
        <v>-5.6818181818181768E-2</v>
      </c>
      <c r="L104" s="8">
        <f>(Table1[[#This Row],[2024 Market share (%)]]-Table1[[#This Row],[2023 Market share (%)]])*10000</f>
        <v>396.29218022854724</v>
      </c>
      <c r="M104" s="6">
        <f>_xlfn.RRI(5,Table1[[#This Row],[2019 U.S. Sales ($000)]],Table1[[#This Row],[2024 U.S. Sales ($000)]])</f>
        <v>-1.9116950372454644E-2</v>
      </c>
      <c r="N104" s="9">
        <f>(Table1[[#This Row],[2024 Market share (%)]]-Table1[[#This Row],[2019 Market share (%)]])*10000</f>
        <v>383.36638901756288</v>
      </c>
      <c r="O104" s="6">
        <f>IF(Table1[[#This Row],[2024 AUV]]=0,"",_xlfn.RRI(5,Table1[[#This Row],[2019 AUV]],Table1[[#This Row],[2024 AUV]]))</f>
        <v>1.5053322997224061E-2</v>
      </c>
      <c r="P104" s="6">
        <f>_xlfn.RRI(5,Table1[[#This Row],[2019 U.S. Units]],Table1[[#This Row],[2024 U.S. Units]])</f>
        <v>-3.3663525447886533E-2</v>
      </c>
      <c r="Q104" s="5">
        <v>580578</v>
      </c>
      <c r="R104" s="6">
        <f>Table1[[#This Row],[2023 U.S. Sales ($000)]]/SUMIF($E:$E, E104, $Q:$Q)</f>
        <v>0.11283073621055488</v>
      </c>
      <c r="S104" s="8">
        <f>(Table1[[#This Row],[2023 Market share (%)]]-Table1[[#This Row],[2022 Market share (%)]])*10000</f>
        <v>35.719982191296239</v>
      </c>
      <c r="T104" s="10">
        <v>1.751717103383732E-2</v>
      </c>
      <c r="U104" s="5">
        <v>176</v>
      </c>
      <c r="V104" s="5">
        <f t="shared" si="8"/>
        <v>3298.7386363636365</v>
      </c>
      <c r="W104" s="10">
        <v>-2.2222222222222223E-2</v>
      </c>
      <c r="X104" s="10">
        <f t="shared" si="9"/>
        <v>-2.7480858495527727E-3</v>
      </c>
      <c r="Y104" s="8">
        <f>(Table1[[#This Row],[2023 Market share (%)]]-Table1[[#This Row],[2019 Market share (%)]])*10000</f>
        <v>-12.925791210984389</v>
      </c>
      <c r="Z104" s="10">
        <f t="shared" si="10"/>
        <v>2.5754115640587605E-2</v>
      </c>
      <c r="AA104" s="10">
        <f t="shared" si="11"/>
        <v>-2.7786582627885137E-2</v>
      </c>
      <c r="AB104" s="5">
        <v>570583</v>
      </c>
      <c r="AC104" s="6">
        <f>Table1[[#This Row],[2022 U.S. Sales ($000)]]/SUMIF($E:$E, E104, $AB:$AB)</f>
        <v>0.10925873799142526</v>
      </c>
      <c r="AD104" s="5">
        <v>180</v>
      </c>
      <c r="AE104" s="5">
        <f t="shared" si="12"/>
        <v>3169.9055555555556</v>
      </c>
      <c r="AF104" s="5">
        <v>555068</v>
      </c>
      <c r="AG104" s="6">
        <f>Table1[[#This Row],[2021 U.S. Sales ($000)]]/SUMIF($E:$E, E104, $AF:$AF)</f>
        <v>0.11528931164304322</v>
      </c>
      <c r="AH104" s="5">
        <v>185</v>
      </c>
      <c r="AI104" s="12">
        <f t="shared" si="13"/>
        <v>3000.3675675675677</v>
      </c>
      <c r="AJ104" s="5">
        <v>404193</v>
      </c>
      <c r="AK104" s="6">
        <f>Table1[[#This Row],[2020 U.S. Sales ($000)]]/SUMIF($E:$E, E104, $AJ:$AJ)</f>
        <v>0.11864840627655655</v>
      </c>
      <c r="AL104" s="5">
        <v>187</v>
      </c>
      <c r="AM104" s="5">
        <f t="shared" si="14"/>
        <v>2161.4598930481284</v>
      </c>
      <c r="AN104" s="5">
        <v>587004</v>
      </c>
      <c r="AO104" s="6">
        <f>Table1[[#This Row],[2019 U.S. Sales ($000)]]/SUMIF($E:$E, E104, $AN:$AN)</f>
        <v>0.11412331533165332</v>
      </c>
      <c r="AP104" s="5">
        <v>197</v>
      </c>
      <c r="AQ104" s="5">
        <f t="shared" si="15"/>
        <v>2979.715736040609</v>
      </c>
    </row>
    <row r="105" spans="1:43" x14ac:dyDescent="0.25">
      <c r="A105" t="s">
        <v>170</v>
      </c>
      <c r="B105">
        <v>12584</v>
      </c>
      <c r="C105" t="s">
        <v>44</v>
      </c>
      <c r="D105" t="s">
        <v>56</v>
      </c>
      <c r="E105" t="s">
        <v>52</v>
      </c>
      <c r="F105" s="5">
        <v>107</v>
      </c>
      <c r="G105" s="5">
        <v>530000</v>
      </c>
      <c r="H105" s="6">
        <f>Table1[[#This Row],[2024 U.S. Sales ($000)]]/SUMIF($E:$E, E105, $G:$G)</f>
        <v>1.5741950813829154E-2</v>
      </c>
      <c r="I105" s="5">
        <v>131</v>
      </c>
      <c r="J105" s="5">
        <f>Table1[[#This Row],[2024 U.S. Sales ($000)]]/Table1[[#This Row],[2024 U.S. Units]]</f>
        <v>4045.8015267175574</v>
      </c>
      <c r="K105" s="6">
        <f>Table1[[#This Row],[2024 U.S. Units]]/Table1[[#This Row],[2023 U.S. Units]]-1</f>
        <v>4.8000000000000043E-2</v>
      </c>
      <c r="L105" s="8">
        <f>(Table1[[#This Row],[2024 Market share (%)]]-Table1[[#This Row],[2023 Market share (%)]])*10000</f>
        <v>3.2587885918486381</v>
      </c>
      <c r="M105" s="6">
        <f>_xlfn.RRI(5,Table1[[#This Row],[2019 U.S. Sales ($000)]],Table1[[#This Row],[2024 U.S. Sales ($000)]])</f>
        <v>0.1427241168002984</v>
      </c>
      <c r="N105" s="9">
        <f>(Table1[[#This Row],[2024 Market share (%)]]-Table1[[#This Row],[2019 Market share (%)]])*10000</f>
        <v>45.221247211335907</v>
      </c>
      <c r="O105" s="6">
        <f>IF(Table1[[#This Row],[2024 AUV]]=0,"",_xlfn.RRI(5,Table1[[#This Row],[2019 AUV]],Table1[[#This Row],[2024 AUV]]))</f>
        <v>1.3803142943940028E-2</v>
      </c>
      <c r="P105" s="6">
        <f>_xlfn.RRI(5,Table1[[#This Row],[2019 U.S. Units]],Table1[[#This Row],[2024 U.S. Units]])</f>
        <v>0.12716568769158698</v>
      </c>
      <c r="Q105" s="5">
        <v>510100</v>
      </c>
      <c r="R105" s="6">
        <f>Table1[[#This Row],[2023 U.S. Sales ($000)]]/SUMIF($E:$E, E105, $Q:$Q)</f>
        <v>1.5416071954644291E-2</v>
      </c>
      <c r="S105" s="8">
        <f>(Table1[[#This Row],[2023 Market share (%)]]-Table1[[#This Row],[2022 Market share (%)]])*10000</f>
        <v>12.852855172806686</v>
      </c>
      <c r="T105" s="10">
        <v>0.19182242990654205</v>
      </c>
      <c r="U105" s="5">
        <v>125</v>
      </c>
      <c r="V105" s="5">
        <f t="shared" si="8"/>
        <v>4080.8</v>
      </c>
      <c r="W105" s="10">
        <v>0.14678899082568808</v>
      </c>
      <c r="X105" s="10">
        <f t="shared" si="9"/>
        <v>0.17023101689699138</v>
      </c>
      <c r="Y105" s="8">
        <f>(Table1[[#This Row],[2023 Market share (%)]]-Table1[[#This Row],[2019 Market share (%)]])*10000</f>
        <v>41.962458619487272</v>
      </c>
      <c r="Z105" s="10">
        <f t="shared" si="10"/>
        <v>1.9476515123844518E-2</v>
      </c>
      <c r="AA105" s="10">
        <f t="shared" si="11"/>
        <v>0.14787442333071632</v>
      </c>
      <c r="AB105" s="5">
        <v>428000</v>
      </c>
      <c r="AC105" s="6">
        <f>Table1[[#This Row],[2022 U.S. Sales ($000)]]/SUMIF($E:$E, E105, $AB:$AB)</f>
        <v>1.4130786437363622E-2</v>
      </c>
      <c r="AD105" s="5">
        <v>109</v>
      </c>
      <c r="AE105" s="5">
        <f t="shared" si="12"/>
        <v>3926.6055045871558</v>
      </c>
      <c r="AF105" s="5">
        <v>362600</v>
      </c>
      <c r="AG105" s="6">
        <f>Table1[[#This Row],[2021 U.S. Sales ($000)]]/SUMIF($E:$E, E105, $AF:$AF)</f>
        <v>1.3229107714561825E-2</v>
      </c>
      <c r="AH105" s="5">
        <v>99</v>
      </c>
      <c r="AI105" s="12">
        <f t="shared" si="13"/>
        <v>3662.6262626262628</v>
      </c>
      <c r="AJ105" s="5">
        <v>291000</v>
      </c>
      <c r="AK105" s="6">
        <f>Table1[[#This Row],[2020 U.S. Sales ($000)]]/SUMIF($E:$E, E105, $AJ:$AJ)</f>
        <v>1.2345345382673253E-2</v>
      </c>
      <c r="AL105" s="5">
        <v>83</v>
      </c>
      <c r="AM105" s="5">
        <f t="shared" si="14"/>
        <v>3506.0240963855422</v>
      </c>
      <c r="AN105" s="5">
        <v>272000</v>
      </c>
      <c r="AO105" s="6">
        <f>Table1[[#This Row],[2019 U.S. Sales ($000)]]/SUMIF($E:$E, E105, $AN:$AN)</f>
        <v>1.1219826092695563E-2</v>
      </c>
      <c r="AP105" s="5">
        <v>72</v>
      </c>
      <c r="AQ105" s="5">
        <f t="shared" si="15"/>
        <v>3777.7777777777778</v>
      </c>
    </row>
    <row r="106" spans="1:43" x14ac:dyDescent="0.25">
      <c r="A106" t="s">
        <v>171</v>
      </c>
      <c r="B106">
        <v>859</v>
      </c>
      <c r="C106" t="s">
        <v>68</v>
      </c>
      <c r="D106" t="s">
        <v>69</v>
      </c>
      <c r="E106" t="s">
        <v>125</v>
      </c>
      <c r="F106" s="5">
        <v>103</v>
      </c>
      <c r="G106" s="5">
        <v>523000</v>
      </c>
      <c r="H106" s="6">
        <f>Table1[[#This Row],[2024 U.S. Sales ($000)]]/SUMIF($E:$E, E106, $G:$G)</f>
        <v>0.15588673621460505</v>
      </c>
      <c r="I106" s="5">
        <v>81</v>
      </c>
      <c r="J106" s="5">
        <f>Table1[[#This Row],[2024 U.S. Sales ($000)]]/Table1[[#This Row],[2024 U.S. Units]]</f>
        <v>6456.7901234567898</v>
      </c>
      <c r="K106" s="6">
        <f>Table1[[#This Row],[2024 U.S. Units]]/Table1[[#This Row],[2023 U.S. Units]]-1</f>
        <v>-0.14736842105263159</v>
      </c>
      <c r="L106" s="8">
        <f>(Table1[[#This Row],[2024 Market share (%)]]-Table1[[#This Row],[2023 Market share (%)]])*10000</f>
        <v>33.96661682568358</v>
      </c>
      <c r="M106" s="6">
        <f>_xlfn.RRI(5,Table1[[#This Row],[2019 U.S. Sales ($000)]],Table1[[#This Row],[2024 U.S. Sales ($000)]])</f>
        <v>-1.8437497253349977E-2</v>
      </c>
      <c r="N106" s="9">
        <f>(Table1[[#This Row],[2024 Market share (%)]]-Table1[[#This Row],[2019 Market share (%)]])*10000</f>
        <v>-603.22231636176116</v>
      </c>
      <c r="O106" s="6">
        <f>IF(Table1[[#This Row],[2024 AUV]]=0,"",_xlfn.RRI(5,Table1[[#This Row],[2019 AUV]],Table1[[#This Row],[2024 AUV]]))</f>
        <v>1.7595791939163385E-2</v>
      </c>
      <c r="P106" s="6">
        <f>_xlfn.RRI(5,Table1[[#This Row],[2019 U.S. Units]],Table1[[#This Row],[2024 U.S. Units]])</f>
        <v>-3.5410218357769585E-2</v>
      </c>
      <c r="Q106" s="5">
        <v>540258</v>
      </c>
      <c r="R106" s="6">
        <f>Table1[[#This Row],[2023 U.S. Sales ($000)]]/SUMIF($E:$E, E106, $Q:$Q)</f>
        <v>0.1524900745320367</v>
      </c>
      <c r="S106" s="8">
        <f>(Table1[[#This Row],[2023 Market share (%)]]-Table1[[#This Row],[2022 Market share (%)]])*10000</f>
        <v>-133.0032866774375</v>
      </c>
      <c r="T106" s="10">
        <v>3.5088055423570345E-2</v>
      </c>
      <c r="U106" s="5">
        <v>95</v>
      </c>
      <c r="V106" s="5">
        <f t="shared" si="8"/>
        <v>5686.9263157894738</v>
      </c>
      <c r="W106" s="10">
        <v>3.2608695652173912E-2</v>
      </c>
      <c r="X106" s="10">
        <f t="shared" si="9"/>
        <v>-1.5031529799129584E-2</v>
      </c>
      <c r="Y106" s="8">
        <f>(Table1[[#This Row],[2023 Market share (%)]]-Table1[[#This Row],[2019 Market share (%)]])*10000</f>
        <v>-637.18893318744472</v>
      </c>
      <c r="Z106" s="10">
        <f t="shared" si="10"/>
        <v>-9.8879164402738695E-3</v>
      </c>
      <c r="AA106" s="10">
        <f t="shared" si="11"/>
        <v>-5.1949808958628996E-3</v>
      </c>
      <c r="AB106" s="5">
        <v>521944</v>
      </c>
      <c r="AC106" s="6">
        <f>Table1[[#This Row],[2022 U.S. Sales ($000)]]/SUMIF($E:$E, E106, $AB:$AB)</f>
        <v>0.16579040319978045</v>
      </c>
      <c r="AD106" s="5">
        <v>92</v>
      </c>
      <c r="AE106" s="5">
        <f t="shared" si="12"/>
        <v>5673.304347826087</v>
      </c>
      <c r="AF106" s="5">
        <v>458702</v>
      </c>
      <c r="AG106" s="6">
        <f>Table1[[#This Row],[2021 U.S. Sales ($000)]]/SUMIF($E:$E, E106, $AF:$AF)</f>
        <v>0.17248612069989877</v>
      </c>
      <c r="AH106" s="5">
        <v>94</v>
      </c>
      <c r="AI106" s="12">
        <f t="shared" si="13"/>
        <v>4879.8085106382978</v>
      </c>
      <c r="AJ106" s="5">
        <v>336800</v>
      </c>
      <c r="AK106" s="6">
        <f>Table1[[#This Row],[2020 U.S. Sales ($000)]]/SUMIF($E:$E, E106, $AJ:$AJ)</f>
        <v>0.17773190240154429</v>
      </c>
      <c r="AL106" s="5">
        <v>95</v>
      </c>
      <c r="AM106" s="5">
        <f t="shared" si="14"/>
        <v>3545.2631578947367</v>
      </c>
      <c r="AN106" s="5">
        <v>574000</v>
      </c>
      <c r="AO106" s="6">
        <f>Table1[[#This Row],[2019 U.S. Sales ($000)]]/SUMIF($E:$E, E106, $AN:$AN)</f>
        <v>0.21620896785078117</v>
      </c>
      <c r="AP106" s="5">
        <v>97</v>
      </c>
      <c r="AQ106" s="5">
        <f t="shared" si="15"/>
        <v>5917.5257731958764</v>
      </c>
    </row>
    <row r="107" spans="1:43" x14ac:dyDescent="0.25">
      <c r="A107" t="s">
        <v>172</v>
      </c>
      <c r="B107">
        <v>1494</v>
      </c>
      <c r="C107" t="s">
        <v>68</v>
      </c>
      <c r="D107" t="s">
        <v>69</v>
      </c>
      <c r="E107" t="s">
        <v>73</v>
      </c>
      <c r="F107" s="5">
        <v>106</v>
      </c>
      <c r="G107" s="5">
        <v>522000</v>
      </c>
      <c r="H107" s="6">
        <f>Table1[[#This Row],[2024 U.S. Sales ($000)]]/SUMIF($E:$E, E107, $G:$G)</f>
        <v>6.5443344179961671E-2</v>
      </c>
      <c r="I107" s="5">
        <v>53</v>
      </c>
      <c r="J107" s="5">
        <f>Table1[[#This Row],[2024 U.S. Sales ($000)]]/Table1[[#This Row],[2024 U.S. Units]]</f>
        <v>9849.0566037735844</v>
      </c>
      <c r="K107" s="6">
        <f>Table1[[#This Row],[2024 U.S. Units]]/Table1[[#This Row],[2023 U.S. Units]]-1</f>
        <v>1.9230769230769162E-2</v>
      </c>
      <c r="L107" s="8">
        <f>(Table1[[#This Row],[2024 Market share (%)]]-Table1[[#This Row],[2023 Market share (%)]])*10000</f>
        <v>122.59177640159345</v>
      </c>
      <c r="M107" s="6">
        <f>_xlfn.RRI(5,Table1[[#This Row],[2019 U.S. Sales ($000)]],Table1[[#This Row],[2024 U.S. Sales ($000)]])</f>
        <v>4.7401169530607135E-2</v>
      </c>
      <c r="N107" s="9">
        <f>(Table1[[#This Row],[2024 Market share (%)]]-Table1[[#This Row],[2019 Market share (%)]])*10000</f>
        <v>200.44034170537557</v>
      </c>
      <c r="O107" s="6">
        <f>IF(Table1[[#This Row],[2024 AUV]]=0,"",_xlfn.RRI(5,Table1[[#This Row],[2019 AUV]],Table1[[#This Row],[2024 AUV]]))</f>
        <v>4.7401169530607135E-2</v>
      </c>
      <c r="P107" s="6">
        <f>_xlfn.RRI(5,Table1[[#This Row],[2019 U.S. Units]],Table1[[#This Row],[2024 U.S. Units]])</f>
        <v>0</v>
      </c>
      <c r="Q107" s="5">
        <v>511100</v>
      </c>
      <c r="R107" s="6">
        <f>Table1[[#This Row],[2023 U.S. Sales ($000)]]/SUMIF($E:$E, E107, $Q:$Q)</f>
        <v>5.3184166539802326E-2</v>
      </c>
      <c r="S107" s="8">
        <f>(Table1[[#This Row],[2023 Market share (%)]]-Table1[[#This Row],[2022 Market share (%)]])*10000</f>
        <v>7.5527710018929994</v>
      </c>
      <c r="T107" s="10">
        <v>6.1474558670820356E-2</v>
      </c>
      <c r="U107" s="5">
        <v>52</v>
      </c>
      <c r="V107" s="5">
        <f t="shared" si="8"/>
        <v>9828.8461538461543</v>
      </c>
      <c r="W107" s="10">
        <v>-1.8867924528301886E-2</v>
      </c>
      <c r="X107" s="10">
        <f t="shared" si="9"/>
        <v>5.4023181600502346E-2</v>
      </c>
      <c r="Y107" s="8">
        <f>(Table1[[#This Row],[2023 Market share (%)]]-Table1[[#This Row],[2019 Market share (%)]])*10000</f>
        <v>77.848565303782138</v>
      </c>
      <c r="Z107" s="10">
        <f t="shared" si="10"/>
        <v>5.9054461459251639E-2</v>
      </c>
      <c r="AA107" s="10">
        <f t="shared" si="11"/>
        <v>-4.7507281654022293E-3</v>
      </c>
      <c r="AB107" s="5">
        <v>481500</v>
      </c>
      <c r="AC107" s="6">
        <f>Table1[[#This Row],[2022 U.S. Sales ($000)]]/SUMIF($E:$E, E107, $AB:$AB)</f>
        <v>5.2428889439613026E-2</v>
      </c>
      <c r="AD107" s="5">
        <v>53</v>
      </c>
      <c r="AE107" s="5">
        <f t="shared" si="12"/>
        <v>9084.9056603773588</v>
      </c>
      <c r="AF107" s="5">
        <v>373500</v>
      </c>
      <c r="AG107" s="6">
        <f>Table1[[#This Row],[2021 U.S. Sales ($000)]]/SUMIF($E:$E, E107, $AF:$AF)</f>
        <v>4.4605312845064193E-2</v>
      </c>
      <c r="AH107" s="5">
        <v>54</v>
      </c>
      <c r="AI107" s="12">
        <f t="shared" si="13"/>
        <v>6916.666666666667</v>
      </c>
      <c r="AJ107" s="5">
        <v>247000</v>
      </c>
      <c r="AK107" s="6">
        <f>Table1[[#This Row],[2020 U.S. Sales ($000)]]/SUMIF($E:$E, E107, $AJ:$AJ)</f>
        <v>3.5802918126263704E-2</v>
      </c>
      <c r="AL107" s="5">
        <v>53</v>
      </c>
      <c r="AM107" s="5">
        <f t="shared" si="14"/>
        <v>4660.3773584905657</v>
      </c>
      <c r="AN107" s="5">
        <v>414100</v>
      </c>
      <c r="AO107" s="6">
        <f>Table1[[#This Row],[2019 U.S. Sales ($000)]]/SUMIF($E:$E, E107, $AN:$AN)</f>
        <v>4.5399310009424113E-2</v>
      </c>
      <c r="AP107" s="5">
        <v>53</v>
      </c>
      <c r="AQ107" s="5">
        <f t="shared" si="15"/>
        <v>7813.2075471698117</v>
      </c>
    </row>
    <row r="108" spans="1:43" x14ac:dyDescent="0.25">
      <c r="A108" t="s">
        <v>173</v>
      </c>
      <c r="B108">
        <v>31</v>
      </c>
      <c r="C108" t="s">
        <v>68</v>
      </c>
      <c r="D108" t="s">
        <v>92</v>
      </c>
      <c r="E108" t="s">
        <v>93</v>
      </c>
      <c r="F108" s="5">
        <v>104</v>
      </c>
      <c r="G108" s="5">
        <v>519000</v>
      </c>
      <c r="H108" s="6">
        <f>Table1[[#This Row],[2024 U.S. Sales ($000)]]/SUMIF($E:$E, E108, $G:$G)</f>
        <v>3.2294194511853648E-2</v>
      </c>
      <c r="I108" s="5">
        <v>260</v>
      </c>
      <c r="J108" s="5">
        <f>Table1[[#This Row],[2024 U.S. Sales ($000)]]/Table1[[#This Row],[2024 U.S. Units]]</f>
        <v>1996.1538461538462</v>
      </c>
      <c r="K108" s="6">
        <f>Table1[[#This Row],[2024 U.S. Units]]/Table1[[#This Row],[2023 U.S. Units]]-1</f>
        <v>-1.1406844106463865E-2</v>
      </c>
      <c r="L108" s="8">
        <f>(Table1[[#This Row],[2024 Market share (%)]]-Table1[[#This Row],[2023 Market share (%)]])*10000</f>
        <v>18.776512951342063</v>
      </c>
      <c r="M108" s="6">
        <f>_xlfn.RRI(5,Table1[[#This Row],[2019 U.S. Sales ($000)]],Table1[[#This Row],[2024 U.S. Sales ($000)]])</f>
        <v>-3.7929865863233436E-2</v>
      </c>
      <c r="N108" s="9">
        <f>(Table1[[#This Row],[2024 Market share (%)]]-Table1[[#This Row],[2019 Market share (%)]])*10000</f>
        <v>-48.68493016750908</v>
      </c>
      <c r="O108" s="6">
        <f>IF(Table1[[#This Row],[2024 AUV]]=0,"",_xlfn.RRI(5,Table1[[#This Row],[2019 AUV]],Table1[[#This Row],[2024 AUV]]))</f>
        <v>2.864040038362603E-3</v>
      </c>
      <c r="P108" s="6">
        <f>_xlfn.RRI(5,Table1[[#This Row],[2019 U.S. Units]],Table1[[#This Row],[2024 U.S. Units]])</f>
        <v>-4.0677404187346888E-2</v>
      </c>
      <c r="Q108" s="5">
        <v>532300</v>
      </c>
      <c r="R108" s="6">
        <f>Table1[[#This Row],[2023 U.S. Sales ($000)]]/SUMIF($E:$E, E108, $Q:$Q)</f>
        <v>3.0416543216719442E-2</v>
      </c>
      <c r="S108" s="8">
        <f>(Table1[[#This Row],[2023 Market share (%)]]-Table1[[#This Row],[2022 Market share (%)]])*10000</f>
        <v>-5.2854308985887322</v>
      </c>
      <c r="T108" s="10">
        <v>4.14791625904911E-2</v>
      </c>
      <c r="U108" s="5">
        <v>263</v>
      </c>
      <c r="V108" s="5">
        <f t="shared" si="8"/>
        <v>2023.954372623574</v>
      </c>
      <c r="W108" s="10">
        <v>-3.3088235294117647E-2</v>
      </c>
      <c r="X108" s="10">
        <f t="shared" si="9"/>
        <v>-4.1138915214154803E-2</v>
      </c>
      <c r="Y108" s="8">
        <f>(Table1[[#This Row],[2023 Market share (%)]]-Table1[[#This Row],[2019 Market share (%)]])*10000</f>
        <v>-67.461443118851136</v>
      </c>
      <c r="Z108" s="10">
        <f t="shared" si="10"/>
        <v>7.0574593862033907E-3</v>
      </c>
      <c r="AA108" s="10">
        <f t="shared" si="11"/>
        <v>-4.7858614373139763E-2</v>
      </c>
      <c r="AB108" s="5">
        <v>511100</v>
      </c>
      <c r="AC108" s="6">
        <f>Table1[[#This Row],[2022 U.S. Sales ($000)]]/SUMIF($E:$E, E108, $AB:$AB)</f>
        <v>3.0945086306578315E-2</v>
      </c>
      <c r="AD108" s="5">
        <v>272</v>
      </c>
      <c r="AE108" s="5">
        <f t="shared" si="12"/>
        <v>1879.0441176470588</v>
      </c>
      <c r="AF108" s="5">
        <v>500700</v>
      </c>
      <c r="AG108" s="6">
        <f>Table1[[#This Row],[2021 U.S. Sales ($000)]]/SUMIF($E:$E, E108, $AF:$AF)</f>
        <v>3.3164248873478623E-2</v>
      </c>
      <c r="AH108" s="5">
        <v>279</v>
      </c>
      <c r="AI108" s="12">
        <f t="shared" si="13"/>
        <v>1794.6236559139784</v>
      </c>
      <c r="AJ108" s="5">
        <v>341600</v>
      </c>
      <c r="AK108" s="6">
        <f>Table1[[#This Row],[2020 U.S. Sales ($000)]]/SUMIF($E:$E, E108, $AJ:$AJ)</f>
        <v>3.2009262446060505E-2</v>
      </c>
      <c r="AL108" s="5">
        <v>290</v>
      </c>
      <c r="AM108" s="5">
        <f t="shared" si="14"/>
        <v>1177.9310344827586</v>
      </c>
      <c r="AN108" s="5">
        <v>629700</v>
      </c>
      <c r="AO108" s="6">
        <f>Table1[[#This Row],[2019 U.S. Sales ($000)]]/SUMIF($E:$E, E108, $AN:$AN)</f>
        <v>3.7162687528604556E-2</v>
      </c>
      <c r="AP108" s="5">
        <v>320</v>
      </c>
      <c r="AQ108" s="5">
        <f t="shared" si="15"/>
        <v>1967.8125</v>
      </c>
    </row>
    <row r="109" spans="1:43" x14ac:dyDescent="0.25">
      <c r="A109" t="s">
        <v>174</v>
      </c>
      <c r="B109">
        <v>563068</v>
      </c>
      <c r="C109" t="s">
        <v>44</v>
      </c>
      <c r="D109" t="s">
        <v>45</v>
      </c>
      <c r="E109" t="s">
        <v>48</v>
      </c>
      <c r="F109" s="5">
        <v>208</v>
      </c>
      <c r="G109" s="5">
        <v>502000</v>
      </c>
      <c r="H109" s="6">
        <f>Table1[[#This Row],[2024 U.S. Sales ($000)]]/SUMIF($E:$E, E109, $G:$G)</f>
        <v>9.9344925105008773E-3</v>
      </c>
      <c r="I109" s="5">
        <v>321</v>
      </c>
      <c r="J109" s="5">
        <f>Table1[[#This Row],[2024 U.S. Sales ($000)]]/Table1[[#This Row],[2024 U.S. Units]]</f>
        <v>1563.8629283489097</v>
      </c>
      <c r="K109" s="6">
        <f>Table1[[#This Row],[2024 U.S. Units]]/Table1[[#This Row],[2023 U.S. Units]]-1</f>
        <v>0.78333333333333344</v>
      </c>
      <c r="L109" s="8">
        <f>(Table1[[#This Row],[2024 Market share (%)]]-Table1[[#This Row],[2023 Market share (%)]])*10000</f>
        <v>60.384096485289753</v>
      </c>
      <c r="M109" s="6">
        <f>_xlfn.RRI(5,Table1[[#This Row],[2019 U.S. Sales ($000)]],Table1[[#This Row],[2024 U.S. Sales ($000)]])</f>
        <v>1.103142876090708</v>
      </c>
      <c r="N109" s="9">
        <f>(Table1[[#This Row],[2024 Market share (%)]]-Table1[[#This Row],[2019 Market share (%)]])*10000</f>
        <v>95.857780292859829</v>
      </c>
      <c r="O109" s="6">
        <f>IF(Table1[[#This Row],[2024 AUV]]=0,"",_xlfn.RRI(5,Table1[[#This Row],[2019 AUV]],Table1[[#This Row],[2024 AUV]]))</f>
        <v>-2.144018156488503E-2</v>
      </c>
      <c r="P109" s="6">
        <f>_xlfn.RRI(5,Table1[[#This Row],[2019 U.S. Units]],Table1[[#This Row],[2024 U.S. Units]])</f>
        <v>1.1492225988330427</v>
      </c>
      <c r="Q109" s="5">
        <v>191000</v>
      </c>
      <c r="R109" s="6">
        <f>Table1[[#This Row],[2023 U.S. Sales ($000)]]/SUMIF($E:$E, E109, $Q:$Q)</f>
        <v>3.8960828619719018E-3</v>
      </c>
      <c r="S109" s="8">
        <f>(Table1[[#This Row],[2023 Market share (%)]]-Table1[[#This Row],[2022 Market share (%)]])*10000</f>
        <v>27.142999187723895</v>
      </c>
      <c r="T109" s="10">
        <v>2.6730769230769229</v>
      </c>
      <c r="U109" s="5">
        <v>180</v>
      </c>
      <c r="V109" s="5">
        <f t="shared" si="8"/>
        <v>1061.1111111111111</v>
      </c>
      <c r="W109" s="10">
        <v>3.5</v>
      </c>
      <c r="X109" s="10">
        <f t="shared" si="9"/>
        <v>0.98915389330200854</v>
      </c>
      <c r="Y109" s="8">
        <f>(Table1[[#This Row],[2023 Market share (%)]]-Table1[[#This Row],[2019 Market share (%)]])*10000</f>
        <v>35.473683807570076</v>
      </c>
      <c r="Z109" s="10">
        <f t="shared" si="10"/>
        <v>-0.1166663643121183</v>
      </c>
      <c r="AA109" s="10">
        <f t="shared" si="11"/>
        <v>1.2518715612510185</v>
      </c>
      <c r="AB109" s="5">
        <v>52000</v>
      </c>
      <c r="AC109" s="6">
        <f>Table1[[#This Row],[2022 U.S. Sales ($000)]]/SUMIF($E:$E, E109, $AB:$AB)</f>
        <v>1.1817829431995119E-3</v>
      </c>
      <c r="AD109" s="5">
        <v>40</v>
      </c>
      <c r="AE109" s="5">
        <f t="shared" si="12"/>
        <v>1300</v>
      </c>
      <c r="AF109" s="5">
        <v>21600</v>
      </c>
      <c r="AG109" s="6">
        <f>Table1[[#This Row],[2021 U.S. Sales ($000)]]/SUMIF($E:$E, E109, $AF:$AF)</f>
        <v>5.5655631194249521E-4</v>
      </c>
      <c r="AH109" s="5">
        <v>14</v>
      </c>
      <c r="AI109" s="12">
        <f t="shared" si="13"/>
        <v>1542.8571428571429</v>
      </c>
      <c r="AJ109" s="5">
        <v>15000</v>
      </c>
      <c r="AK109" s="6">
        <f>Table1[[#This Row],[2020 U.S. Sales ($000)]]/SUMIF($E:$E, E109, $AJ:$AJ)</f>
        <v>4.8373762780549686E-4</v>
      </c>
      <c r="AL109" s="5">
        <v>8</v>
      </c>
      <c r="AM109" s="5">
        <f t="shared" si="14"/>
        <v>1875</v>
      </c>
      <c r="AN109" s="5">
        <v>12200</v>
      </c>
      <c r="AO109" s="6">
        <f>Table1[[#This Row],[2019 U.S. Sales ($000)]]/SUMIF($E:$E, E109, $AN:$AN)</f>
        <v>3.487144812148938E-4</v>
      </c>
      <c r="AP109" s="5">
        <v>7</v>
      </c>
      <c r="AQ109" s="5">
        <f t="shared" si="15"/>
        <v>1742.8571428571429</v>
      </c>
    </row>
    <row r="110" spans="1:43" x14ac:dyDescent="0.25">
      <c r="A110" t="s">
        <v>175</v>
      </c>
      <c r="B110">
        <v>2455</v>
      </c>
      <c r="C110" t="s">
        <v>68</v>
      </c>
      <c r="D110" t="s">
        <v>69</v>
      </c>
      <c r="E110" t="s">
        <v>70</v>
      </c>
      <c r="F110" s="5">
        <v>111</v>
      </c>
      <c r="G110" s="5">
        <v>491000</v>
      </c>
      <c r="H110" s="6">
        <f>Table1[[#This Row],[2024 U.S. Sales ($000)]]/SUMIF($E:$E, E110, $G:$G)</f>
        <v>3.0245164469631637E-2</v>
      </c>
      <c r="I110" s="5">
        <v>95</v>
      </c>
      <c r="J110" s="5">
        <f>Table1[[#This Row],[2024 U.S. Sales ($000)]]/Table1[[#This Row],[2024 U.S. Units]]</f>
        <v>5168.4210526315792</v>
      </c>
      <c r="K110" s="6">
        <f>Table1[[#This Row],[2024 U.S. Units]]/Table1[[#This Row],[2023 U.S. Units]]-1</f>
        <v>3.2608695652173836E-2</v>
      </c>
      <c r="L110" s="8">
        <f>(Table1[[#This Row],[2024 Market share (%)]]-Table1[[#This Row],[2023 Market share (%)]])*10000</f>
        <v>16.579282697221711</v>
      </c>
      <c r="M110" s="6">
        <f>_xlfn.RRI(5,Table1[[#This Row],[2019 U.S. Sales ($000)]],Table1[[#This Row],[2024 U.S. Sales ($000)]])</f>
        <v>4.1952066825200474E-2</v>
      </c>
      <c r="N110" s="9">
        <f>(Table1[[#This Row],[2024 Market share (%)]]-Table1[[#This Row],[2019 Market share (%)]])*10000</f>
        <v>-16.39592311800747</v>
      </c>
      <c r="O110" s="6">
        <f>IF(Table1[[#This Row],[2024 AUV]]=0,"",_xlfn.RRI(5,Table1[[#This Row],[2019 AUV]],Table1[[#This Row],[2024 AUV]]))</f>
        <v>2.6123311035435526E-2</v>
      </c>
      <c r="P110" s="6">
        <f>_xlfn.RRI(5,Table1[[#This Row],[2019 U.S. Units]],Table1[[#This Row],[2024 U.S. Units]])</f>
        <v>1.5425783255808456E-2</v>
      </c>
      <c r="Q110" s="5">
        <v>456400</v>
      </c>
      <c r="R110" s="6">
        <f>Table1[[#This Row],[2023 U.S. Sales ($000)]]/SUMIF($E:$E, E110, $Q:$Q)</f>
        <v>2.8587236199909466E-2</v>
      </c>
      <c r="S110" s="8">
        <f>(Table1[[#This Row],[2023 Market share (%)]]-Table1[[#This Row],[2022 Market share (%)]])*10000</f>
        <v>0.11937314311948055</v>
      </c>
      <c r="T110" s="10">
        <v>9.1604879215498689E-2</v>
      </c>
      <c r="U110" s="5">
        <v>92</v>
      </c>
      <c r="V110" s="5">
        <f t="shared" si="8"/>
        <v>4960.869565217391</v>
      </c>
      <c r="W110" s="10">
        <v>2.2222222222222223E-2</v>
      </c>
      <c r="X110" s="10">
        <f t="shared" si="9"/>
        <v>3.3655242160187893E-2</v>
      </c>
      <c r="Y110" s="8">
        <f>(Table1[[#This Row],[2023 Market share (%)]]-Table1[[#This Row],[2019 Market share (%)]])*10000</f>
        <v>-32.975205815229181</v>
      </c>
      <c r="Z110" s="10">
        <f t="shared" si="10"/>
        <v>2.2231883922779083E-2</v>
      </c>
      <c r="AA110" s="10">
        <f t="shared" si="11"/>
        <v>1.1174918741109874E-2</v>
      </c>
      <c r="AB110" s="5">
        <v>418100</v>
      </c>
      <c r="AC110" s="6">
        <f>Table1[[#This Row],[2022 U.S. Sales ($000)]]/SUMIF($E:$E, E110, $AB:$AB)</f>
        <v>2.8575298885597518E-2</v>
      </c>
      <c r="AD110" s="5">
        <v>90</v>
      </c>
      <c r="AE110" s="5">
        <f t="shared" si="12"/>
        <v>4645.5555555555557</v>
      </c>
      <c r="AF110" s="5">
        <v>378200</v>
      </c>
      <c r="AG110" s="6">
        <f>Table1[[#This Row],[2021 U.S. Sales ($000)]]/SUMIF($E:$E, E110, $AF:$AF)</f>
        <v>2.9098004186204146E-2</v>
      </c>
      <c r="AH110" s="5">
        <v>90</v>
      </c>
      <c r="AI110" s="12">
        <f t="shared" si="13"/>
        <v>4202.2222222222226</v>
      </c>
      <c r="AJ110" s="5">
        <v>272000</v>
      </c>
      <c r="AK110" s="6">
        <f>Table1[[#This Row],[2020 U.S. Sales ($000)]]/SUMIF($E:$E, E110, $AJ:$AJ)</f>
        <v>2.8962353412691603E-2</v>
      </c>
      <c r="AL110" s="5">
        <v>88</v>
      </c>
      <c r="AM110" s="5">
        <f t="shared" si="14"/>
        <v>3090.909090909091</v>
      </c>
      <c r="AN110" s="5">
        <v>399800</v>
      </c>
      <c r="AO110" s="6">
        <f>Table1[[#This Row],[2019 U.S. Sales ($000)]]/SUMIF($E:$E, E110, $AN:$AN)</f>
        <v>3.1884756781432384E-2</v>
      </c>
      <c r="AP110" s="5">
        <v>88</v>
      </c>
      <c r="AQ110" s="5">
        <f t="shared" si="15"/>
        <v>4543.181818181818</v>
      </c>
    </row>
    <row r="111" spans="1:43" x14ac:dyDescent="0.25">
      <c r="A111" t="s">
        <v>176</v>
      </c>
      <c r="B111">
        <v>2196</v>
      </c>
      <c r="C111" t="s">
        <v>68</v>
      </c>
      <c r="D111" t="s">
        <v>69</v>
      </c>
      <c r="E111" t="s">
        <v>52</v>
      </c>
      <c r="F111" s="5">
        <v>110</v>
      </c>
      <c r="G111" s="5">
        <v>488000</v>
      </c>
      <c r="H111" s="6">
        <f>Table1[[#This Row],[2024 U.S. Sales ($000)]]/SUMIF($E:$E, E111, $G:$G)</f>
        <v>1.4494475466318166E-2</v>
      </c>
      <c r="I111" s="5">
        <v>104</v>
      </c>
      <c r="J111" s="5">
        <f>Table1[[#This Row],[2024 U.S. Sales ($000)]]/Table1[[#This Row],[2024 U.S. Units]]</f>
        <v>4692.3076923076924</v>
      </c>
      <c r="K111" s="6">
        <f>Table1[[#This Row],[2024 U.S. Units]]/Table1[[#This Row],[2023 U.S. Units]]-1</f>
        <v>2.9702970297029729E-2</v>
      </c>
      <c r="L111" s="8">
        <f>(Table1[[#This Row],[2024 Market share (%)]]-Table1[[#This Row],[2023 Market share (%)]])*10000</f>
        <v>5.5291860806104545</v>
      </c>
      <c r="M111" s="6">
        <f>_xlfn.RRI(5,Table1[[#This Row],[2019 U.S. Sales ($000)]],Table1[[#This Row],[2024 U.S. Sales ($000)]])</f>
        <v>2.7375689354817601E-2</v>
      </c>
      <c r="N111" s="9">
        <f>(Table1[[#This Row],[2024 Market share (%)]]-Table1[[#This Row],[2019 Market share (%)]])*10000</f>
        <v>-30.924781859002234</v>
      </c>
      <c r="O111" s="6">
        <f>IF(Table1[[#This Row],[2024 AUV]]=0,"",_xlfn.RRI(5,Table1[[#This Row],[2019 AUV]],Table1[[#This Row],[2024 AUV]]))</f>
        <v>1.9348332937204615E-2</v>
      </c>
      <c r="P111" s="6">
        <f>_xlfn.RRI(5,Table1[[#This Row],[2019 U.S. Units]],Table1[[#This Row],[2024 U.S. Units]])</f>
        <v>7.8749885178921453E-3</v>
      </c>
      <c r="Q111" s="5">
        <v>461310</v>
      </c>
      <c r="R111" s="6">
        <f>Table1[[#This Row],[2023 U.S. Sales ($000)]]/SUMIF($E:$E, E111, $Q:$Q)</f>
        <v>1.3941556858257121E-2</v>
      </c>
      <c r="S111" s="8">
        <f>(Table1[[#This Row],[2023 Market share (%)]]-Table1[[#This Row],[2022 Market share (%)]])*10000</f>
        <v>1.7671487910417283E-2</v>
      </c>
      <c r="T111" s="10">
        <v>9.2595004914557744E-2</v>
      </c>
      <c r="U111" s="5">
        <v>101</v>
      </c>
      <c r="V111" s="5">
        <f t="shared" si="8"/>
        <v>4567.4257425742571</v>
      </c>
      <c r="W111" s="10">
        <v>3.0612244897959183E-2</v>
      </c>
      <c r="X111" s="10">
        <f t="shared" si="9"/>
        <v>1.989360310770194E-2</v>
      </c>
      <c r="Y111" s="8">
        <f>(Table1[[#This Row],[2023 Market share (%)]]-Table1[[#This Row],[2019 Market share (%)]])*10000</f>
        <v>-36.453967939612689</v>
      </c>
      <c r="Z111" s="10">
        <f t="shared" si="10"/>
        <v>1.7359686381607009E-2</v>
      </c>
      <c r="AA111" s="10">
        <f t="shared" si="11"/>
        <v>2.4906793143211203E-3</v>
      </c>
      <c r="AB111" s="5">
        <v>422215</v>
      </c>
      <c r="AC111" s="6">
        <f>Table1[[#This Row],[2022 U.S. Sales ($000)]]/SUMIF($E:$E, E111, $AB:$AB)</f>
        <v>1.3939789709466079E-2</v>
      </c>
      <c r="AD111" s="5">
        <v>98</v>
      </c>
      <c r="AE111" s="5">
        <f t="shared" si="12"/>
        <v>4308.3163265306121</v>
      </c>
      <c r="AF111" s="5">
        <v>396467</v>
      </c>
      <c r="AG111" s="6">
        <f>Table1[[#This Row],[2021 U.S. Sales ($000)]]/SUMIF($E:$E, E111, $AF:$AF)</f>
        <v>1.446471221254601E-2</v>
      </c>
      <c r="AH111" s="5">
        <v>96</v>
      </c>
      <c r="AI111" s="12">
        <f t="shared" si="13"/>
        <v>4129.864583333333</v>
      </c>
      <c r="AJ111" s="5">
        <v>320952</v>
      </c>
      <c r="AK111" s="6">
        <f>Table1[[#This Row],[2020 U.S. Sales ($000)]]/SUMIF($E:$E, E111, $AJ:$AJ)</f>
        <v>1.3616025055875416E-2</v>
      </c>
      <c r="AL111" s="5">
        <v>92</v>
      </c>
      <c r="AM111" s="5">
        <f t="shared" si="14"/>
        <v>3488.608695652174</v>
      </c>
      <c r="AN111" s="5">
        <v>426357</v>
      </c>
      <c r="AO111" s="6">
        <f>Table1[[#This Row],[2019 U.S. Sales ($000)]]/SUMIF($E:$E, E111, $AN:$AN)</f>
        <v>1.7586953652218389E-2</v>
      </c>
      <c r="AP111" s="5">
        <v>100</v>
      </c>
      <c r="AQ111" s="5">
        <f t="shared" si="15"/>
        <v>4263.57</v>
      </c>
    </row>
    <row r="112" spans="1:43" x14ac:dyDescent="0.25">
      <c r="A112" t="s">
        <v>177</v>
      </c>
      <c r="B112">
        <v>1650</v>
      </c>
      <c r="C112" t="s">
        <v>44</v>
      </c>
      <c r="D112" t="s">
        <v>45</v>
      </c>
      <c r="E112" t="s">
        <v>112</v>
      </c>
      <c r="F112" s="5">
        <v>105</v>
      </c>
      <c r="G112" s="5">
        <v>484000</v>
      </c>
      <c r="H112" s="6">
        <f>Table1[[#This Row],[2024 U.S. Sales ($000)]]/SUMIF($E:$E, E112, $G:$G)</f>
        <v>5.8952496954933008E-2</v>
      </c>
      <c r="I112" s="5">
        <v>727</v>
      </c>
      <c r="J112" s="5">
        <f>Table1[[#This Row],[2024 U.S. Sales ($000)]]/Table1[[#This Row],[2024 U.S. Units]]</f>
        <v>665.7496561210454</v>
      </c>
      <c r="K112" s="6">
        <f>Table1[[#This Row],[2024 U.S. Units]]/Table1[[#This Row],[2023 U.S. Units]]-1</f>
        <v>-9.5367847411443885E-3</v>
      </c>
      <c r="L112" s="8">
        <f>(Table1[[#This Row],[2024 Market share (%)]]-Table1[[#This Row],[2023 Market share (%)]])*10000</f>
        <v>-30.424854814190827</v>
      </c>
      <c r="M112" s="6">
        <f>_xlfn.RRI(5,Table1[[#This Row],[2019 U.S. Sales ($000)]],Table1[[#This Row],[2024 U.S. Sales ($000)]])</f>
        <v>-4.823218274043084E-3</v>
      </c>
      <c r="N112" s="9">
        <f>(Table1[[#This Row],[2024 Market share (%)]]-Table1[[#This Row],[2019 Market share (%)]])*10000</f>
        <v>-431.41147206477916</v>
      </c>
      <c r="O112" s="6">
        <f>IF(Table1[[#This Row],[2024 AUV]]=0,"",_xlfn.RRI(5,Table1[[#This Row],[2019 AUV]],Table1[[#This Row],[2024 AUV]]))</f>
        <v>9.0224855807572446E-3</v>
      </c>
      <c r="P112" s="6">
        <f>_xlfn.RRI(5,Table1[[#This Row],[2019 U.S. Units]],Table1[[#This Row],[2024 U.S. Units]])</f>
        <v>-1.3721898225916407E-2</v>
      </c>
      <c r="Q112" s="5">
        <v>513029</v>
      </c>
      <c r="R112" s="6">
        <f>Table1[[#This Row],[2023 U.S. Sales ($000)]]/SUMIF($E:$E, E112, $Q:$Q)</f>
        <v>6.199498243635209E-2</v>
      </c>
      <c r="S112" s="8">
        <f>(Table1[[#This Row],[2023 Market share (%)]]-Table1[[#This Row],[2022 Market share (%)]])*10000</f>
        <v>-68.466002209021028</v>
      </c>
      <c r="T112" s="10">
        <v>9.7405920327507476E-3</v>
      </c>
      <c r="U112" s="5">
        <v>734</v>
      </c>
      <c r="V112" s="5">
        <f t="shared" si="8"/>
        <v>698.94959128065398</v>
      </c>
      <c r="W112" s="10">
        <v>-4.0705563093622792E-3</v>
      </c>
      <c r="X112" s="10">
        <f t="shared" si="9"/>
        <v>8.5546409459489325E-3</v>
      </c>
      <c r="Y112" s="8">
        <f>(Table1[[#This Row],[2023 Market share (%)]]-Table1[[#This Row],[2019 Market share (%)]])*10000</f>
        <v>-400.98661725058832</v>
      </c>
      <c r="Z112" s="10">
        <f t="shared" si="10"/>
        <v>2.3669542027889401E-2</v>
      </c>
      <c r="AA112" s="10">
        <f t="shared" si="11"/>
        <v>-1.4765410575758531E-2</v>
      </c>
      <c r="AB112" s="5">
        <v>508080</v>
      </c>
      <c r="AC112" s="6">
        <f>Table1[[#This Row],[2022 U.S. Sales ($000)]]/SUMIF($E:$E, E112, $AB:$AB)</f>
        <v>6.8841582657254194E-2</v>
      </c>
      <c r="AD112" s="5">
        <v>737</v>
      </c>
      <c r="AE112" s="5">
        <f t="shared" si="12"/>
        <v>689.38941655359565</v>
      </c>
      <c r="AF112" s="5">
        <v>504603</v>
      </c>
      <c r="AG112" s="6">
        <f>Table1[[#This Row],[2021 U.S. Sales ($000)]]/SUMIF($E:$E, E112, $AF:$AF)</f>
        <v>8.0660594512682468E-2</v>
      </c>
      <c r="AH112" s="5">
        <v>750</v>
      </c>
      <c r="AI112" s="12">
        <f t="shared" si="13"/>
        <v>672.80399999999997</v>
      </c>
      <c r="AJ112" s="5">
        <v>417882</v>
      </c>
      <c r="AK112" s="6">
        <f>Table1[[#This Row],[2020 U.S. Sales ($000)]]/SUMIF($E:$E, E112, $AJ:$AJ)</f>
        <v>9.0541936003875764E-2</v>
      </c>
      <c r="AL112" s="5">
        <v>767</v>
      </c>
      <c r="AM112" s="5">
        <f t="shared" si="14"/>
        <v>544.82659713168186</v>
      </c>
      <c r="AN112" s="5">
        <v>495843</v>
      </c>
      <c r="AO112" s="6">
        <f>Table1[[#This Row],[2019 U.S. Sales ($000)]]/SUMIF($E:$E, E112, $AN:$AN)</f>
        <v>0.10209364416141092</v>
      </c>
      <c r="AP112" s="5">
        <v>779</v>
      </c>
      <c r="AQ112" s="5">
        <f t="shared" si="15"/>
        <v>636.51219512195121</v>
      </c>
    </row>
    <row r="113" spans="1:43" x14ac:dyDescent="0.25">
      <c r="A113" t="s">
        <v>178</v>
      </c>
      <c r="B113">
        <v>12040</v>
      </c>
      <c r="C113" t="s">
        <v>44</v>
      </c>
      <c r="D113" t="s">
        <v>56</v>
      </c>
      <c r="E113" t="s">
        <v>48</v>
      </c>
      <c r="F113" s="5">
        <v>133</v>
      </c>
      <c r="G113" s="5">
        <v>462000</v>
      </c>
      <c r="H113" s="6">
        <f>Table1[[#This Row],[2024 U.S. Sales ($000)]]/SUMIF($E:$E, E113, $G:$G)</f>
        <v>9.1428994817757073E-3</v>
      </c>
      <c r="I113" s="5">
        <v>197</v>
      </c>
      <c r="J113" s="5">
        <f>Table1[[#This Row],[2024 U.S. Sales ($000)]]/Table1[[#This Row],[2024 U.S. Units]]</f>
        <v>2345.1776649746193</v>
      </c>
      <c r="K113" s="6">
        <f>Table1[[#This Row],[2024 U.S. Units]]/Table1[[#This Row],[2023 U.S. Units]]-1</f>
        <v>0.2709677419354839</v>
      </c>
      <c r="L113" s="8">
        <f>(Table1[[#This Row],[2024 Market share (%)]]-Table1[[#This Row],[2023 Market share (%)]])*10000</f>
        <v>19.320864361889672</v>
      </c>
      <c r="M113" s="6">
        <f>_xlfn.RRI(5,Table1[[#This Row],[2019 U.S. Sales ($000)]],Table1[[#This Row],[2024 U.S. Sales ($000)]])</f>
        <v>0.24524615638150471</v>
      </c>
      <c r="N113" s="9">
        <f>(Table1[[#This Row],[2024 Market share (%)]]-Table1[[#This Row],[2019 Market share (%)]])*10000</f>
        <v>47.325187890332387</v>
      </c>
      <c r="O113" s="6">
        <f>IF(Table1[[#This Row],[2024 AUV]]=0,"",_xlfn.RRI(5,Table1[[#This Row],[2019 AUV]],Table1[[#This Row],[2024 AUV]]))</f>
        <v>4.5020319836953648E-2</v>
      </c>
      <c r="P113" s="6">
        <f>_xlfn.RRI(5,Table1[[#This Row],[2019 U.S. Units]],Table1[[#This Row],[2024 U.S. Units]])</f>
        <v>0.1915999457080324</v>
      </c>
      <c r="Q113" s="5">
        <v>353500</v>
      </c>
      <c r="R113" s="6">
        <f>Table1[[#This Row],[2023 U.S. Sales ($000)]]/SUMIF($E:$E, E113, $Q:$Q)</f>
        <v>7.2108130455867401E-3</v>
      </c>
      <c r="S113" s="8">
        <f>(Table1[[#This Row],[2023 Market share (%)]]-Table1[[#This Row],[2022 Market share (%)]])*10000</f>
        <v>14.121904954227816</v>
      </c>
      <c r="T113" s="10">
        <v>0.3854758237408239</v>
      </c>
      <c r="U113" s="5">
        <v>155</v>
      </c>
      <c r="V113" s="5">
        <f t="shared" si="8"/>
        <v>2280.6451612903224</v>
      </c>
      <c r="W113" s="10">
        <v>0.3135593220338983</v>
      </c>
      <c r="X113" s="10">
        <f t="shared" si="9"/>
        <v>0.23028540800006447</v>
      </c>
      <c r="Y113" s="8">
        <f>(Table1[[#This Row],[2023 Market share (%)]]-Table1[[#This Row],[2019 Market share (%)]])*10000</f>
        <v>28.004323528442715</v>
      </c>
      <c r="Z113" s="10">
        <f t="shared" si="10"/>
        <v>4.9243799839078672E-2</v>
      </c>
      <c r="AA113" s="10">
        <f t="shared" si="11"/>
        <v>0.17254484438102158</v>
      </c>
      <c r="AB113" s="5">
        <v>255147</v>
      </c>
      <c r="AC113" s="6">
        <f>Table1[[#This Row],[2022 U.S. Sales ($000)]]/SUMIF($E:$E, E113, $AB:$AB)</f>
        <v>5.7986225501639585E-3</v>
      </c>
      <c r="AD113" s="5">
        <v>118</v>
      </c>
      <c r="AE113" s="5">
        <f t="shared" si="12"/>
        <v>2162.2627118644068</v>
      </c>
      <c r="AF113" s="5">
        <v>187286</v>
      </c>
      <c r="AG113" s="6">
        <f>Table1[[#This Row],[2021 U.S. Sales ($000)]]/SUMIF($E:$E, E113, $AF:$AF)</f>
        <v>4.8257039554843589E-3</v>
      </c>
      <c r="AH113" s="5">
        <v>94</v>
      </c>
      <c r="AI113" s="12">
        <f t="shared" si="13"/>
        <v>1992.4042553191489</v>
      </c>
      <c r="AJ113" s="5">
        <v>128100</v>
      </c>
      <c r="AK113" s="6">
        <f>Table1[[#This Row],[2020 U.S. Sales ($000)]]/SUMIF($E:$E, E113, $AJ:$AJ)</f>
        <v>4.1311193414589427E-3</v>
      </c>
      <c r="AL113" s="5">
        <v>86</v>
      </c>
      <c r="AM113" s="5">
        <f t="shared" si="14"/>
        <v>1489.5348837209303</v>
      </c>
      <c r="AN113" s="5">
        <v>154300</v>
      </c>
      <c r="AO113" s="6">
        <f>Table1[[#This Row],[2019 U.S. Sales ($000)]]/SUMIF($E:$E, E113, $AN:$AN)</f>
        <v>4.4103806927424686E-3</v>
      </c>
      <c r="AP113" s="5">
        <v>82</v>
      </c>
      <c r="AQ113" s="5">
        <f t="shared" si="15"/>
        <v>1881.7073170731708</v>
      </c>
    </row>
    <row r="114" spans="1:43" x14ac:dyDescent="0.25">
      <c r="A114" t="s">
        <v>179</v>
      </c>
      <c r="B114">
        <v>31592</v>
      </c>
      <c r="C114" t="s">
        <v>44</v>
      </c>
      <c r="D114" t="s">
        <v>56</v>
      </c>
      <c r="E114" t="s">
        <v>50</v>
      </c>
      <c r="F114" s="5">
        <v>123</v>
      </c>
      <c r="G114" s="5">
        <v>460000</v>
      </c>
      <c r="H114" s="6">
        <f>Table1[[#This Row],[2024 U.S. Sales ($000)]]/SUMIF($E:$E, E114, $G:$G)</f>
        <v>8.7575676807676202E-3</v>
      </c>
      <c r="I114" s="5">
        <v>206</v>
      </c>
      <c r="J114" s="5">
        <f>Table1[[#This Row],[2024 U.S. Sales ($000)]]/Table1[[#This Row],[2024 U.S. Units]]</f>
        <v>2233.009708737864</v>
      </c>
      <c r="K114" s="6">
        <f>Table1[[#This Row],[2024 U.S. Units]]/Table1[[#This Row],[2023 U.S. Units]]-1</f>
        <v>0.14444444444444438</v>
      </c>
      <c r="L114" s="8">
        <f>(Table1[[#This Row],[2024 Market share (%)]]-Table1[[#This Row],[2023 Market share (%)]])*10000</f>
        <v>8.3640626538183422</v>
      </c>
      <c r="M114" s="6">
        <f>_xlfn.RRI(5,Table1[[#This Row],[2019 U.S. Sales ($000)]],Table1[[#This Row],[2024 U.S. Sales ($000)]])</f>
        <v>0.29789356341673612</v>
      </c>
      <c r="N114" s="9">
        <f>(Table1[[#This Row],[2024 Market share (%)]]-Table1[[#This Row],[2019 Market share (%)]])*10000</f>
        <v>46.891172564647235</v>
      </c>
      <c r="O114" s="6">
        <f>IF(Table1[[#This Row],[2024 AUV]]=0,"",_xlfn.RRI(5,Table1[[#This Row],[2019 AUV]],Table1[[#This Row],[2024 AUV]]))</f>
        <v>7.4196250144025644E-2</v>
      </c>
      <c r="P114" s="6">
        <f>_xlfn.RRI(5,Table1[[#This Row],[2019 U.S. Units]],Table1[[#This Row],[2024 U.S. Units]])</f>
        <v>0.20824622432141027</v>
      </c>
      <c r="Q114" s="5">
        <v>388000</v>
      </c>
      <c r="R114" s="6">
        <f>Table1[[#This Row],[2023 U.S. Sales ($000)]]/SUMIF($E:$E, E114, $Q:$Q)</f>
        <v>7.921161415385786E-3</v>
      </c>
      <c r="S114" s="8">
        <f>(Table1[[#This Row],[2023 Market share (%)]]-Table1[[#This Row],[2022 Market share (%)]])*10000</f>
        <v>9.262612751485813</v>
      </c>
      <c r="T114" s="10">
        <v>0.27129750982961992</v>
      </c>
      <c r="U114" s="5">
        <v>180</v>
      </c>
      <c r="V114" s="5">
        <f t="shared" si="8"/>
        <v>2155.5555555555557</v>
      </c>
      <c r="W114" s="10">
        <v>0.25</v>
      </c>
      <c r="X114" s="10">
        <f t="shared" si="9"/>
        <v>0.3276002386484056</v>
      </c>
      <c r="Y114" s="8">
        <f>(Table1[[#This Row],[2023 Market share (%)]]-Table1[[#This Row],[2019 Market share (%)]])*10000</f>
        <v>38.527109910828891</v>
      </c>
      <c r="Z114" s="10">
        <f t="shared" si="10"/>
        <v>8.3981055695256268E-2</v>
      </c>
      <c r="AA114" s="10">
        <f t="shared" si="11"/>
        <v>0.22474487139158894</v>
      </c>
      <c r="AB114" s="5">
        <v>305200</v>
      </c>
      <c r="AC114" s="6">
        <f>Table1[[#This Row],[2022 U.S. Sales ($000)]]/SUMIF($E:$E, E114, $AB:$AB)</f>
        <v>6.9949001402372047E-3</v>
      </c>
      <c r="AD114" s="5">
        <v>144</v>
      </c>
      <c r="AE114" s="5">
        <f t="shared" si="12"/>
        <v>2119.4444444444443</v>
      </c>
      <c r="AF114" s="5">
        <v>234760</v>
      </c>
      <c r="AG114" s="6">
        <f>Table1[[#This Row],[2021 U.S. Sales ($000)]]/SUMIF($E:$E, E114, $AF:$AF)</f>
        <v>5.971277990079427E-3</v>
      </c>
      <c r="AH114" s="5">
        <v>113</v>
      </c>
      <c r="AI114" s="12">
        <f t="shared" si="13"/>
        <v>2077.5221238938052</v>
      </c>
      <c r="AJ114" s="5">
        <v>149041</v>
      </c>
      <c r="AK114" s="6">
        <f>Table1[[#This Row],[2020 U.S. Sales ($000)]]/SUMIF($E:$E, E114, $AJ:$AJ)</f>
        <v>4.4069778929032907E-3</v>
      </c>
      <c r="AL114" s="5">
        <v>85</v>
      </c>
      <c r="AM114" s="5">
        <f t="shared" si="14"/>
        <v>1753.4235294117648</v>
      </c>
      <c r="AN114" s="5">
        <v>124900</v>
      </c>
      <c r="AO114" s="6">
        <f>Table1[[#This Row],[2019 U.S. Sales ($000)]]/SUMIF($E:$E, E114, $AN:$AN)</f>
        <v>4.068450424302897E-3</v>
      </c>
      <c r="AP114" s="5">
        <v>80</v>
      </c>
      <c r="AQ114" s="5">
        <f t="shared" si="15"/>
        <v>1561.25</v>
      </c>
    </row>
    <row r="115" spans="1:43" x14ac:dyDescent="0.25">
      <c r="A115" t="s">
        <v>180</v>
      </c>
      <c r="B115">
        <v>33402</v>
      </c>
      <c r="C115" t="s">
        <v>68</v>
      </c>
      <c r="D115" t="s">
        <v>69</v>
      </c>
      <c r="E115" t="s">
        <v>87</v>
      </c>
      <c r="F115" s="5">
        <v>109</v>
      </c>
      <c r="G115" s="5">
        <v>456000</v>
      </c>
      <c r="H115" s="6">
        <f>Table1[[#This Row],[2024 U.S. Sales ($000)]]/SUMIF($E:$E, E115, $G:$G)</f>
        <v>5.7135697281042473E-2</v>
      </c>
      <c r="I115" s="5">
        <v>96</v>
      </c>
      <c r="J115" s="5">
        <f>Table1[[#This Row],[2024 U.S. Sales ($000)]]/Table1[[#This Row],[2024 U.S. Units]]</f>
        <v>4750</v>
      </c>
      <c r="K115" s="6">
        <f>Table1[[#This Row],[2024 U.S. Units]]/Table1[[#This Row],[2023 U.S. Units]]-1</f>
        <v>7.8651685393258397E-2</v>
      </c>
      <c r="L115" s="8">
        <f>(Table1[[#This Row],[2024 Market share (%)]]-Table1[[#This Row],[2023 Market share (%)]])*10000</f>
        <v>97.554797525156303</v>
      </c>
      <c r="M115" s="6">
        <f>_xlfn.RRI(5,Table1[[#This Row],[2019 U.S. Sales ($000)]],Table1[[#This Row],[2024 U.S. Sales ($000)]])</f>
        <v>0.11669359246025879</v>
      </c>
      <c r="N115" s="9">
        <f>(Table1[[#This Row],[2024 Market share (%)]]-Table1[[#This Row],[2019 Market share (%)]])*10000</f>
        <v>264.54012400873967</v>
      </c>
      <c r="O115" s="6">
        <f>IF(Table1[[#This Row],[2024 AUV]]=0,"",_xlfn.RRI(5,Table1[[#This Row],[2019 AUV]],Table1[[#This Row],[2024 AUV]]))</f>
        <v>-4.6896286427281497E-3</v>
      </c>
      <c r="P115" s="6">
        <f>_xlfn.RRI(5,Table1[[#This Row],[2019 U.S. Units]],Table1[[#This Row],[2024 U.S. Units]])</f>
        <v>0.12195514544619956</v>
      </c>
      <c r="Q115" s="5">
        <v>462000</v>
      </c>
      <c r="R115" s="6">
        <f>Table1[[#This Row],[2023 U.S. Sales ($000)]]/SUMIF($E:$E, E115, $Q:$Q)</f>
        <v>4.7380217528526843E-2</v>
      </c>
      <c r="S115" s="8">
        <f>(Table1[[#This Row],[2023 Market share (%)]]-Table1[[#This Row],[2022 Market share (%)]])*10000</f>
        <v>65.494268188507476</v>
      </c>
      <c r="T115" s="10">
        <v>0.20847501961810097</v>
      </c>
      <c r="U115" s="5">
        <v>89</v>
      </c>
      <c r="V115" s="5">
        <f t="shared" si="8"/>
        <v>5191.0112359550558</v>
      </c>
      <c r="W115" s="10">
        <v>0.15584415584415584</v>
      </c>
      <c r="X115" s="10">
        <f t="shared" si="9"/>
        <v>0.15169322872705981</v>
      </c>
      <c r="Y115" s="8">
        <f>(Table1[[#This Row],[2023 Market share (%)]]-Table1[[#This Row],[2019 Market share (%)]])*10000</f>
        <v>166.98532648358335</v>
      </c>
      <c r="Z115" s="10">
        <f t="shared" si="10"/>
        <v>1.6454052621020843E-2</v>
      </c>
      <c r="AA115" s="10">
        <f t="shared" si="11"/>
        <v>0.1330499649810164</v>
      </c>
      <c r="AB115" s="5">
        <v>382300</v>
      </c>
      <c r="AC115" s="6">
        <f>Table1[[#This Row],[2022 U.S. Sales ($000)]]/SUMIF($E:$E, E115, $AB:$AB)</f>
        <v>4.0830790709676094E-2</v>
      </c>
      <c r="AD115" s="5">
        <v>77</v>
      </c>
      <c r="AE115" s="5">
        <f t="shared" si="12"/>
        <v>4964.9350649350654</v>
      </c>
      <c r="AF115" s="5">
        <v>310600</v>
      </c>
      <c r="AG115" s="6">
        <f>Table1[[#This Row],[2021 U.S. Sales ($000)]]/SUMIF($E:$E, E115, $AF:$AF)</f>
        <v>3.6418817811873942E-2</v>
      </c>
      <c r="AH115" s="5">
        <v>67</v>
      </c>
      <c r="AI115" s="12">
        <f t="shared" si="13"/>
        <v>4635.8208955223881</v>
      </c>
      <c r="AJ115" s="5">
        <v>223200</v>
      </c>
      <c r="AK115" s="6">
        <f>Table1[[#This Row],[2020 U.S. Sales ($000)]]/SUMIF($E:$E, E115, $AJ:$AJ)</f>
        <v>3.3687754063698533E-2</v>
      </c>
      <c r="AL115" s="5">
        <v>58</v>
      </c>
      <c r="AM115" s="5">
        <f t="shared" si="14"/>
        <v>3848.2758620689656</v>
      </c>
      <c r="AN115" s="5">
        <v>262600</v>
      </c>
      <c r="AO115" s="6">
        <f>Table1[[#This Row],[2019 U.S. Sales ($000)]]/SUMIF($E:$E, E115, $AN:$AN)</f>
        <v>3.0681684880168508E-2</v>
      </c>
      <c r="AP115" s="5">
        <v>54</v>
      </c>
      <c r="AQ115" s="5">
        <f t="shared" si="15"/>
        <v>4862.9629629629626</v>
      </c>
    </row>
    <row r="116" spans="1:43" x14ac:dyDescent="0.25">
      <c r="A116" t="s">
        <v>181</v>
      </c>
      <c r="B116">
        <v>2479</v>
      </c>
      <c r="C116" t="s">
        <v>68</v>
      </c>
      <c r="D116" t="s">
        <v>92</v>
      </c>
      <c r="E116" t="s">
        <v>93</v>
      </c>
      <c r="F116" s="5">
        <v>113</v>
      </c>
      <c r="G116" s="5">
        <v>445000</v>
      </c>
      <c r="H116" s="6">
        <f>Table1[[#This Row],[2024 U.S. Sales ($000)]]/SUMIF($E:$E, E116, $G:$G)</f>
        <v>2.768962727894966E-2</v>
      </c>
      <c r="I116" s="5">
        <v>162</v>
      </c>
      <c r="J116" s="5">
        <f>Table1[[#This Row],[2024 U.S. Sales ($000)]]/Table1[[#This Row],[2024 U.S. Units]]</f>
        <v>2746.9135802469136</v>
      </c>
      <c r="K116" s="6">
        <f>Table1[[#This Row],[2024 U.S. Units]]/Table1[[#This Row],[2023 U.S. Units]]-1</f>
        <v>3.8461538461538547E-2</v>
      </c>
      <c r="L116" s="8">
        <f>(Table1[[#This Row],[2024 Market share (%)]]-Table1[[#This Row],[2023 Market share (%)]])*10000</f>
        <v>26.70234804115594</v>
      </c>
      <c r="M116" s="6">
        <f>_xlfn.RRI(5,Table1[[#This Row],[2019 U.S. Sales ($000)]],Table1[[#This Row],[2024 U.S. Sales ($000)]])</f>
        <v>5.7570494599642918E-2</v>
      </c>
      <c r="N116" s="9">
        <f>(Table1[[#This Row],[2024 Market share (%)]]-Table1[[#This Row],[2019 Market share (%)]])*10000</f>
        <v>78.384255703040679</v>
      </c>
      <c r="O116" s="6">
        <f>IF(Table1[[#This Row],[2024 AUV]]=0,"",_xlfn.RRI(5,Table1[[#This Row],[2019 AUV]],Table1[[#This Row],[2024 AUV]]))</f>
        <v>2.4193794611314434E-2</v>
      </c>
      <c r="P116" s="6">
        <f>_xlfn.RRI(5,Table1[[#This Row],[2019 U.S. Units]],Table1[[#This Row],[2024 U.S. Units]])</f>
        <v>3.2588266169875757E-2</v>
      </c>
      <c r="Q116" s="5">
        <v>437848</v>
      </c>
      <c r="R116" s="6">
        <f>Table1[[#This Row],[2023 U.S. Sales ($000)]]/SUMIF($E:$E, E116, $Q:$Q)</f>
        <v>2.5019392474834066E-2</v>
      </c>
      <c r="S116" s="8">
        <f>(Table1[[#This Row],[2023 Market share (%)]]-Table1[[#This Row],[2022 Market share (%)]])*10000</f>
        <v>1.5536982189262236</v>
      </c>
      <c r="T116" s="10">
        <v>6.6197831311805538E-2</v>
      </c>
      <c r="U116" s="5">
        <v>156</v>
      </c>
      <c r="V116" s="5">
        <f t="shared" si="8"/>
        <v>2806.7179487179487</v>
      </c>
      <c r="W116" s="10">
        <v>1.9607843137254902E-2</v>
      </c>
      <c r="X116" s="10">
        <f t="shared" si="9"/>
        <v>6.8138323032826298E-2</v>
      </c>
      <c r="Y116" s="8">
        <f>(Table1[[#This Row],[2023 Market share (%)]]-Table1[[#This Row],[2019 Market share (%)]])*10000</f>
        <v>51.681907661884736</v>
      </c>
      <c r="Z116" s="10">
        <f t="shared" si="10"/>
        <v>3.5895911823406568E-2</v>
      </c>
      <c r="AA116" s="10">
        <f t="shared" si="11"/>
        <v>3.1125145723054137E-2</v>
      </c>
      <c r="AB116" s="5">
        <v>410663</v>
      </c>
      <c r="AC116" s="6">
        <f>Table1[[#This Row],[2022 U.S. Sales ($000)]]/SUMIF($E:$E, E116, $AB:$AB)</f>
        <v>2.4864022652941443E-2</v>
      </c>
      <c r="AD116" s="5">
        <v>153</v>
      </c>
      <c r="AE116" s="5">
        <f t="shared" si="12"/>
        <v>2684.0718954248364</v>
      </c>
      <c r="AF116" s="5">
        <v>350033</v>
      </c>
      <c r="AG116" s="6">
        <f>Table1[[#This Row],[2021 U.S. Sales ($000)]]/SUMIF($E:$E, E116, $AF:$AF)</f>
        <v>2.3184704465608833E-2</v>
      </c>
      <c r="AH116" s="5">
        <v>144</v>
      </c>
      <c r="AI116" s="12">
        <f t="shared" si="13"/>
        <v>2430.7847222222222</v>
      </c>
      <c r="AJ116" s="5">
        <v>225286</v>
      </c>
      <c r="AK116" s="6">
        <f>Table1[[#This Row],[2020 U.S. Sales ($000)]]/SUMIF($E:$E, E116, $AJ:$AJ)</f>
        <v>2.1110183546320806E-2</v>
      </c>
      <c r="AL116" s="5">
        <v>143</v>
      </c>
      <c r="AM116" s="5">
        <f t="shared" si="14"/>
        <v>1575.4265734265734</v>
      </c>
      <c r="AN116" s="5">
        <v>336367</v>
      </c>
      <c r="AO116" s="6">
        <f>Table1[[#This Row],[2019 U.S. Sales ($000)]]/SUMIF($E:$E, E116, $AN:$AN)</f>
        <v>1.9851201708645592E-2</v>
      </c>
      <c r="AP116" s="5">
        <v>138</v>
      </c>
      <c r="AQ116" s="5">
        <f t="shared" si="15"/>
        <v>2437.442028985507</v>
      </c>
    </row>
    <row r="117" spans="1:43" x14ac:dyDescent="0.25">
      <c r="A117" t="s">
        <v>182</v>
      </c>
      <c r="B117">
        <v>887</v>
      </c>
      <c r="C117" t="s">
        <v>44</v>
      </c>
      <c r="D117" t="s">
        <v>45</v>
      </c>
      <c r="E117" t="s">
        <v>61</v>
      </c>
      <c r="F117" s="5">
        <v>108</v>
      </c>
      <c r="G117" s="5">
        <v>436000</v>
      </c>
      <c r="H117" s="6">
        <f>Table1[[#This Row],[2024 U.S. Sales ($000)]]/SUMIF($E:$E, E117, $G:$G)</f>
        <v>1.4834977883633889E-2</v>
      </c>
      <c r="I117" s="5">
        <v>509</v>
      </c>
      <c r="J117" s="5">
        <f>Table1[[#This Row],[2024 U.S. Sales ($000)]]/Table1[[#This Row],[2024 U.S. Units]]</f>
        <v>856.58153241650291</v>
      </c>
      <c r="K117" s="6">
        <f>Table1[[#This Row],[2024 U.S. Units]]/Table1[[#This Row],[2023 U.S. Units]]-1</f>
        <v>-1.5473887814313358E-2</v>
      </c>
      <c r="L117" s="8">
        <f>(Table1[[#This Row],[2024 Market share (%)]]-Table1[[#This Row],[2023 Market share (%)]])*10000</f>
        <v>-4.9469175712722917</v>
      </c>
      <c r="M117" s="6">
        <f>_xlfn.RRI(5,Table1[[#This Row],[2019 U.S. Sales ($000)]],Table1[[#This Row],[2024 U.S. Sales ($000)]])</f>
        <v>2.4679772474743622E-2</v>
      </c>
      <c r="N117" s="9">
        <f>(Table1[[#This Row],[2024 Market share (%)]]-Table1[[#This Row],[2019 Market share (%)]])*10000</f>
        <v>-1.1981034885724662</v>
      </c>
      <c r="O117" s="6">
        <f>IF(Table1[[#This Row],[2024 AUV]]=0,"",_xlfn.RRI(5,Table1[[#This Row],[2019 AUV]],Table1[[#This Row],[2024 AUV]]))</f>
        <v>3.5713086834855856E-2</v>
      </c>
      <c r="P117" s="6">
        <f>_xlfn.RRI(5,Table1[[#This Row],[2019 U.S. Units]],Table1[[#This Row],[2024 U.S. Units]])</f>
        <v>-1.0652867575353553E-2</v>
      </c>
      <c r="Q117" s="5">
        <v>468272</v>
      </c>
      <c r="R117" s="6">
        <f>Table1[[#This Row],[2023 U.S. Sales ($000)]]/SUMIF($E:$E, E117, $Q:$Q)</f>
        <v>1.5329669640761118E-2</v>
      </c>
      <c r="S117" s="8">
        <f>(Table1[[#This Row],[2023 Market share (%)]]-Table1[[#This Row],[2022 Market share (%)]])*10000</f>
        <v>-8.136487070371512</v>
      </c>
      <c r="T117" s="10">
        <v>-2.279243897043786E-2</v>
      </c>
      <c r="U117" s="5">
        <v>517</v>
      </c>
      <c r="V117" s="5">
        <f t="shared" si="8"/>
        <v>905.74854932301741</v>
      </c>
      <c r="W117" s="10">
        <v>-3.5447761194029849E-2</v>
      </c>
      <c r="X117" s="10">
        <f t="shared" si="9"/>
        <v>4.9513741352758434E-2</v>
      </c>
      <c r="Y117" s="8">
        <f>(Table1[[#This Row],[2023 Market share (%)]]-Table1[[#This Row],[2019 Market share (%)]])*10000</f>
        <v>3.748814082699826</v>
      </c>
      <c r="Z117" s="10">
        <f t="shared" si="10"/>
        <v>5.9519770141082784E-2</v>
      </c>
      <c r="AA117" s="10">
        <f t="shared" si="11"/>
        <v>-9.443928344057162E-3</v>
      </c>
      <c r="AB117" s="5">
        <v>479194</v>
      </c>
      <c r="AC117" s="6">
        <f>Table1[[#This Row],[2022 U.S. Sales ($000)]]/SUMIF($E:$E, E117, $AB:$AB)</f>
        <v>1.614331834779827E-2</v>
      </c>
      <c r="AD117" s="5">
        <v>536</v>
      </c>
      <c r="AE117" s="5">
        <f t="shared" si="12"/>
        <v>894.01865671641792</v>
      </c>
      <c r="AF117" s="5">
        <v>478256</v>
      </c>
      <c r="AG117" s="6">
        <f>Table1[[#This Row],[2021 U.S. Sales ($000)]]/SUMIF($E:$E, E117, $AF:$AF)</f>
        <v>1.6452689778922659E-2</v>
      </c>
      <c r="AH117" s="5">
        <v>534</v>
      </c>
      <c r="AI117" s="12">
        <f t="shared" si="13"/>
        <v>895.61048689138579</v>
      </c>
      <c r="AJ117" s="5">
        <v>442106</v>
      </c>
      <c r="AK117" s="6">
        <f>Table1[[#This Row],[2020 U.S. Sales ($000)]]/SUMIF($E:$E, E117, $AJ:$AJ)</f>
        <v>1.6333813242652404E-2</v>
      </c>
      <c r="AL117" s="5">
        <v>537</v>
      </c>
      <c r="AM117" s="5">
        <f t="shared" si="14"/>
        <v>823.28864059590319</v>
      </c>
      <c r="AN117" s="5">
        <v>385963</v>
      </c>
      <c r="AO117" s="6">
        <f>Table1[[#This Row],[2019 U.S. Sales ($000)]]/SUMIF($E:$E, E117, $AN:$AN)</f>
        <v>1.4954788232491136E-2</v>
      </c>
      <c r="AP117" s="5">
        <v>537</v>
      </c>
      <c r="AQ117" s="5">
        <f t="shared" si="15"/>
        <v>718.73929236499066</v>
      </c>
    </row>
    <row r="118" spans="1:43" x14ac:dyDescent="0.25">
      <c r="A118" t="s">
        <v>183</v>
      </c>
      <c r="B118">
        <v>843</v>
      </c>
      <c r="C118" t="s">
        <v>44</v>
      </c>
      <c r="D118" t="s">
        <v>45</v>
      </c>
      <c r="E118" t="s">
        <v>61</v>
      </c>
      <c r="F118" s="5">
        <v>117</v>
      </c>
      <c r="G118" s="5">
        <v>416000</v>
      </c>
      <c r="H118" s="6">
        <f>Table1[[#This Row],[2024 U.S. Sales ($000)]]/SUMIF($E:$E, E118, $G:$G)</f>
        <v>1.4154474310990133E-2</v>
      </c>
      <c r="I118" s="5">
        <v>391</v>
      </c>
      <c r="J118" s="5">
        <f>Table1[[#This Row],[2024 U.S. Sales ($000)]]/Table1[[#This Row],[2024 U.S. Units]]</f>
        <v>1063.9386189258312</v>
      </c>
      <c r="K118" s="6">
        <f>Table1[[#This Row],[2024 U.S. Units]]/Table1[[#This Row],[2023 U.S. Units]]-1</f>
        <v>-2.7363184079602032E-2</v>
      </c>
      <c r="L118" s="8">
        <f>(Table1[[#This Row],[2024 Market share (%)]]-Table1[[#This Row],[2023 Market share (%)]])*10000</f>
        <v>7.7165490585289103</v>
      </c>
      <c r="M118" s="6">
        <f>_xlfn.RRI(5,Table1[[#This Row],[2019 U.S. Sales ($000)]],Table1[[#This Row],[2024 U.S. Sales ($000)]])</f>
        <v>-5.2061513671551873E-3</v>
      </c>
      <c r="N118" s="9">
        <f>(Table1[[#This Row],[2024 Market share (%)]]-Table1[[#This Row],[2019 Market share (%)]])*10000</f>
        <v>-23.903617879978931</v>
      </c>
      <c r="O118" s="6">
        <f>IF(Table1[[#This Row],[2024 AUV]]=0,"",_xlfn.RRI(5,Table1[[#This Row],[2019 AUV]],Table1[[#This Row],[2024 AUV]]))</f>
        <v>1.2472683175835053E-2</v>
      </c>
      <c r="P118" s="6">
        <f>_xlfn.RRI(5,Table1[[#This Row],[2019 U.S. Units]],Table1[[#This Row],[2024 U.S. Units]])</f>
        <v>-1.7461048418152547E-2</v>
      </c>
      <c r="Q118" s="5">
        <v>408802</v>
      </c>
      <c r="R118" s="6">
        <f>Table1[[#This Row],[2023 U.S. Sales ($000)]]/SUMIF($E:$E, E118, $Q:$Q)</f>
        <v>1.3382819405137242E-2</v>
      </c>
      <c r="S118" s="8">
        <f>(Table1[[#This Row],[2023 Market share (%)]]-Table1[[#This Row],[2022 Market share (%)]])*10000</f>
        <v>-10.807912400995976</v>
      </c>
      <c r="T118" s="10">
        <v>-4.7822907107287101E-2</v>
      </c>
      <c r="U118" s="5">
        <v>402</v>
      </c>
      <c r="V118" s="5">
        <f t="shared" si="8"/>
        <v>1016.9203980099503</v>
      </c>
      <c r="W118" s="10">
        <v>-2.1897810218978103E-2</v>
      </c>
      <c r="X118" s="10">
        <f t="shared" si="9"/>
        <v>-1.0829207836369648E-2</v>
      </c>
      <c r="Y118" s="8">
        <f>(Table1[[#This Row],[2023 Market share (%)]]-Table1[[#This Row],[2019 Market share (%)]])*10000</f>
        <v>-31.620166938507843</v>
      </c>
      <c r="Z118" s="10">
        <f t="shared" si="10"/>
        <v>4.203520769667124E-3</v>
      </c>
      <c r="AA118" s="10">
        <f t="shared" si="11"/>
        <v>-1.4969802729346116E-2</v>
      </c>
      <c r="AB118" s="5">
        <v>429334</v>
      </c>
      <c r="AC118" s="6">
        <f>Table1[[#This Row],[2022 U.S. Sales ($000)]]/SUMIF($E:$E, E118, $AB:$AB)</f>
        <v>1.446361064523684E-2</v>
      </c>
      <c r="AD118" s="5">
        <v>411</v>
      </c>
      <c r="AE118" s="5">
        <f t="shared" si="12"/>
        <v>1044.6082725060828</v>
      </c>
      <c r="AF118" s="5">
        <v>420977</v>
      </c>
      <c r="AG118" s="6">
        <f>Table1[[#This Row],[2021 U.S. Sales ($000)]]/SUMIF($E:$E, E118, $AF:$AF)</f>
        <v>1.4482210333088396E-2</v>
      </c>
      <c r="AH118" s="5">
        <v>416</v>
      </c>
      <c r="AI118" s="12">
        <f t="shared" si="13"/>
        <v>1011.9639423076923</v>
      </c>
      <c r="AJ118" s="5">
        <v>385662</v>
      </c>
      <c r="AK118" s="6">
        <f>Table1[[#This Row],[2020 U.S. Sales ($000)]]/SUMIF($E:$E, E118, $AJ:$AJ)</f>
        <v>1.4248463225533723E-2</v>
      </c>
      <c r="AL118" s="5">
        <v>415</v>
      </c>
      <c r="AM118" s="5">
        <f t="shared" si="14"/>
        <v>929.3060240963855</v>
      </c>
      <c r="AN118" s="5">
        <v>427000</v>
      </c>
      <c r="AO118" s="6">
        <f>Table1[[#This Row],[2019 U.S. Sales ($000)]]/SUMIF($E:$E, E118, $AN:$AN)</f>
        <v>1.6544836098988026E-2</v>
      </c>
      <c r="AP118" s="5">
        <v>427</v>
      </c>
      <c r="AQ118" s="5">
        <f t="shared" si="15"/>
        <v>1000</v>
      </c>
    </row>
    <row r="119" spans="1:43" x14ac:dyDescent="0.25">
      <c r="A119" t="s">
        <v>184</v>
      </c>
      <c r="B119">
        <v>849</v>
      </c>
      <c r="C119" t="s">
        <v>44</v>
      </c>
      <c r="D119" t="s">
        <v>45</v>
      </c>
      <c r="E119" t="s">
        <v>52</v>
      </c>
      <c r="F119" s="5">
        <v>114</v>
      </c>
      <c r="G119" s="5">
        <v>415000</v>
      </c>
      <c r="H119" s="6">
        <f>Table1[[#This Row],[2024 U.S. Sales ($000)]]/SUMIF($E:$E, E119, $G:$G)</f>
        <v>1.2326244505168112E-2</v>
      </c>
      <c r="I119" s="5">
        <v>340</v>
      </c>
      <c r="J119" s="5">
        <f>Table1[[#This Row],[2024 U.S. Sales ($000)]]/Table1[[#This Row],[2024 U.S. Units]]</f>
        <v>1220.5882352941176</v>
      </c>
      <c r="K119" s="6">
        <f>Table1[[#This Row],[2024 U.S. Units]]/Table1[[#This Row],[2023 U.S. Units]]-1</f>
        <v>-6.5934065934065922E-2</v>
      </c>
      <c r="L119" s="8">
        <f>(Table1[[#This Row],[2024 Market share (%)]]-Table1[[#This Row],[2023 Market share (%)]])*10000</f>
        <v>-6.5109009135027973</v>
      </c>
      <c r="M119" s="6">
        <f>_xlfn.RRI(5,Table1[[#This Row],[2019 U.S. Sales ($000)]],Table1[[#This Row],[2024 U.S. Sales ($000)]])</f>
        <v>2.3088461065684296E-2</v>
      </c>
      <c r="N119" s="9">
        <f>(Table1[[#This Row],[2024 Market share (%)]]-Table1[[#This Row],[2019 Market share (%)]])*10000</f>
        <v>-29.458775269403901</v>
      </c>
      <c r="O119" s="6">
        <f>IF(Table1[[#This Row],[2024 AUV]]=0,"",_xlfn.RRI(5,Table1[[#This Row],[2019 AUV]],Table1[[#This Row],[2024 AUV]]))</f>
        <v>4.9928189123690458E-2</v>
      </c>
      <c r="P119" s="6">
        <f>_xlfn.RRI(5,Table1[[#This Row],[2019 U.S. Units]],Table1[[#This Row],[2024 U.S. Units]])</f>
        <v>-2.5563394083558899E-2</v>
      </c>
      <c r="Q119" s="5">
        <v>429405</v>
      </c>
      <c r="R119" s="6">
        <f>Table1[[#This Row],[2023 U.S. Sales ($000)]]/SUMIF($E:$E, E119, $Q:$Q)</f>
        <v>1.2977334596518392E-2</v>
      </c>
      <c r="S119" s="8">
        <f>(Table1[[#This Row],[2023 Market share (%)]]-Table1[[#This Row],[2022 Market share (%)]])*10000</f>
        <v>-10.059369955131258</v>
      </c>
      <c r="T119" s="10">
        <v>1.3866720814483912E-2</v>
      </c>
      <c r="U119" s="5">
        <v>364</v>
      </c>
      <c r="V119" s="5">
        <f t="shared" si="8"/>
        <v>1179.684065934066</v>
      </c>
      <c r="W119" s="10">
        <v>-1.0869565217391304E-2</v>
      </c>
      <c r="X119" s="10">
        <f t="shared" si="9"/>
        <v>3.7758342162427017E-2</v>
      </c>
      <c r="Y119" s="8">
        <f>(Table1[[#This Row],[2023 Market share (%)]]-Table1[[#This Row],[2019 Market share (%)]])*10000</f>
        <v>-22.947874355901103</v>
      </c>
      <c r="Z119" s="10">
        <f t="shared" si="10"/>
        <v>5.3776789441611461E-2</v>
      </c>
      <c r="AA119" s="10">
        <f t="shared" si="11"/>
        <v>-1.5200987001879662E-2</v>
      </c>
      <c r="AB119" s="5">
        <v>423532</v>
      </c>
      <c r="AC119" s="6">
        <f>Table1[[#This Row],[2022 U.S. Sales ($000)]]/SUMIF($E:$E, E119, $AB:$AB)</f>
        <v>1.3983271592031518E-2</v>
      </c>
      <c r="AD119" s="5">
        <v>368</v>
      </c>
      <c r="AE119" s="5">
        <f t="shared" si="12"/>
        <v>1150.9021739130435</v>
      </c>
      <c r="AF119" s="5">
        <v>410232</v>
      </c>
      <c r="AG119" s="6">
        <f>Table1[[#This Row],[2021 U.S. Sales ($000)]]/SUMIF($E:$E, E119, $AF:$AF)</f>
        <v>1.4966914826144862E-2</v>
      </c>
      <c r="AH119" s="5">
        <v>368</v>
      </c>
      <c r="AI119" s="12">
        <f t="shared" si="13"/>
        <v>1114.7608695652175</v>
      </c>
      <c r="AJ119" s="5">
        <v>387600</v>
      </c>
      <c r="AK119" s="6">
        <f>Table1[[#This Row],[2020 U.S. Sales ($000)]]/SUMIF($E:$E, E119, $AJ:$AJ)</f>
        <v>1.644349096331324E-2</v>
      </c>
      <c r="AL119" s="5">
        <v>389</v>
      </c>
      <c r="AM119" s="5">
        <f t="shared" si="14"/>
        <v>996.40102827763496</v>
      </c>
      <c r="AN119" s="5">
        <v>370239</v>
      </c>
      <c r="AO119" s="6">
        <f>Table1[[#This Row],[2019 U.S. Sales ($000)]]/SUMIF($E:$E, E119, $AN:$AN)</f>
        <v>1.5272122032108502E-2</v>
      </c>
      <c r="AP119" s="5">
        <v>387</v>
      </c>
      <c r="AQ119" s="5">
        <f t="shared" si="15"/>
        <v>956.68992248062011</v>
      </c>
    </row>
    <row r="120" spans="1:43" x14ac:dyDescent="0.25">
      <c r="A120" t="s">
        <v>185</v>
      </c>
      <c r="B120">
        <v>563231</v>
      </c>
      <c r="C120" t="s">
        <v>68</v>
      </c>
      <c r="D120" t="s">
        <v>69</v>
      </c>
      <c r="E120" t="s">
        <v>125</v>
      </c>
      <c r="F120" s="5">
        <v>276</v>
      </c>
      <c r="G120" s="5">
        <v>412000</v>
      </c>
      <c r="H120" s="6">
        <f>Table1[[#This Row],[2024 U.S. Sales ($000)]]/SUMIF($E:$E, E120, $G:$G)</f>
        <v>0.12280178837555887</v>
      </c>
      <c r="I120" s="5">
        <v>16</v>
      </c>
      <c r="J120" s="5">
        <f>Table1[[#This Row],[2024 U.S. Sales ($000)]]/Table1[[#This Row],[2024 U.S. Units]]</f>
        <v>25750</v>
      </c>
      <c r="K120" s="6">
        <f>Table1[[#This Row],[2024 U.S. Units]]/Table1[[#This Row],[2023 U.S. Units]]-1</f>
        <v>0.14285714285714279</v>
      </c>
      <c r="L120" s="8">
        <f>(Table1[[#This Row],[2024 Market share (%)]]-Table1[[#This Row],[2023 Market share (%)]])*10000</f>
        <v>859.39393494068929</v>
      </c>
      <c r="M120" s="6">
        <f>_xlfn.RRI(5,Table1[[#This Row],[2019 U.S. Sales ($000)]],Table1[[#This Row],[2024 U.S. Sales ($000)]])</f>
        <v>0.28151647009975345</v>
      </c>
      <c r="N120" s="9">
        <f>(Table1[[#This Row],[2024 Market share (%)]]-Table1[[#This Row],[2019 Market share (%)]])*10000</f>
        <v>779.02643832330443</v>
      </c>
      <c r="O120" s="6">
        <f>IF(Table1[[#This Row],[2024 AUV]]=0,"",_xlfn.RRI(5,Table1[[#This Row],[2019 AUV]],Table1[[#This Row],[2024 AUV]]))</f>
        <v>0.22938770667276387</v>
      </c>
      <c r="P120" s="6">
        <f>_xlfn.RRI(5,Table1[[#This Row],[2019 U.S. Units]],Table1[[#This Row],[2024 U.S. Units]])</f>
        <v>4.2402216277297899E-2</v>
      </c>
      <c r="Q120" s="5">
        <v>130600</v>
      </c>
      <c r="R120" s="6">
        <f>Table1[[#This Row],[2023 U.S. Sales ($000)]]/SUMIF($E:$E, E120, $Q:$Q)</f>
        <v>3.6862394881489943E-2</v>
      </c>
      <c r="S120" s="8">
        <f>(Table1[[#This Row],[2023 Market share (%)]]-Table1[[#This Row],[2022 Market share (%)]])*10000</f>
        <v>0.47894224609983105</v>
      </c>
      <c r="T120" s="10">
        <v>0.12683347713546161</v>
      </c>
      <c r="U120" s="5">
        <v>14</v>
      </c>
      <c r="V120" s="5">
        <f t="shared" si="8"/>
        <v>9328.5714285714294</v>
      </c>
      <c r="W120" s="10">
        <v>7.6923076923076927E-2</v>
      </c>
      <c r="X120" s="10">
        <f t="shared" si="9"/>
        <v>2.3096809621102832E-2</v>
      </c>
      <c r="Y120" s="8">
        <f>(Table1[[#This Row],[2023 Market share (%)]]-Table1[[#This Row],[2019 Market share (%)]])*10000</f>
        <v>-80.367496617384788</v>
      </c>
      <c r="Z120" s="10">
        <f t="shared" si="10"/>
        <v>4.316411497992112E-3</v>
      </c>
      <c r="AA120" s="10">
        <f t="shared" si="11"/>
        <v>1.869968259813537E-2</v>
      </c>
      <c r="AB120" s="5">
        <v>115900</v>
      </c>
      <c r="AC120" s="6">
        <f>Table1[[#This Row],[2022 U.S. Sales ($000)]]/SUMIF($E:$E, E120, $AB:$AB)</f>
        <v>3.681450065687996E-2</v>
      </c>
      <c r="AD120" s="5">
        <v>13</v>
      </c>
      <c r="AE120" s="5">
        <f t="shared" si="12"/>
        <v>8915.3846153846152</v>
      </c>
      <c r="AF120" s="5">
        <v>103900</v>
      </c>
      <c r="AG120" s="6">
        <f>Table1[[#This Row],[2021 U.S. Sales ($000)]]/SUMIF($E:$E, E120, $AF:$AF)</f>
        <v>3.9069609333989133E-2</v>
      </c>
      <c r="AH120" s="5">
        <v>13</v>
      </c>
      <c r="AI120" s="12">
        <f t="shared" si="13"/>
        <v>7992.3076923076924</v>
      </c>
      <c r="AJ120" s="5">
        <v>78600</v>
      </c>
      <c r="AK120" s="6">
        <f>Table1[[#This Row],[2020 U.S. Sales ($000)]]/SUMIF($E:$E, E120, $AJ:$AJ)</f>
        <v>4.1477813327676305E-2</v>
      </c>
      <c r="AL120" s="5">
        <v>13</v>
      </c>
      <c r="AM120" s="5">
        <f t="shared" si="14"/>
        <v>6046.1538461538457</v>
      </c>
      <c r="AN120" s="5">
        <v>119200</v>
      </c>
      <c r="AO120" s="6">
        <f>Table1[[#This Row],[2019 U.S. Sales ($000)]]/SUMIF($E:$E, E120, $AN:$AN)</f>
        <v>4.4899144543228423E-2</v>
      </c>
      <c r="AP120" s="5">
        <v>13</v>
      </c>
      <c r="AQ120" s="5">
        <f t="shared" si="15"/>
        <v>9169.2307692307695</v>
      </c>
    </row>
    <row r="121" spans="1:43" x14ac:dyDescent="0.25">
      <c r="A121" t="s">
        <v>186</v>
      </c>
      <c r="B121">
        <v>844</v>
      </c>
      <c r="C121" t="s">
        <v>44</v>
      </c>
      <c r="D121" t="s">
        <v>45</v>
      </c>
      <c r="E121" t="s">
        <v>61</v>
      </c>
      <c r="F121" s="5">
        <v>127</v>
      </c>
      <c r="G121" s="5">
        <v>412000</v>
      </c>
      <c r="H121" s="6">
        <f>Table1[[#This Row],[2024 U.S. Sales ($000)]]/SUMIF($E:$E, E121, $G:$G)</f>
        <v>1.4018373596461381E-2</v>
      </c>
      <c r="I121" s="5">
        <v>472</v>
      </c>
      <c r="J121" s="5">
        <f>Table1[[#This Row],[2024 U.S. Sales ($000)]]/Table1[[#This Row],[2024 U.S. Units]]</f>
        <v>872.88135593220341</v>
      </c>
      <c r="K121" s="6">
        <f>Table1[[#This Row],[2024 U.S. Units]]/Table1[[#This Row],[2023 U.S. Units]]-1</f>
        <v>-8.4033613445377853E-3</v>
      </c>
      <c r="L121" s="8">
        <f>(Table1[[#This Row],[2024 Market share (%)]]-Table1[[#This Row],[2023 Market share (%)]])*10000</f>
        <v>18.763397576704676</v>
      </c>
      <c r="M121" s="6">
        <f>_xlfn.RRI(5,Table1[[#This Row],[2019 U.S. Sales ($000)]],Table1[[#This Row],[2024 U.S. Sales ($000)]])</f>
        <v>1.4122881562467438E-2</v>
      </c>
      <c r="N121" s="9">
        <f>(Table1[[#This Row],[2024 Market share (%)]]-Table1[[#This Row],[2019 Market share (%)]])*10000</f>
        <v>-8.6422955487655901</v>
      </c>
      <c r="O121" s="6">
        <f>IF(Table1[[#This Row],[2024 AUV]]=0,"",_xlfn.RRI(5,Table1[[#This Row],[2019 AUV]],Table1[[#This Row],[2024 AUV]]))</f>
        <v>4.063167084130459E-2</v>
      </c>
      <c r="P121" s="6">
        <f>_xlfn.RRI(5,Table1[[#This Row],[2019 U.S. Units]],Table1[[#This Row],[2024 U.S. Units]])</f>
        <v>-2.5473748321926171E-2</v>
      </c>
      <c r="Q121" s="5">
        <v>370900</v>
      </c>
      <c r="R121" s="6">
        <f>Table1[[#This Row],[2023 U.S. Sales ($000)]]/SUMIF($E:$E, E121, $Q:$Q)</f>
        <v>1.2142033838790913E-2</v>
      </c>
      <c r="S121" s="8">
        <f>(Table1[[#This Row],[2023 Market share (%)]]-Table1[[#This Row],[2022 Market share (%)]])*10000</f>
        <v>4.3528641319731491</v>
      </c>
      <c r="T121" s="10">
        <v>6.7338129496402874E-2</v>
      </c>
      <c r="U121" s="5">
        <v>476</v>
      </c>
      <c r="V121" s="5">
        <f t="shared" si="8"/>
        <v>779.20168067226894</v>
      </c>
      <c r="W121" s="10">
        <v>2.1052631578947368E-3</v>
      </c>
      <c r="X121" s="10">
        <f t="shared" si="9"/>
        <v>-8.7045072036406879E-3</v>
      </c>
      <c r="Y121" s="8">
        <f>(Table1[[#This Row],[2023 Market share (%)]]-Table1[[#This Row],[2019 Market share (%)]])*10000</f>
        <v>-27.405693125470265</v>
      </c>
      <c r="Z121" s="10">
        <f t="shared" si="10"/>
        <v>2.1633122463001531E-2</v>
      </c>
      <c r="AA121" s="10">
        <f t="shared" si="11"/>
        <v>-2.9695229138130275E-2</v>
      </c>
      <c r="AB121" s="5">
        <v>347500</v>
      </c>
      <c r="AC121" s="6">
        <f>Table1[[#This Row],[2022 U.S. Sales ($000)]]/SUMIF($E:$E, E121, $AB:$AB)</f>
        <v>1.1706747425593599E-2</v>
      </c>
      <c r="AD121" s="5">
        <v>475</v>
      </c>
      <c r="AE121" s="5">
        <f t="shared" si="12"/>
        <v>731.57894736842104</v>
      </c>
      <c r="AF121" s="5">
        <v>314700</v>
      </c>
      <c r="AG121" s="6">
        <f>Table1[[#This Row],[2021 U.S. Sales ($000)]]/SUMIF($E:$E, E121, $AF:$AF)</f>
        <v>1.0826129674122144E-2</v>
      </c>
      <c r="AH121" s="5">
        <v>477</v>
      </c>
      <c r="AI121" s="12">
        <f t="shared" si="13"/>
        <v>659.74842767295593</v>
      </c>
      <c r="AJ121" s="5">
        <v>177300</v>
      </c>
      <c r="AK121" s="6">
        <f>Table1[[#This Row],[2020 U.S. Sales ($000)]]/SUMIF($E:$E, E121, $AJ:$AJ)</f>
        <v>6.5504315433906604E-3</v>
      </c>
      <c r="AL121" s="5">
        <v>491</v>
      </c>
      <c r="AM121" s="5">
        <f t="shared" si="14"/>
        <v>361.09979633401224</v>
      </c>
      <c r="AN121" s="5">
        <v>384100</v>
      </c>
      <c r="AO121" s="6">
        <f>Table1[[#This Row],[2019 U.S. Sales ($000)]]/SUMIF($E:$E, E121, $AN:$AN)</f>
        <v>1.488260315133794E-2</v>
      </c>
      <c r="AP121" s="5">
        <v>537</v>
      </c>
      <c r="AQ121" s="5">
        <f t="shared" si="15"/>
        <v>715.27001862197392</v>
      </c>
    </row>
    <row r="122" spans="1:43" x14ac:dyDescent="0.25">
      <c r="A122" t="s">
        <v>187</v>
      </c>
      <c r="B122">
        <v>2669</v>
      </c>
      <c r="C122" t="s">
        <v>68</v>
      </c>
      <c r="D122" t="s">
        <v>69</v>
      </c>
      <c r="E122" t="s">
        <v>70</v>
      </c>
      <c r="F122" s="5">
        <v>125</v>
      </c>
      <c r="G122" s="5">
        <v>411000</v>
      </c>
      <c r="H122" s="6">
        <f>Table1[[#This Row],[2024 U.S. Sales ($000)]]/SUMIF($E:$E, E122, $G:$G)</f>
        <v>2.5317235431809783E-2</v>
      </c>
      <c r="I122" s="5">
        <v>55</v>
      </c>
      <c r="J122" s="5">
        <f>Table1[[#This Row],[2024 U.S. Sales ($000)]]/Table1[[#This Row],[2024 U.S. Units]]</f>
        <v>7472.727272727273</v>
      </c>
      <c r="K122" s="6">
        <f>Table1[[#This Row],[2024 U.S. Units]]/Table1[[#This Row],[2023 U.S. Units]]-1</f>
        <v>1.8518518518518601E-2</v>
      </c>
      <c r="L122" s="8">
        <f>(Table1[[#This Row],[2024 Market share (%)]]-Table1[[#This Row],[2023 Market share (%)]])*10000</f>
        <v>14.590446593612388</v>
      </c>
      <c r="M122" s="6">
        <f>_xlfn.RRI(5,Table1[[#This Row],[2019 U.S. Sales ($000)]],Table1[[#This Row],[2024 U.S. Sales ($000)]])</f>
        <v>3.354123408209353E-2</v>
      </c>
      <c r="N122" s="9">
        <f>(Table1[[#This Row],[2024 Market share (%)]]-Table1[[#This Row],[2019 Market share (%)]])*10000</f>
        <v>-24.762556595588659</v>
      </c>
      <c r="O122" s="6">
        <f>IF(Table1[[#This Row],[2024 AUV]]=0,"",_xlfn.RRI(5,Table1[[#This Row],[2019 AUV]],Table1[[#This Row],[2024 AUV]]))</f>
        <v>1.8050461707934673E-2</v>
      </c>
      <c r="P122" s="6">
        <f>_xlfn.RRI(5,Table1[[#This Row],[2019 U.S. Units]],Table1[[#This Row],[2024 U.S. Units]])</f>
        <v>1.5216114482351717E-2</v>
      </c>
      <c r="Q122" s="5">
        <v>380900</v>
      </c>
      <c r="R122" s="6">
        <f>Table1[[#This Row],[2023 U.S. Sales ($000)]]/SUMIF($E:$E, E122, $Q:$Q)</f>
        <v>2.3858190772448544E-2</v>
      </c>
      <c r="S122" s="8">
        <f>(Table1[[#This Row],[2023 Market share (%)]]-Table1[[#This Row],[2022 Market share (%)]])*10000</f>
        <v>-0.62772178900726705</v>
      </c>
      <c r="T122" s="10">
        <v>8.8285714285714287E-2</v>
      </c>
      <c r="U122" s="5">
        <v>54</v>
      </c>
      <c r="V122" s="5">
        <f t="shared" si="8"/>
        <v>7053.7037037037035</v>
      </c>
      <c r="W122" s="10">
        <v>1.8867924528301886E-2</v>
      </c>
      <c r="X122" s="10">
        <f t="shared" si="9"/>
        <v>2.2473468397838037E-2</v>
      </c>
      <c r="Y122" s="8">
        <f>(Table1[[#This Row],[2023 Market share (%)]]-Table1[[#This Row],[2019 Market share (%)]])*10000</f>
        <v>-39.353003189201047</v>
      </c>
      <c r="Z122" s="10">
        <f t="shared" si="10"/>
        <v>7.9666233661170871E-3</v>
      </c>
      <c r="AA122" s="10">
        <f t="shared" si="11"/>
        <v>1.4392187891376196E-2</v>
      </c>
      <c r="AB122" s="5">
        <v>350000</v>
      </c>
      <c r="AC122" s="6">
        <f>Table1[[#This Row],[2022 U.S. Sales ($000)]]/SUMIF($E:$E, E122, $AB:$AB)</f>
        <v>2.3920962951349271E-2</v>
      </c>
      <c r="AD122" s="5">
        <v>53</v>
      </c>
      <c r="AE122" s="5">
        <f t="shared" si="12"/>
        <v>6603.7735849056608</v>
      </c>
      <c r="AF122" s="5">
        <v>304400</v>
      </c>
      <c r="AG122" s="6">
        <f>Table1[[#This Row],[2021 U.S. Sales ($000)]]/SUMIF($E:$E, E122, $AF:$AF)</f>
        <v>2.3419969524803123E-2</v>
      </c>
      <c r="AH122" s="5">
        <v>52</v>
      </c>
      <c r="AI122" s="12">
        <f t="shared" si="13"/>
        <v>5853.8461538461543</v>
      </c>
      <c r="AJ122" s="5">
        <v>205700</v>
      </c>
      <c r="AK122" s="6">
        <f>Table1[[#This Row],[2020 U.S. Sales ($000)]]/SUMIF($E:$E, E122, $AJ:$AJ)</f>
        <v>2.1902779768348025E-2</v>
      </c>
      <c r="AL122" s="5">
        <v>52</v>
      </c>
      <c r="AM122" s="5">
        <f t="shared" si="14"/>
        <v>3955.7692307692309</v>
      </c>
      <c r="AN122" s="5">
        <v>348500</v>
      </c>
      <c r="AO122" s="6">
        <f>Table1[[#This Row],[2019 U.S. Sales ($000)]]/SUMIF($E:$E, E122, $AN:$AN)</f>
        <v>2.7793491091368649E-2</v>
      </c>
      <c r="AP122" s="5">
        <v>51</v>
      </c>
      <c r="AQ122" s="5">
        <f t="shared" si="15"/>
        <v>6833.333333333333</v>
      </c>
    </row>
    <row r="123" spans="1:43" x14ac:dyDescent="0.25">
      <c r="A123" t="s">
        <v>188</v>
      </c>
      <c r="B123">
        <v>2547</v>
      </c>
      <c r="C123" t="s">
        <v>68</v>
      </c>
      <c r="D123" t="s">
        <v>69</v>
      </c>
      <c r="E123" t="s">
        <v>79</v>
      </c>
      <c r="F123" s="5">
        <v>76</v>
      </c>
      <c r="G123" s="5">
        <v>411000</v>
      </c>
      <c r="H123" s="6">
        <f>Table1[[#This Row],[2024 U.S. Sales ($000)]]/SUMIF($E:$E, E123, $G:$G)</f>
        <v>1.97586654487765E-2</v>
      </c>
      <c r="I123" s="5">
        <v>135</v>
      </c>
      <c r="J123" s="5">
        <f>Table1[[#This Row],[2024 U.S. Sales ($000)]]/Table1[[#This Row],[2024 U.S. Units]]</f>
        <v>3044.4444444444443</v>
      </c>
      <c r="K123" s="6">
        <f>Table1[[#This Row],[2024 U.S. Units]]/Table1[[#This Row],[2023 U.S. Units]]-1</f>
        <v>-0.4981412639405205</v>
      </c>
      <c r="L123" s="8">
        <f>(Table1[[#This Row],[2024 Market share (%)]]-Table1[[#This Row],[2023 Market share (%)]])*10000</f>
        <v>-104.12104091564075</v>
      </c>
      <c r="M123" s="6">
        <f>_xlfn.RRI(5,Table1[[#This Row],[2019 U.S. Sales ($000)]],Table1[[#This Row],[2024 U.S. Sales ($000)]])</f>
        <v>-0.17762826386841513</v>
      </c>
      <c r="N123" s="9">
        <f>(Table1[[#This Row],[2024 Market share (%)]]-Table1[[#This Row],[2019 Market share (%)]])*10000</f>
        <v>-280.89406173660655</v>
      </c>
      <c r="O123" s="6">
        <f>IF(Table1[[#This Row],[2024 AUV]]=0,"",_xlfn.RRI(5,Table1[[#This Row],[2019 AUV]],Table1[[#This Row],[2024 AUV]]))</f>
        <v>1.3602485744512283E-2</v>
      </c>
      <c r="P123" s="6">
        <f>_xlfn.RRI(5,Table1[[#This Row],[2019 U.S. Units]],Table1[[#This Row],[2024 U.S. Units]])</f>
        <v>-0.1886644442001979</v>
      </c>
      <c r="Q123" s="5">
        <v>727800</v>
      </c>
      <c r="R123" s="6">
        <f>Table1[[#This Row],[2023 U.S. Sales ($000)]]/SUMIF($E:$E, E123, $Q:$Q)</f>
        <v>3.0170769540340574E-2</v>
      </c>
      <c r="S123" s="8">
        <f>(Table1[[#This Row],[2023 Market share (%)]]-Table1[[#This Row],[2022 Market share (%)]])*10000</f>
        <v>-62.584926099792277</v>
      </c>
      <c r="T123" s="10">
        <v>-0.15046107155363606</v>
      </c>
      <c r="U123" s="5">
        <v>269</v>
      </c>
      <c r="V123" s="5">
        <f t="shared" si="8"/>
        <v>2705.5762081784387</v>
      </c>
      <c r="W123" s="10">
        <v>-7.8767123287671229E-2</v>
      </c>
      <c r="X123" s="10">
        <f t="shared" si="9"/>
        <v>-9.6604803444553244E-2</v>
      </c>
      <c r="Y123" s="8">
        <f>(Table1[[#This Row],[2023 Market share (%)]]-Table1[[#This Row],[2019 Market share (%)]])*10000</f>
        <v>-176.77302082096583</v>
      </c>
      <c r="Z123" s="10">
        <f t="shared" si="10"/>
        <v>-1.253317687154254E-2</v>
      </c>
      <c r="AA123" s="10">
        <f t="shared" si="11"/>
        <v>-8.5138684767816275E-2</v>
      </c>
      <c r="AB123" s="5">
        <v>856700</v>
      </c>
      <c r="AC123" s="6">
        <f>Table1[[#This Row],[2022 U.S. Sales ($000)]]/SUMIF($E:$E, E123, $AB:$AB)</f>
        <v>3.6429262150319802E-2</v>
      </c>
      <c r="AD123" s="5">
        <v>292</v>
      </c>
      <c r="AE123" s="5">
        <f t="shared" si="12"/>
        <v>2933.9041095890411</v>
      </c>
      <c r="AF123" s="5">
        <v>874500</v>
      </c>
      <c r="AG123" s="6">
        <f>Table1[[#This Row],[2021 U.S. Sales ($000)]]/SUMIF($E:$E, E123, $AF:$AF)</f>
        <v>4.0262236301343846E-2</v>
      </c>
      <c r="AH123" s="5">
        <v>309</v>
      </c>
      <c r="AI123" s="12">
        <f t="shared" si="13"/>
        <v>2830.0970873786409</v>
      </c>
      <c r="AJ123" s="5">
        <v>661000</v>
      </c>
      <c r="AK123" s="6">
        <f>Table1[[#This Row],[2020 U.S. Sales ($000)]]/SUMIF($E:$E, E123, $AJ:$AJ)</f>
        <v>4.053648722331011E-2</v>
      </c>
      <c r="AL123" s="5">
        <v>328</v>
      </c>
      <c r="AM123" s="5">
        <f t="shared" si="14"/>
        <v>2015.2439024390244</v>
      </c>
      <c r="AN123" s="5">
        <v>1092700</v>
      </c>
      <c r="AO123" s="6">
        <f>Table1[[#This Row],[2019 U.S. Sales ($000)]]/SUMIF($E:$E, E123, $AN:$AN)</f>
        <v>4.7848071622437156E-2</v>
      </c>
      <c r="AP123" s="5">
        <v>384</v>
      </c>
      <c r="AQ123" s="5">
        <f t="shared" si="15"/>
        <v>2845.5729166666665</v>
      </c>
    </row>
    <row r="124" spans="1:43" x14ac:dyDescent="0.25">
      <c r="A124" t="s">
        <v>189</v>
      </c>
      <c r="B124">
        <v>322</v>
      </c>
      <c r="C124" t="s">
        <v>68</v>
      </c>
      <c r="D124" t="s">
        <v>69</v>
      </c>
      <c r="E124" t="s">
        <v>73</v>
      </c>
      <c r="F124" s="5">
        <v>112</v>
      </c>
      <c r="G124" s="5">
        <v>406000</v>
      </c>
      <c r="H124" s="6">
        <f>Table1[[#This Row],[2024 U.S. Sales ($000)]]/SUMIF($E:$E, E124, $G:$G)</f>
        <v>5.0900378806636858E-2</v>
      </c>
      <c r="I124" s="5">
        <v>131</v>
      </c>
      <c r="J124" s="5">
        <f>Table1[[#This Row],[2024 U.S. Sales ($000)]]/Table1[[#This Row],[2024 U.S. Units]]</f>
        <v>3099.2366412213742</v>
      </c>
      <c r="K124" s="6">
        <f>Table1[[#This Row],[2024 U.S. Units]]/Table1[[#This Row],[2023 U.S. Units]]-1</f>
        <v>-0.11486486486486491</v>
      </c>
      <c r="L124" s="8">
        <f>(Table1[[#This Row],[2024 Market share (%)]]-Table1[[#This Row],[2023 Market share (%)]])*10000</f>
        <v>37.619960194514647</v>
      </c>
      <c r="M124" s="6">
        <f>_xlfn.RRI(5,Table1[[#This Row],[2019 U.S. Sales ($000)]],Table1[[#This Row],[2024 U.S. Sales ($000)]])</f>
        <v>-9.0053837353800126E-2</v>
      </c>
      <c r="N124" s="9">
        <f>(Table1[[#This Row],[2024 Market share (%)]]-Table1[[#This Row],[2019 Market share (%)]])*10000</f>
        <v>-204.49225042996588</v>
      </c>
      <c r="O124" s="6">
        <f>IF(Table1[[#This Row],[2024 AUV]]=0,"",_xlfn.RRI(5,Table1[[#This Row],[2019 AUV]],Table1[[#This Row],[2024 AUV]]))</f>
        <v>-1.1687071024202078E-2</v>
      </c>
      <c r="P124" s="6">
        <f>_xlfn.RRI(5,Table1[[#This Row],[2019 U.S. Units]],Table1[[#This Row],[2024 U.S. Units]])</f>
        <v>-7.9293474801357289E-2</v>
      </c>
      <c r="Q124" s="5">
        <v>453000</v>
      </c>
      <c r="R124" s="6">
        <f>Table1[[#This Row],[2023 U.S. Sales ($000)]]/SUMIF($E:$E, E124, $Q:$Q)</f>
        <v>4.7138382787185393E-2</v>
      </c>
      <c r="S124" s="8">
        <f>(Table1[[#This Row],[2023 Market share (%)]]-Table1[[#This Row],[2022 Market share (%)]])*10000</f>
        <v>-79.364506054548301</v>
      </c>
      <c r="T124" s="10">
        <v>-0.10438908659549229</v>
      </c>
      <c r="U124" s="5">
        <v>148</v>
      </c>
      <c r="V124" s="5">
        <f t="shared" si="8"/>
        <v>3060.8108108108108</v>
      </c>
      <c r="W124" s="10">
        <v>-8.0745341614906832E-2</v>
      </c>
      <c r="X124" s="10">
        <f t="shared" si="9"/>
        <v>-8.6596514672890312E-2</v>
      </c>
      <c r="Y124" s="8">
        <f>(Table1[[#This Row],[2023 Market share (%)]]-Table1[[#This Row],[2019 Market share (%)]])*10000</f>
        <v>-242.11221062448053</v>
      </c>
      <c r="Z124" s="10">
        <f t="shared" si="10"/>
        <v>-1.7656144170289712E-2</v>
      </c>
      <c r="AA124" s="10">
        <f t="shared" si="11"/>
        <v>-7.0179469330901467E-2</v>
      </c>
      <c r="AB124" s="5">
        <v>505800</v>
      </c>
      <c r="AC124" s="6">
        <f>Table1[[#This Row],[2022 U.S. Sales ($000)]]/SUMIF($E:$E, E124, $AB:$AB)</f>
        <v>5.5074833392640223E-2</v>
      </c>
      <c r="AD124" s="5">
        <v>161</v>
      </c>
      <c r="AE124" s="5">
        <f t="shared" si="12"/>
        <v>3141.6149068322979</v>
      </c>
      <c r="AF124" s="5">
        <v>488300</v>
      </c>
      <c r="AG124" s="6">
        <f>Table1[[#This Row],[2021 U.S. Sales ($000)]]/SUMIF($E:$E, E124, $AF:$AF)</f>
        <v>5.8315326003332918E-2</v>
      </c>
      <c r="AH124" s="5">
        <v>168</v>
      </c>
      <c r="AI124" s="12">
        <f t="shared" si="13"/>
        <v>2906.5476190476193</v>
      </c>
      <c r="AJ124" s="5">
        <v>412500</v>
      </c>
      <c r="AK124" s="6">
        <f>Table1[[#This Row],[2020 U.S. Sales ($000)]]/SUMIF($E:$E, E124, $AJ:$AJ)</f>
        <v>5.9792322781715694E-2</v>
      </c>
      <c r="AL124" s="5">
        <v>167</v>
      </c>
      <c r="AM124" s="5">
        <f t="shared" si="14"/>
        <v>2470.0598802395211</v>
      </c>
      <c r="AN124" s="5">
        <v>650800</v>
      </c>
      <c r="AO124" s="6">
        <f>Table1[[#This Row],[2019 U.S. Sales ($000)]]/SUMIF($E:$E, E124, $AN:$AN)</f>
        <v>7.1349603849633444E-2</v>
      </c>
      <c r="AP124" s="5">
        <v>198</v>
      </c>
      <c r="AQ124" s="5">
        <f t="shared" si="15"/>
        <v>3286.8686868686868</v>
      </c>
    </row>
    <row r="125" spans="1:43" x14ac:dyDescent="0.25">
      <c r="A125" t="s">
        <v>190</v>
      </c>
      <c r="B125">
        <v>5123</v>
      </c>
      <c r="C125" t="s">
        <v>68</v>
      </c>
      <c r="D125" t="s">
        <v>69</v>
      </c>
      <c r="E125" t="s">
        <v>79</v>
      </c>
      <c r="F125" s="5">
        <v>121</v>
      </c>
      <c r="G125" s="5">
        <v>405000</v>
      </c>
      <c r="H125" s="6">
        <f>Table1[[#This Row],[2024 U.S. Sales ($000)]]/SUMIF($E:$E, E125, $G:$G)</f>
        <v>1.9470217777991444E-2</v>
      </c>
      <c r="I125" s="5">
        <v>51</v>
      </c>
      <c r="J125" s="5">
        <f>Table1[[#This Row],[2024 U.S. Sales ($000)]]/Table1[[#This Row],[2024 U.S. Units]]</f>
        <v>7941.1764705882351</v>
      </c>
      <c r="K125" s="6">
        <f>Table1[[#This Row],[2024 U.S. Units]]/Table1[[#This Row],[2023 U.S. Units]]-1</f>
        <v>6.25E-2</v>
      </c>
      <c r="L125" s="8">
        <f>(Table1[[#This Row],[2024 Market share (%)]]-Table1[[#This Row],[2023 Market share (%)]])*10000</f>
        <v>29.896318266591575</v>
      </c>
      <c r="M125" s="6">
        <f>_xlfn.RRI(5,Table1[[#This Row],[2019 U.S. Sales ($000)]],Table1[[#This Row],[2024 U.S. Sales ($000)]])</f>
        <v>0.13677712302684064</v>
      </c>
      <c r="N125" s="9">
        <f>(Table1[[#This Row],[2024 Market share (%)]]-Table1[[#This Row],[2019 Market share (%)]])*10000</f>
        <v>101.28174084255184</v>
      </c>
      <c r="O125" s="6">
        <f>IF(Table1[[#This Row],[2024 AUV]]=0,"",_xlfn.RRI(5,Table1[[#This Row],[2019 AUV]],Table1[[#This Row],[2024 AUV]]))</f>
        <v>6.0282979974359163E-2</v>
      </c>
      <c r="P125" s="6">
        <f>_xlfn.RRI(5,Table1[[#This Row],[2019 U.S. Units]],Table1[[#This Row],[2024 U.S. Units]])</f>
        <v>7.2145025900850923E-2</v>
      </c>
      <c r="Q125" s="5">
        <v>397556</v>
      </c>
      <c r="R125" s="6">
        <f>Table1[[#This Row],[2023 U.S. Sales ($000)]]/SUMIF($E:$E, E125, $Q:$Q)</f>
        <v>1.6480585951332286E-2</v>
      </c>
      <c r="S125" s="8">
        <f>(Table1[[#This Row],[2023 Market share (%)]]-Table1[[#This Row],[2022 Market share (%)]])*10000</f>
        <v>12.74696410791306</v>
      </c>
      <c r="T125" s="10">
        <v>0.11175243432496071</v>
      </c>
      <c r="U125" s="5">
        <v>48</v>
      </c>
      <c r="V125" s="5">
        <f t="shared" si="8"/>
        <v>8282.4166666666661</v>
      </c>
      <c r="W125" s="10">
        <v>9.0909090909090912E-2</v>
      </c>
      <c r="X125" s="10">
        <f t="shared" si="9"/>
        <v>0.16836887406041545</v>
      </c>
      <c r="Y125" s="8">
        <f>(Table1[[#This Row],[2023 Market share (%)]]-Table1[[#This Row],[2019 Market share (%)]])*10000</f>
        <v>71.385422575960277</v>
      </c>
      <c r="Z125" s="10">
        <f t="shared" si="10"/>
        <v>8.7289751424271644E-2</v>
      </c>
      <c r="AA125" s="10">
        <f t="shared" si="11"/>
        <v>7.4569931823541991E-2</v>
      </c>
      <c r="AB125" s="5">
        <v>357594</v>
      </c>
      <c r="AC125" s="6">
        <f>Table1[[#This Row],[2022 U.S. Sales ($000)]]/SUMIF($E:$E, E125, $AB:$AB)</f>
        <v>1.520588954054098E-2</v>
      </c>
      <c r="AD125" s="5">
        <v>44</v>
      </c>
      <c r="AE125" s="5">
        <f t="shared" si="12"/>
        <v>8127.136363636364</v>
      </c>
      <c r="AF125" s="5">
        <v>294161</v>
      </c>
      <c r="AG125" s="6">
        <f>Table1[[#This Row],[2021 U.S. Sales ($000)]]/SUMIF($E:$E, E125, $AF:$AF)</f>
        <v>1.3543258653675937E-2</v>
      </c>
      <c r="AH125" s="5">
        <v>40</v>
      </c>
      <c r="AI125" s="12">
        <f t="shared" si="13"/>
        <v>7354.0249999999996</v>
      </c>
      <c r="AJ125" s="5">
        <v>187356</v>
      </c>
      <c r="AK125" s="6">
        <f>Table1[[#This Row],[2020 U.S. Sales ($000)]]/SUMIF($E:$E, E125, $AJ:$AJ)</f>
        <v>1.1489794402739015E-2</v>
      </c>
      <c r="AL125" s="5">
        <v>39</v>
      </c>
      <c r="AM125" s="5">
        <f t="shared" si="14"/>
        <v>4804</v>
      </c>
      <c r="AN125" s="5">
        <v>213343</v>
      </c>
      <c r="AO125" s="6">
        <f>Table1[[#This Row],[2019 U.S. Sales ($000)]]/SUMIF($E:$E, E125, $AN:$AN)</f>
        <v>9.3420436937362589E-3</v>
      </c>
      <c r="AP125" s="5">
        <v>36</v>
      </c>
      <c r="AQ125" s="5">
        <f t="shared" si="15"/>
        <v>5926.1944444444443</v>
      </c>
    </row>
    <row r="126" spans="1:43" x14ac:dyDescent="0.25">
      <c r="A126" t="s">
        <v>191</v>
      </c>
      <c r="B126">
        <v>562788</v>
      </c>
      <c r="C126" t="s">
        <v>44</v>
      </c>
      <c r="D126" t="s">
        <v>45</v>
      </c>
      <c r="E126" t="s">
        <v>59</v>
      </c>
      <c r="F126" s="5">
        <v>126</v>
      </c>
      <c r="G126" s="5">
        <v>402000</v>
      </c>
      <c r="H126" s="6">
        <f>Table1[[#This Row],[2024 U.S. Sales ($000)]]/SUMIF($E:$E, E126, $G:$G)</f>
        <v>1.1511038570569539E-2</v>
      </c>
      <c r="I126" s="5">
        <v>439</v>
      </c>
      <c r="J126" s="5">
        <f>Table1[[#This Row],[2024 U.S. Sales ($000)]]/Table1[[#This Row],[2024 U.S. Units]]</f>
        <v>915.71753986332578</v>
      </c>
      <c r="K126" s="6">
        <f>Table1[[#This Row],[2024 U.S. Units]]/Table1[[#This Row],[2023 U.S. Units]]-1</f>
        <v>0</v>
      </c>
      <c r="L126" s="8">
        <f>(Table1[[#This Row],[2024 Market share (%)]]-Table1[[#This Row],[2023 Market share (%)]])*10000</f>
        <v>15.615885543507172</v>
      </c>
      <c r="M126" s="6">
        <f>_xlfn.RRI(5,Table1[[#This Row],[2019 U.S. Sales ($000)]],Table1[[#This Row],[2024 U.S. Sales ($000)]])</f>
        <v>6.9493342368711186E-2</v>
      </c>
      <c r="N126" s="9">
        <f>(Table1[[#This Row],[2024 Market share (%)]]-Table1[[#This Row],[2019 Market share (%)]])*10000</f>
        <v>27.156681743474401</v>
      </c>
      <c r="O126" s="6">
        <f>IF(Table1[[#This Row],[2024 AUV]]=0,"",_xlfn.RRI(5,Table1[[#This Row],[2019 AUV]],Table1[[#This Row],[2024 AUV]]))</f>
        <v>5.7024976981737696E-2</v>
      </c>
      <c r="P126" s="6">
        <f>_xlfn.RRI(5,Table1[[#This Row],[2019 U.S. Units]],Table1[[#This Row],[2024 U.S. Units]])</f>
        <v>1.1795715010042729E-2</v>
      </c>
      <c r="Q126" s="5">
        <v>375800</v>
      </c>
      <c r="R126" s="6">
        <f>Table1[[#This Row],[2023 U.S. Sales ($000)]]/SUMIF($E:$E, E126, $Q:$Q)</f>
        <v>9.9494500162188217E-3</v>
      </c>
      <c r="S126" s="8">
        <f>(Table1[[#This Row],[2023 Market share (%)]]-Table1[[#This Row],[2022 Market share (%)]])*10000</f>
        <v>1.6216746360386316</v>
      </c>
      <c r="T126" s="10">
        <v>7.3101085094231869E-2</v>
      </c>
      <c r="U126" s="5">
        <v>439</v>
      </c>
      <c r="V126" s="5">
        <f t="shared" si="8"/>
        <v>856.03644646924829</v>
      </c>
      <c r="W126" s="10">
        <v>-2.2727272727272726E-3</v>
      </c>
      <c r="X126" s="10">
        <f t="shared" si="9"/>
        <v>6.9437201561185491E-2</v>
      </c>
      <c r="Y126" s="8">
        <f>(Table1[[#This Row],[2023 Market share (%)]]-Table1[[#This Row],[2019 Market share (%)]])*10000</f>
        <v>11.540796199967229</v>
      </c>
      <c r="Z126" s="10">
        <f t="shared" si="10"/>
        <v>5.3875340586491127E-2</v>
      </c>
      <c r="AA126" s="10">
        <f t="shared" si="11"/>
        <v>1.4766320432200164E-2</v>
      </c>
      <c r="AB126" s="5">
        <v>350200</v>
      </c>
      <c r="AC126" s="6">
        <f>Table1[[#This Row],[2022 U.S. Sales ($000)]]/SUMIF($E:$E, E126, $AB:$AB)</f>
        <v>9.7872825526149586E-3</v>
      </c>
      <c r="AD126" s="5">
        <v>440</v>
      </c>
      <c r="AE126" s="5">
        <f t="shared" si="12"/>
        <v>795.90909090909088</v>
      </c>
      <c r="AF126" s="5">
        <v>299300</v>
      </c>
      <c r="AG126" s="6">
        <f>Table1[[#This Row],[2021 U.S. Sales ($000)]]/SUMIF($E:$E, E126, $AF:$AF)</f>
        <v>9.0209961651272104E-3</v>
      </c>
      <c r="AH126" s="5">
        <v>409</v>
      </c>
      <c r="AI126" s="12">
        <f t="shared" si="13"/>
        <v>731.78484107579459</v>
      </c>
      <c r="AJ126" s="5">
        <v>272200</v>
      </c>
      <c r="AK126" s="6">
        <f>Table1[[#This Row],[2020 U.S. Sales ($000)]]/SUMIF($E:$E, E126, $AJ:$AJ)</f>
        <v>9.55776683374851E-3</v>
      </c>
      <c r="AL126" s="5">
        <v>411</v>
      </c>
      <c r="AM126" s="5">
        <f t="shared" si="14"/>
        <v>662.28710462287108</v>
      </c>
      <c r="AN126" s="5">
        <v>287300</v>
      </c>
      <c r="AO126" s="6">
        <f>Table1[[#This Row],[2019 U.S. Sales ($000)]]/SUMIF($E:$E, E126, $AN:$AN)</f>
        <v>8.7953703962220988E-3</v>
      </c>
      <c r="AP126" s="5">
        <v>414</v>
      </c>
      <c r="AQ126" s="5">
        <f t="shared" si="15"/>
        <v>693.9613526570048</v>
      </c>
    </row>
    <row r="127" spans="1:43" x14ac:dyDescent="0.25">
      <c r="A127" t="s">
        <v>192</v>
      </c>
      <c r="B127">
        <v>563299</v>
      </c>
      <c r="C127" t="s">
        <v>68</v>
      </c>
      <c r="D127" t="s">
        <v>69</v>
      </c>
      <c r="E127" t="s">
        <v>125</v>
      </c>
      <c r="F127" s="5">
        <v>149</v>
      </c>
      <c r="G127" s="5">
        <v>398000</v>
      </c>
      <c r="H127" s="6">
        <f>Table1[[#This Row],[2024 U.S. Sales ($000)]]/SUMIF($E:$E, E127, $G:$G)</f>
        <v>0.11862891207153502</v>
      </c>
      <c r="I127" s="5">
        <v>95</v>
      </c>
      <c r="J127" s="5">
        <f>Table1[[#This Row],[2024 U.S. Sales ($000)]]/Table1[[#This Row],[2024 U.S. Units]]</f>
        <v>4189.4736842105267</v>
      </c>
      <c r="K127" s="6">
        <f>Table1[[#This Row],[2024 U.S. Units]]/Table1[[#This Row],[2023 U.S. Units]]-1</f>
        <v>0.72727272727272729</v>
      </c>
      <c r="L127" s="8">
        <f>(Table1[[#This Row],[2024 Market share (%)]]-Table1[[#This Row],[2023 Market share (%)]])*10000</f>
        <v>347.99422945941501</v>
      </c>
      <c r="M127" s="6">
        <f>_xlfn.RRI(5,Table1[[#This Row],[2019 U.S. Sales ($000)]],Table1[[#This Row],[2024 U.S. Sales ($000)]])</f>
        <v>1.0649780582944648</v>
      </c>
      <c r="N127" s="9">
        <f>(Table1[[#This Row],[2024 Market share (%)]]-Table1[[#This Row],[2019 Market share (%)]])*10000</f>
        <v>1146.3620290913384</v>
      </c>
      <c r="O127" s="6">
        <f>IF(Table1[[#This Row],[2024 AUV]]=0,"",_xlfn.RRI(5,Table1[[#This Row],[2019 AUV]],Table1[[#This Row],[2024 AUV]]))</f>
        <v>3.4653595385091718E-2</v>
      </c>
      <c r="P127" s="6">
        <f>_xlfn.RRI(5,Table1[[#This Row],[2019 U.S. Units]],Table1[[#This Row],[2024 U.S. Units]])</f>
        <v>0.99581586291776514</v>
      </c>
      <c r="Q127" s="5">
        <v>297000</v>
      </c>
      <c r="R127" s="6">
        <f>Table1[[#This Row],[2023 U.S. Sales ($000)]]/SUMIF($E:$E, E127, $Q:$Q)</f>
        <v>8.3829489125593515E-2</v>
      </c>
      <c r="S127" s="8">
        <f>(Table1[[#This Row],[2023 Market share (%)]]-Table1[[#This Row],[2022 Market share (%)]])*10000</f>
        <v>569.95243953089471</v>
      </c>
      <c r="T127" s="10">
        <v>2.515625</v>
      </c>
      <c r="U127" s="5">
        <v>55</v>
      </c>
      <c r="V127" s="5">
        <f t="shared" si="8"/>
        <v>5400</v>
      </c>
      <c r="W127" s="10">
        <v>2.4375</v>
      </c>
      <c r="X127" s="10">
        <f t="shared" si="9"/>
        <v>1.3007140572380016</v>
      </c>
      <c r="Y127" s="8">
        <f>(Table1[[#This Row],[2023 Market share (%)]]-Table1[[#This Row],[2019 Market share (%)]])*10000</f>
        <v>798.36779963192328</v>
      </c>
      <c r="Z127" s="10">
        <f t="shared" si="10"/>
        <v>0.11186558339495378</v>
      </c>
      <c r="AA127" s="10">
        <f t="shared" si="11"/>
        <v>1.0692375873466964</v>
      </c>
      <c r="AB127" s="5">
        <v>84480</v>
      </c>
      <c r="AC127" s="6">
        <f>Table1[[#This Row],[2022 U.S. Sales ($000)]]/SUMIF($E:$E, E127, $AB:$AB)</f>
        <v>2.6834245172504045E-2</v>
      </c>
      <c r="AD127" s="5">
        <v>16</v>
      </c>
      <c r="AE127" s="5">
        <f t="shared" si="12"/>
        <v>5280</v>
      </c>
      <c r="AF127" s="5">
        <v>19200</v>
      </c>
      <c r="AG127" s="6">
        <f>Table1[[#This Row],[2021 U.S. Sales ($000)]]/SUMIF($E:$E, E127, $AF:$AF)</f>
        <v>7.2197930626813405E-3</v>
      </c>
      <c r="AH127" s="5">
        <v>5</v>
      </c>
      <c r="AI127" s="12">
        <f t="shared" si="13"/>
        <v>3840</v>
      </c>
      <c r="AJ127" s="5">
        <v>8800</v>
      </c>
      <c r="AK127" s="6">
        <f>Table1[[#This Row],[2020 U.S. Sales ($000)]]/SUMIF($E:$E, E127, $AJ:$AJ)</f>
        <v>4.6438264285439124E-3</v>
      </c>
      <c r="AL127" s="5">
        <v>3</v>
      </c>
      <c r="AM127" s="5">
        <f t="shared" si="14"/>
        <v>2933.3333333333335</v>
      </c>
      <c r="AN127" s="5">
        <v>10600</v>
      </c>
      <c r="AO127" s="6">
        <f>Table1[[#This Row],[2019 U.S. Sales ($000)]]/SUMIF($E:$E, E127, $AN:$AN)</f>
        <v>3.992709162401185E-3</v>
      </c>
      <c r="AP127" s="5">
        <v>3</v>
      </c>
      <c r="AQ127" s="5">
        <f t="shared" si="15"/>
        <v>3533.3333333333335</v>
      </c>
    </row>
    <row r="128" spans="1:43" x14ac:dyDescent="0.25">
      <c r="A128" t="s">
        <v>193</v>
      </c>
      <c r="B128">
        <v>31531</v>
      </c>
      <c r="C128" t="s">
        <v>44</v>
      </c>
      <c r="D128" t="s">
        <v>56</v>
      </c>
      <c r="E128" t="s">
        <v>50</v>
      </c>
      <c r="F128" s="5">
        <v>134</v>
      </c>
      <c r="G128" s="5">
        <v>398000</v>
      </c>
      <c r="H128" s="6">
        <f>Table1[[#This Row],[2024 U.S. Sales ($000)]]/SUMIF($E:$E, E128, $G:$G)</f>
        <v>7.5771998629250272E-3</v>
      </c>
      <c r="I128" s="5">
        <v>289</v>
      </c>
      <c r="J128" s="5">
        <f>Table1[[#This Row],[2024 U.S. Sales ($000)]]/Table1[[#This Row],[2024 U.S. Units]]</f>
        <v>1377.1626297577855</v>
      </c>
      <c r="K128" s="6">
        <f>Table1[[#This Row],[2024 U.S. Units]]/Table1[[#This Row],[2023 U.S. Units]]-1</f>
        <v>0.1333333333333333</v>
      </c>
      <c r="L128" s="8">
        <f>(Table1[[#This Row],[2024 Market share (%)]]-Table1[[#This Row],[2023 Market share (%)]])*10000</f>
        <v>3.8143717798121926</v>
      </c>
      <c r="M128" s="6">
        <f>_xlfn.RRI(5,Table1[[#This Row],[2019 U.S. Sales ($000)]],Table1[[#This Row],[2024 U.S. Sales ($000)]])</f>
        <v>0.21023074996944358</v>
      </c>
      <c r="N128" s="9">
        <f>(Table1[[#This Row],[2024 Market share (%)]]-Table1[[#This Row],[2019 Market share (%)]])*10000</f>
        <v>25.836574286125046</v>
      </c>
      <c r="O128" s="6">
        <f>IF(Table1[[#This Row],[2024 AUV]]=0,"",_xlfn.RRI(5,Table1[[#This Row],[2019 AUV]],Table1[[#This Row],[2024 AUV]]))</f>
        <v>5.2836937699195063E-2</v>
      </c>
      <c r="P128" s="6">
        <f>_xlfn.RRI(5,Table1[[#This Row],[2019 U.S. Units]],Table1[[#This Row],[2024 U.S. Units]])</f>
        <v>0.1494949565639363</v>
      </c>
      <c r="Q128" s="5">
        <v>352468</v>
      </c>
      <c r="R128" s="6">
        <f>Table1[[#This Row],[2023 U.S. Sales ($000)]]/SUMIF($E:$E, E128, $Q:$Q)</f>
        <v>7.1957626849438079E-3</v>
      </c>
      <c r="S128" s="8">
        <f>(Table1[[#This Row],[2023 Market share (%)]]-Table1[[#This Row],[2022 Market share (%)]])*10000</f>
        <v>1.6499420027845344</v>
      </c>
      <c r="T128" s="10">
        <v>0.14898374977588708</v>
      </c>
      <c r="U128" s="5">
        <v>255</v>
      </c>
      <c r="V128" s="5">
        <f t="shared" si="8"/>
        <v>1382.2274509803922</v>
      </c>
      <c r="W128" s="10">
        <v>0.13333333333333333</v>
      </c>
      <c r="X128" s="10">
        <f t="shared" si="9"/>
        <v>0.23138649104105258</v>
      </c>
      <c r="Y128" s="8">
        <f>(Table1[[#This Row],[2023 Market share (%)]]-Table1[[#This Row],[2019 Market share (%)]])*10000</f>
        <v>22.022202506312851</v>
      </c>
      <c r="Z128" s="10">
        <f t="shared" si="10"/>
        <v>6.7455951067614039E-2</v>
      </c>
      <c r="AA128" s="10">
        <f t="shared" si="11"/>
        <v>0.15357124554833734</v>
      </c>
      <c r="AB128" s="5">
        <v>306765</v>
      </c>
      <c r="AC128" s="6">
        <f>Table1[[#This Row],[2022 U.S. Sales ($000)]]/SUMIF($E:$E, E128, $AB:$AB)</f>
        <v>7.0307684846653545E-3</v>
      </c>
      <c r="AD128" s="5">
        <v>225</v>
      </c>
      <c r="AE128" s="5">
        <f t="shared" si="12"/>
        <v>1363.4</v>
      </c>
      <c r="AF128" s="5">
        <v>255000</v>
      </c>
      <c r="AG128" s="6">
        <f>Table1[[#This Row],[2021 U.S. Sales ($000)]]/SUMIF($E:$E, E128, $AF:$AF)</f>
        <v>6.4860959595768189E-3</v>
      </c>
      <c r="AH128" s="5">
        <v>205</v>
      </c>
      <c r="AI128" s="12">
        <f t="shared" si="13"/>
        <v>1243.9024390243903</v>
      </c>
      <c r="AJ128" s="5">
        <v>175100</v>
      </c>
      <c r="AK128" s="6">
        <f>Table1[[#This Row],[2020 U.S. Sales ($000)]]/SUMIF($E:$E, E128, $AJ:$AJ)</f>
        <v>5.1775137649865887E-3</v>
      </c>
      <c r="AL128" s="5">
        <v>176</v>
      </c>
      <c r="AM128" s="5">
        <f t="shared" si="14"/>
        <v>994.88636363636363</v>
      </c>
      <c r="AN128" s="5">
        <v>153300</v>
      </c>
      <c r="AO128" s="6">
        <f>Table1[[#This Row],[2019 U.S. Sales ($000)]]/SUMIF($E:$E, E128, $AN:$AN)</f>
        <v>4.9935424343125227E-3</v>
      </c>
      <c r="AP128" s="5">
        <v>144</v>
      </c>
      <c r="AQ128" s="5">
        <f t="shared" si="15"/>
        <v>1064.5833333333333</v>
      </c>
    </row>
    <row r="129" spans="1:43" x14ac:dyDescent="0.25">
      <c r="A129" t="s">
        <v>194</v>
      </c>
      <c r="B129">
        <v>1633</v>
      </c>
      <c r="C129" t="s">
        <v>44</v>
      </c>
      <c r="D129" t="s">
        <v>45</v>
      </c>
      <c r="E129" t="s">
        <v>48</v>
      </c>
      <c r="F129" s="5">
        <v>130</v>
      </c>
      <c r="G129" s="5">
        <v>386000</v>
      </c>
      <c r="H129" s="6">
        <f>Table1[[#This Row],[2024 U.S. Sales ($000)]]/SUMIF($E:$E, E129, $G:$G)</f>
        <v>7.6388727271978858E-3</v>
      </c>
      <c r="I129" s="5">
        <v>487</v>
      </c>
      <c r="J129" s="5">
        <f>Table1[[#This Row],[2024 U.S. Sales ($000)]]/Table1[[#This Row],[2024 U.S. Units]]</f>
        <v>792.60780287474336</v>
      </c>
      <c r="K129" s="6">
        <f>Table1[[#This Row],[2024 U.S. Units]]/Table1[[#This Row],[2023 U.S. Units]]-1</f>
        <v>1.4583333333333393E-2</v>
      </c>
      <c r="L129" s="8">
        <f>(Table1[[#This Row],[2024 Market share (%)]]-Table1[[#This Row],[2023 Market share (%)]])*10000</f>
        <v>1.4970393954586574</v>
      </c>
      <c r="M129" s="6">
        <f>_xlfn.RRI(5,Table1[[#This Row],[2019 U.S. Sales ($000)]],Table1[[#This Row],[2024 U.S. Sales ($000)]])</f>
        <v>4.2418835680646083E-2</v>
      </c>
      <c r="N129" s="9">
        <f>(Table1[[#This Row],[2024 Market share (%)]]-Table1[[#This Row],[2019 Market share (%)]])*10000</f>
        <v>-13.248044292767615</v>
      </c>
      <c r="O129" s="6">
        <f>IF(Table1[[#This Row],[2024 AUV]]=0,"",_xlfn.RRI(5,Table1[[#This Row],[2019 AUV]],Table1[[#This Row],[2024 AUV]]))</f>
        <v>2.5160963748042331E-2</v>
      </c>
      <c r="P129" s="6">
        <f>_xlfn.RRI(5,Table1[[#This Row],[2019 U.S. Units]],Table1[[#This Row],[2024 U.S. Units]])</f>
        <v>1.6834304604720796E-2</v>
      </c>
      <c r="Q129" s="5">
        <v>367146</v>
      </c>
      <c r="R129" s="6">
        <f>Table1[[#This Row],[2023 U.S. Sales ($000)]]/SUMIF($E:$E, E129, $Q:$Q)</f>
        <v>7.48916878765202E-3</v>
      </c>
      <c r="S129" s="8">
        <f>(Table1[[#This Row],[2023 Market share (%)]]-Table1[[#This Row],[2022 Market share (%)]])*10000</f>
        <v>-2.3544178759628189</v>
      </c>
      <c r="T129" s="10">
        <v>8.0181115821743906E-2</v>
      </c>
      <c r="U129" s="5">
        <v>480</v>
      </c>
      <c r="V129" s="5">
        <f t="shared" si="8"/>
        <v>764.88750000000005</v>
      </c>
      <c r="W129" s="10">
        <v>-8.2644628099173556E-3</v>
      </c>
      <c r="X129" s="10">
        <f t="shared" si="9"/>
        <v>4.019721518158903E-2</v>
      </c>
      <c r="Y129" s="8">
        <f>(Table1[[#This Row],[2023 Market share (%)]]-Table1[[#This Row],[2019 Market share (%)]])*10000</f>
        <v>-14.745083688226272</v>
      </c>
      <c r="Z129" s="10">
        <f t="shared" si="10"/>
        <v>2.2409511068706589E-2</v>
      </c>
      <c r="AA129" s="10">
        <f t="shared" si="11"/>
        <v>1.7397827309224789E-2</v>
      </c>
      <c r="AB129" s="5">
        <v>339893</v>
      </c>
      <c r="AC129" s="6">
        <f>Table1[[#This Row],[2022 U.S. Sales ($000)]]/SUMIF($E:$E, E129, $AB:$AB)</f>
        <v>7.7246105752483019E-3</v>
      </c>
      <c r="AD129" s="5">
        <v>484</v>
      </c>
      <c r="AE129" s="5">
        <f t="shared" si="12"/>
        <v>702.25826446280996</v>
      </c>
      <c r="AF129" s="5">
        <v>307691</v>
      </c>
      <c r="AG129" s="6">
        <f>Table1[[#This Row],[2021 U.S. Sales ($000)]]/SUMIF($E:$E, E129, $AF:$AF)</f>
        <v>7.9281188971249208E-3</v>
      </c>
      <c r="AH129" s="5">
        <v>460</v>
      </c>
      <c r="AI129" s="12">
        <f t="shared" si="13"/>
        <v>668.89347826086953</v>
      </c>
      <c r="AJ129" s="5">
        <v>268200</v>
      </c>
      <c r="AK129" s="6">
        <f>Table1[[#This Row],[2020 U.S. Sales ($000)]]/SUMIF($E:$E, E129, $AJ:$AJ)</f>
        <v>8.6492287851622843E-3</v>
      </c>
      <c r="AL129" s="5">
        <v>446</v>
      </c>
      <c r="AM129" s="5">
        <f t="shared" si="14"/>
        <v>601.34529147982062</v>
      </c>
      <c r="AN129" s="5">
        <v>313600</v>
      </c>
      <c r="AO129" s="6">
        <f>Table1[[#This Row],[2019 U.S. Sales ($000)]]/SUMIF($E:$E, E129, $AN:$AN)</f>
        <v>8.9636771564746472E-3</v>
      </c>
      <c r="AP129" s="5">
        <v>448</v>
      </c>
      <c r="AQ129" s="5">
        <f t="shared" si="15"/>
        <v>700</v>
      </c>
    </row>
    <row r="130" spans="1:43" x14ac:dyDescent="0.25">
      <c r="A130" t="s">
        <v>195</v>
      </c>
      <c r="B130">
        <v>5999</v>
      </c>
      <c r="C130" t="s">
        <v>44</v>
      </c>
      <c r="D130" t="s">
        <v>56</v>
      </c>
      <c r="E130" t="s">
        <v>52</v>
      </c>
      <c r="F130" s="5">
        <v>128</v>
      </c>
      <c r="G130" s="5">
        <v>382000</v>
      </c>
      <c r="H130" s="6">
        <f>Table1[[#This Row],[2024 U.S. Sales ($000)]]/SUMIF($E:$E, E130, $G:$G)</f>
        <v>1.1346085303552335E-2</v>
      </c>
      <c r="I130" s="5">
        <v>160</v>
      </c>
      <c r="J130" s="5">
        <f>Table1[[#This Row],[2024 U.S. Sales ($000)]]/Table1[[#This Row],[2024 U.S. Units]]</f>
        <v>2387.5</v>
      </c>
      <c r="K130" s="6">
        <f>Table1[[#This Row],[2024 U.S. Units]]/Table1[[#This Row],[2023 U.S. Units]]-1</f>
        <v>-1.8404907975460127E-2</v>
      </c>
      <c r="L130" s="8">
        <f>(Table1[[#This Row],[2024 Market share (%)]]-Table1[[#This Row],[2023 Market share (%)]])*10000</f>
        <v>1.7313529055097352</v>
      </c>
      <c r="M130" s="6">
        <f>_xlfn.RRI(5,Table1[[#This Row],[2019 U.S. Sales ($000)]],Table1[[#This Row],[2024 U.S. Sales ($000)]])</f>
        <v>7.4182060160016494E-2</v>
      </c>
      <c r="N130" s="9">
        <f>(Table1[[#This Row],[2024 Market share (%)]]-Table1[[#This Row],[2019 Market share (%)]])*10000</f>
        <v>3.2838107796783098</v>
      </c>
      <c r="O130" s="6">
        <f>IF(Table1[[#This Row],[2024 AUV]]=0,"",_xlfn.RRI(5,Table1[[#This Row],[2019 AUV]],Table1[[#This Row],[2024 AUV]]))</f>
        <v>2.4066141706534872E-2</v>
      </c>
      <c r="P130" s="6">
        <f>_xlfn.RRI(5,Table1[[#This Row],[2019 U.S. Units]],Table1[[#This Row],[2024 U.S. Units]])</f>
        <v>4.8938165624699659E-2</v>
      </c>
      <c r="Q130" s="5">
        <v>369700</v>
      </c>
      <c r="R130" s="6">
        <f>Table1[[#This Row],[2023 U.S. Sales ($000)]]/SUMIF($E:$E, E130, $Q:$Q)</f>
        <v>1.1172950013001361E-2</v>
      </c>
      <c r="S130" s="8">
        <f>(Table1[[#This Row],[2023 Market share (%)]]-Table1[[#This Row],[2022 Market share (%)]])*10000</f>
        <v>0.20193801455960572</v>
      </c>
      <c r="T130" s="10">
        <v>9.4434576672587325E-2</v>
      </c>
      <c r="U130" s="5">
        <v>163</v>
      </c>
      <c r="V130" s="5">
        <f t="shared" ref="V130:V193" si="16">Q130/U130</f>
        <v>2268.0981595092026</v>
      </c>
      <c r="W130" s="10">
        <v>5.1612903225806452E-2</v>
      </c>
      <c r="X130" s="10">
        <f t="shared" ref="X130:X193" si="17">_xlfn.RRI(4,AN130,Q130)</f>
        <v>8.4660664493636517E-2</v>
      </c>
      <c r="Y130" s="8">
        <f>(Table1[[#This Row],[2023 Market share (%)]]-Table1[[#This Row],[2019 Market share (%)]])*10000</f>
        <v>1.5524578741685744</v>
      </c>
      <c r="Z130" s="10">
        <f t="shared" ref="Z130:Z193" si="18">_xlfn.RRI(4,AQ130,V130)</f>
        <v>1.704372779722485E-2</v>
      </c>
      <c r="AA130" s="10">
        <f t="shared" ref="AA130:AA193" si="19">_xlfn.RRI(4,AP130,U130)</f>
        <v>6.6483804824066572E-2</v>
      </c>
      <c r="AB130" s="5">
        <v>337800</v>
      </c>
      <c r="AC130" s="6">
        <f>Table1[[#This Row],[2022 U.S. Sales ($000)]]/SUMIF($E:$E, E130, $AB:$AB)</f>
        <v>1.1152756211545401E-2</v>
      </c>
      <c r="AD130" s="5">
        <v>155</v>
      </c>
      <c r="AE130" s="5">
        <f t="shared" ref="AE130:AE193" si="20">AB130/AD130</f>
        <v>2179.3548387096776</v>
      </c>
      <c r="AF130" s="5">
        <v>304200</v>
      </c>
      <c r="AG130" s="6">
        <f>Table1[[#This Row],[2021 U.S. Sales ($000)]]/SUMIF($E:$E, E130, $AF:$AF)</f>
        <v>1.1098440614367643E-2</v>
      </c>
      <c r="AH130" s="5">
        <v>150</v>
      </c>
      <c r="AI130" s="12">
        <f t="shared" ref="AI130:AI193" si="21">AF130/AH130</f>
        <v>2028</v>
      </c>
      <c r="AJ130" s="5">
        <v>251900</v>
      </c>
      <c r="AK130" s="6">
        <f>Table1[[#This Row],[2020 U.S. Sales ($000)]]/SUMIF($E:$E, E130, $AJ:$AJ)</f>
        <v>1.0686572171461829E-2</v>
      </c>
      <c r="AL130" s="5">
        <v>135</v>
      </c>
      <c r="AM130" s="5">
        <f t="shared" ref="AM130:AM193" si="22">AJ130/AL130</f>
        <v>1865.9259259259259</v>
      </c>
      <c r="AN130" s="5">
        <v>267100</v>
      </c>
      <c r="AO130" s="6">
        <f>Table1[[#This Row],[2019 U.S. Sales ($000)]]/SUMIF($E:$E, E130, $AN:$AN)</f>
        <v>1.1017704225584504E-2</v>
      </c>
      <c r="AP130" s="5">
        <v>126</v>
      </c>
      <c r="AQ130" s="5">
        <f t="shared" ref="AQ130:AQ193" si="23">AN130/AP130</f>
        <v>2119.8412698412699</v>
      </c>
    </row>
    <row r="131" spans="1:43" x14ac:dyDescent="0.25">
      <c r="A131" t="s">
        <v>196</v>
      </c>
      <c r="B131">
        <v>2808</v>
      </c>
      <c r="C131" t="s">
        <v>68</v>
      </c>
      <c r="D131" t="s">
        <v>69</v>
      </c>
      <c r="E131" t="s">
        <v>73</v>
      </c>
      <c r="F131" s="5">
        <v>122</v>
      </c>
      <c r="G131" s="5">
        <v>381000</v>
      </c>
      <c r="H131" s="6">
        <f>Table1[[#This Row],[2024 U.S. Sales ($000)]]/SUMIF($E:$E, E131, $G:$G)</f>
        <v>4.7766119027903065E-2</v>
      </c>
      <c r="I131" s="5">
        <v>161</v>
      </c>
      <c r="J131" s="5">
        <f>Table1[[#This Row],[2024 U.S. Sales ($000)]]/Table1[[#This Row],[2024 U.S. Units]]</f>
        <v>2366.4596273291927</v>
      </c>
      <c r="K131" s="6">
        <f>Table1[[#This Row],[2024 U.S. Units]]/Table1[[#This Row],[2023 U.S. Units]]-1</f>
        <v>0</v>
      </c>
      <c r="L131" s="8">
        <f>(Table1[[#This Row],[2024 Market share (%)]]-Table1[[#This Row],[2023 Market share (%)]])*10000</f>
        <v>66.839258173494386</v>
      </c>
      <c r="M131" s="6">
        <f>_xlfn.RRI(5,Table1[[#This Row],[2019 U.S. Sales ($000)]],Table1[[#This Row],[2024 U.S. Sales ($000)]])</f>
        <v>-4.3908338250144396E-2</v>
      </c>
      <c r="N131" s="9">
        <f>(Table1[[#This Row],[2024 Market share (%)]]-Table1[[#This Row],[2019 Market share (%)]])*10000</f>
        <v>-45.181865588980948</v>
      </c>
      <c r="O131" s="6">
        <f>IF(Table1[[#This Row],[2024 AUV]]=0,"",_xlfn.RRI(5,Table1[[#This Row],[2019 AUV]],Table1[[#This Row],[2024 AUV]]))</f>
        <v>-1.0670341103288683E-2</v>
      </c>
      <c r="P131" s="6">
        <f>_xlfn.RRI(5,Table1[[#This Row],[2019 U.S. Units]],Table1[[#This Row],[2024 U.S. Units]])</f>
        <v>-3.3596483081202999E-2</v>
      </c>
      <c r="Q131" s="5">
        <v>394800</v>
      </c>
      <c r="R131" s="6">
        <f>Table1[[#This Row],[2023 U.S. Sales ($000)]]/SUMIF($E:$E, E131, $Q:$Q)</f>
        <v>4.1082193210553626E-2</v>
      </c>
      <c r="S131" s="8">
        <f>(Table1[[#This Row],[2023 Market share (%)]]-Table1[[#This Row],[2022 Market share (%)]])*10000</f>
        <v>-47.808353085844956</v>
      </c>
      <c r="T131" s="10">
        <v>-6.2678062678062682E-2</v>
      </c>
      <c r="U131" s="5">
        <v>161</v>
      </c>
      <c r="V131" s="5">
        <f t="shared" si="16"/>
        <v>2452.1739130434785</v>
      </c>
      <c r="W131" s="10">
        <v>-4.1666666666666664E-2</v>
      </c>
      <c r="X131" s="10">
        <f t="shared" si="17"/>
        <v>-4.6133810009742149E-2</v>
      </c>
      <c r="Y131" s="8">
        <f>(Table1[[#This Row],[2023 Market share (%)]]-Table1[[#This Row],[2019 Market share (%)]])*10000</f>
        <v>-112.02112376247533</v>
      </c>
      <c r="Z131" s="10">
        <f t="shared" si="18"/>
        <v>-4.5044381210247453E-3</v>
      </c>
      <c r="AA131" s="10">
        <f t="shared" si="19"/>
        <v>-4.1817737298740831E-2</v>
      </c>
      <c r="AB131" s="5">
        <v>421200</v>
      </c>
      <c r="AC131" s="6">
        <f>Table1[[#This Row],[2022 U.S. Sales ($000)]]/SUMIF($E:$E, E131, $AB:$AB)</f>
        <v>4.5863028519138122E-2</v>
      </c>
      <c r="AD131" s="5">
        <v>168</v>
      </c>
      <c r="AE131" s="5">
        <f t="shared" si="20"/>
        <v>2507.1428571428573</v>
      </c>
      <c r="AF131" s="5">
        <v>400800</v>
      </c>
      <c r="AG131" s="6">
        <f>Table1[[#This Row],[2021 U.S. Sales ($000)]]/SUMIF($E:$E, E131, $AF:$AF)</f>
        <v>4.7865620852213464E-2</v>
      </c>
      <c r="AH131" s="5">
        <v>173</v>
      </c>
      <c r="AI131" s="12">
        <f t="shared" si="21"/>
        <v>2316.7630057803467</v>
      </c>
      <c r="AJ131" s="5">
        <v>307400</v>
      </c>
      <c r="AK131" s="6">
        <f>Table1[[#This Row],[2020 U.S. Sales ($000)]]/SUMIF($E:$E, E131, $AJ:$AJ)</f>
        <v>4.4557963692362194E-2</v>
      </c>
      <c r="AL131" s="5">
        <v>177</v>
      </c>
      <c r="AM131" s="5">
        <f t="shared" si="22"/>
        <v>1736.7231638418079</v>
      </c>
      <c r="AN131" s="5">
        <v>476900</v>
      </c>
      <c r="AO131" s="6">
        <f>Table1[[#This Row],[2019 U.S. Sales ($000)]]/SUMIF($E:$E, E131, $AN:$AN)</f>
        <v>5.2284305586801159E-2</v>
      </c>
      <c r="AP131" s="5">
        <v>191</v>
      </c>
      <c r="AQ131" s="5">
        <f t="shared" si="23"/>
        <v>2496.8586387434557</v>
      </c>
    </row>
    <row r="132" spans="1:43" x14ac:dyDescent="0.25">
      <c r="A132" t="s">
        <v>197</v>
      </c>
      <c r="B132">
        <v>5493</v>
      </c>
      <c r="C132" t="s">
        <v>68</v>
      </c>
      <c r="D132" t="s">
        <v>69</v>
      </c>
      <c r="E132" t="s">
        <v>79</v>
      </c>
      <c r="F132" s="5">
        <v>135</v>
      </c>
      <c r="G132" s="5">
        <v>375000</v>
      </c>
      <c r="H132" s="6">
        <f>Table1[[#This Row],[2024 U.S. Sales ($000)]]/SUMIF($E:$E, E132, $G:$G)</f>
        <v>1.802797942406615E-2</v>
      </c>
      <c r="I132" s="5">
        <v>64</v>
      </c>
      <c r="J132" s="5">
        <f>Table1[[#This Row],[2024 U.S. Sales ($000)]]/Table1[[#This Row],[2024 U.S. Units]]</f>
        <v>5859.375</v>
      </c>
      <c r="K132" s="6">
        <f>Table1[[#This Row],[2024 U.S. Units]]/Table1[[#This Row],[2023 U.S. Units]]-1</f>
        <v>6.6666666666666652E-2</v>
      </c>
      <c r="L132" s="8">
        <f>(Table1[[#This Row],[2024 Market share (%)]]-Table1[[#This Row],[2023 Market share (%)]])*10000</f>
        <v>40.121272921766916</v>
      </c>
      <c r="M132" s="6">
        <f>_xlfn.RRI(5,Table1[[#This Row],[2019 U.S. Sales ($000)]],Table1[[#This Row],[2024 U.S. Sales ($000)]])</f>
        <v>0.14238932421928263</v>
      </c>
      <c r="N132" s="9">
        <f>(Table1[[#This Row],[2024 Market share (%)]]-Table1[[#This Row],[2019 Market share (%)]])*10000</f>
        <v>95.883362611207616</v>
      </c>
      <c r="O132" s="6">
        <f>IF(Table1[[#This Row],[2024 AUV]]=0,"",_xlfn.RRI(5,Table1[[#This Row],[2019 AUV]],Table1[[#This Row],[2024 AUV]]))</f>
        <v>9.1672012535612302E-2</v>
      </c>
      <c r="P132" s="6">
        <f>_xlfn.RRI(5,Table1[[#This Row],[2019 U.S. Units]],Table1[[#This Row],[2024 U.S. Units]])</f>
        <v>4.6458378616732965E-2</v>
      </c>
      <c r="Q132" s="5">
        <v>338100</v>
      </c>
      <c r="R132" s="6">
        <f>Table1[[#This Row],[2023 U.S. Sales ($000)]]/SUMIF($E:$E, E132, $Q:$Q)</f>
        <v>1.4015852131889458E-2</v>
      </c>
      <c r="S132" s="8">
        <f>(Table1[[#This Row],[2023 Market share (%)]]-Table1[[#This Row],[2022 Market share (%)]])*10000</f>
        <v>14.851129486950031</v>
      </c>
      <c r="T132" s="10">
        <v>0.14733459344448102</v>
      </c>
      <c r="U132" s="5">
        <v>60</v>
      </c>
      <c r="V132" s="5">
        <f t="shared" si="16"/>
        <v>5635</v>
      </c>
      <c r="W132" s="10">
        <v>7.1428571428571425E-2</v>
      </c>
      <c r="X132" s="10">
        <f t="shared" si="17"/>
        <v>0.15085642238238584</v>
      </c>
      <c r="Y132" s="8">
        <f>(Table1[[#This Row],[2023 Market share (%)]]-Table1[[#This Row],[2019 Market share (%)]])*10000</f>
        <v>55.7620896894407</v>
      </c>
      <c r="Z132" s="10">
        <f t="shared" si="18"/>
        <v>0.10503460138840359</v>
      </c>
      <c r="AA132" s="10">
        <f t="shared" si="19"/>
        <v>4.146641284934427E-2</v>
      </c>
      <c r="AB132" s="5">
        <v>294683</v>
      </c>
      <c r="AC132" s="6">
        <f>Table1[[#This Row],[2022 U.S. Sales ($000)]]/SUMIF($E:$E, E132, $AB:$AB)</f>
        <v>1.2530739183194455E-2</v>
      </c>
      <c r="AD132" s="5">
        <v>56</v>
      </c>
      <c r="AE132" s="5">
        <f t="shared" si="20"/>
        <v>5262.1964285714284</v>
      </c>
      <c r="AF132" s="5">
        <v>247240</v>
      </c>
      <c r="AG132" s="6">
        <f>Table1[[#This Row],[2021 U.S. Sales ($000)]]/SUMIF($E:$E, E132, $AF:$AF)</f>
        <v>1.1383002061914525E-2</v>
      </c>
      <c r="AH132" s="5">
        <v>54</v>
      </c>
      <c r="AI132" s="12">
        <f t="shared" si="21"/>
        <v>4578.5185185185182</v>
      </c>
      <c r="AJ132" s="5">
        <v>155430</v>
      </c>
      <c r="AK132" s="6">
        <f>Table1[[#This Row],[2020 U.S. Sales ($000)]]/SUMIF($E:$E, E132, $AJ:$AJ)</f>
        <v>9.5319004676536929E-3</v>
      </c>
      <c r="AL132" s="5">
        <v>52</v>
      </c>
      <c r="AM132" s="5">
        <f t="shared" si="22"/>
        <v>2989.0384615384614</v>
      </c>
      <c r="AN132" s="5">
        <v>192735</v>
      </c>
      <c r="AO132" s="6">
        <f>Table1[[#This Row],[2019 U.S. Sales ($000)]]/SUMIF($E:$E, E132, $AN:$AN)</f>
        <v>8.4396431629453882E-3</v>
      </c>
      <c r="AP132" s="5">
        <v>51</v>
      </c>
      <c r="AQ132" s="5">
        <f t="shared" si="23"/>
        <v>3779.1176470588234</v>
      </c>
    </row>
    <row r="133" spans="1:43" x14ac:dyDescent="0.25">
      <c r="A133" t="s">
        <v>198</v>
      </c>
      <c r="B133">
        <v>1189</v>
      </c>
      <c r="C133" t="s">
        <v>68</v>
      </c>
      <c r="D133" t="s">
        <v>69</v>
      </c>
      <c r="E133" t="s">
        <v>70</v>
      </c>
      <c r="F133" s="5">
        <v>119</v>
      </c>
      <c r="G133" s="5">
        <v>375000</v>
      </c>
      <c r="H133" s="6">
        <f>Table1[[#This Row],[2024 U.S. Sales ($000)]]/SUMIF($E:$E, E133, $G:$G)</f>
        <v>2.3099667364789946E-2</v>
      </c>
      <c r="I133" s="5">
        <v>125</v>
      </c>
      <c r="J133" s="5">
        <f>Table1[[#This Row],[2024 U.S. Sales ($000)]]/Table1[[#This Row],[2024 U.S. Units]]</f>
        <v>3000</v>
      </c>
      <c r="K133" s="6">
        <f>Table1[[#This Row],[2024 U.S. Units]]/Table1[[#This Row],[2023 U.S. Units]]-1</f>
        <v>-3.8461538461538436E-2</v>
      </c>
      <c r="L133" s="8">
        <f>(Table1[[#This Row],[2024 Market share (%)]]-Table1[[#This Row],[2023 Market share (%)]])*10000</f>
        <v>-22.116870356995687</v>
      </c>
      <c r="M133" s="6">
        <f>_xlfn.RRI(5,Table1[[#This Row],[2019 U.S. Sales ($000)]],Table1[[#This Row],[2024 U.S. Sales ($000)]])</f>
        <v>-9.0625459715386603E-2</v>
      </c>
      <c r="N133" s="9">
        <f>(Table1[[#This Row],[2024 Market share (%)]]-Table1[[#This Row],[2019 Market share (%)]])*10000</f>
        <v>-249.90648641222379</v>
      </c>
      <c r="O133" s="6">
        <f>IF(Table1[[#This Row],[2024 AUV]]=0,"",_xlfn.RRI(5,Table1[[#This Row],[2019 AUV]],Table1[[#This Row],[2024 AUV]]))</f>
        <v>-1.9980179662829611E-3</v>
      </c>
      <c r="P133" s="6">
        <f>_xlfn.RRI(5,Table1[[#This Row],[2019 U.S. Units]],Table1[[#This Row],[2024 U.S. Units]])</f>
        <v>-8.8804875485817836E-2</v>
      </c>
      <c r="Q133" s="5">
        <v>404100</v>
      </c>
      <c r="R133" s="6">
        <f>Table1[[#This Row],[2023 U.S. Sales ($000)]]/SUMIF($E:$E, E133, $Q:$Q)</f>
        <v>2.5311354400489514E-2</v>
      </c>
      <c r="S133" s="8">
        <f>(Table1[[#This Row],[2023 Market share (%)]]-Table1[[#This Row],[2022 Market share (%)]])*10000</f>
        <v>-44.59992632675467</v>
      </c>
      <c r="T133" s="10">
        <v>-7.2314049586776855E-2</v>
      </c>
      <c r="U133" s="5">
        <v>130</v>
      </c>
      <c r="V133" s="5">
        <f t="shared" si="16"/>
        <v>3108.4615384615386</v>
      </c>
      <c r="W133" s="10">
        <v>-3.7037037037037035E-2</v>
      </c>
      <c r="X133" s="10">
        <f t="shared" si="17"/>
        <v>-9.5220223845900565E-2</v>
      </c>
      <c r="Y133" s="8">
        <f>(Table1[[#This Row],[2023 Market share (%)]]-Table1[[#This Row],[2019 Market share (%)]])*10000</f>
        <v>-227.78961605522809</v>
      </c>
      <c r="Z133" s="10">
        <f t="shared" si="18"/>
        <v>6.3992758375917003E-3</v>
      </c>
      <c r="AA133" s="10">
        <f t="shared" si="19"/>
        <v>-0.10097334340678832</v>
      </c>
      <c r="AB133" s="5">
        <v>435600</v>
      </c>
      <c r="AC133" s="6">
        <f>Table1[[#This Row],[2022 U.S. Sales ($000)]]/SUMIF($E:$E, E133, $AB:$AB)</f>
        <v>2.9771347033164981E-2</v>
      </c>
      <c r="AD133" s="5">
        <v>135</v>
      </c>
      <c r="AE133" s="5">
        <f t="shared" si="20"/>
        <v>3226.6666666666665</v>
      </c>
      <c r="AF133" s="5">
        <v>417000</v>
      </c>
      <c r="AG133" s="6">
        <f>Table1[[#This Row],[2021 U.S. Sales ($000)]]/SUMIF($E:$E, E133, $AF:$AF)</f>
        <v>3.2083203981087063E-2</v>
      </c>
      <c r="AH133" s="5">
        <v>136</v>
      </c>
      <c r="AI133" s="12">
        <f t="shared" si="21"/>
        <v>3066.1764705882351</v>
      </c>
      <c r="AJ133" s="5">
        <v>397000</v>
      </c>
      <c r="AK133" s="6">
        <f>Table1[[#This Row],[2020 U.S. Sales ($000)]]/SUMIF($E:$E, E133, $AJ:$AJ)</f>
        <v>4.22722584736712E-2</v>
      </c>
      <c r="AL133" s="5">
        <v>136</v>
      </c>
      <c r="AM133" s="5">
        <f t="shared" si="22"/>
        <v>2919.1176470588234</v>
      </c>
      <c r="AN133" s="5">
        <v>603000</v>
      </c>
      <c r="AO133" s="6">
        <f>Table1[[#This Row],[2019 U.S. Sales ($000)]]/SUMIF($E:$E, E133, $AN:$AN)</f>
        <v>4.8090316006012324E-2</v>
      </c>
      <c r="AP133" s="5">
        <v>199</v>
      </c>
      <c r="AQ133" s="5">
        <f t="shared" si="23"/>
        <v>3030.1507537688444</v>
      </c>
    </row>
    <row r="134" spans="1:43" x14ac:dyDescent="0.25">
      <c r="A134" t="s">
        <v>199</v>
      </c>
      <c r="B134">
        <v>11894</v>
      </c>
      <c r="C134" t="s">
        <v>44</v>
      </c>
      <c r="D134" t="s">
        <v>45</v>
      </c>
      <c r="E134" t="s">
        <v>46</v>
      </c>
      <c r="F134" s="5">
        <v>137</v>
      </c>
      <c r="G134" s="5">
        <v>370000</v>
      </c>
      <c r="H134" s="6">
        <f>Table1[[#This Row],[2024 U.S. Sales ($000)]]/SUMIF($E:$E, E134, $G:$G)</f>
        <v>3.3557757031082475E-3</v>
      </c>
      <c r="I134" s="5">
        <v>363</v>
      </c>
      <c r="J134" s="7">
        <f>Table1[[#This Row],[2024 U.S. Sales ($000)]]/Table1[[#This Row],[2024 U.S. Units]]</f>
        <v>1019.2837465564738</v>
      </c>
      <c r="K134" s="6">
        <f>Table1[[#This Row],[2024 U.S. Units]]/Table1[[#This Row],[2023 U.S. Units]]-1</f>
        <v>6.7647058823529393E-2</v>
      </c>
      <c r="L134" s="8">
        <f>(Table1[[#This Row],[2024 Market share (%)]]-Table1[[#This Row],[2023 Market share (%)]])*10000</f>
        <v>3.3247691128329486</v>
      </c>
      <c r="M134" s="6">
        <f>_xlfn.RRI(5,Table1[[#This Row],[2019 U.S. Sales ($000)]],Table1[[#This Row],[2024 U.S. Sales ($000)]])</f>
        <v>0.11303457245486692</v>
      </c>
      <c r="N134" s="9">
        <f>(Table1[[#This Row],[2024 Market share (%)]]-Table1[[#This Row],[2019 Market share (%)]])*10000</f>
        <v>8.5197289364729443</v>
      </c>
      <c r="O134" s="6">
        <f>IF(Table1[[#This Row],[2024 AUV]]=0,"",_xlfn.RRI(5,Table1[[#This Row],[2019 AUV]],Table1[[#This Row],[2024 AUV]]))</f>
        <v>4.9059406286480423E-2</v>
      </c>
      <c r="P134" s="6">
        <f>_xlfn.RRI(5,Table1[[#This Row],[2019 U.S. Units]],Table1[[#This Row],[2024 U.S. Units]])</f>
        <v>6.0983358792663145E-2</v>
      </c>
      <c r="Q134" s="5">
        <v>331000</v>
      </c>
      <c r="R134" s="6">
        <f>Table1[[#This Row],[2023 U.S. Sales ($000)]]/SUMIF($E:$E, E134, $Q:$Q)</f>
        <v>3.0232987918249526E-3</v>
      </c>
      <c r="S134" s="8">
        <f>(Table1[[#This Row],[2023 Market share (%)]]-Table1[[#This Row],[2022 Market share (%)]])*10000</f>
        <v>0.93885228512916208</v>
      </c>
      <c r="T134" s="10">
        <v>0.10591379886401604</v>
      </c>
      <c r="U134" s="5">
        <v>340</v>
      </c>
      <c r="V134" s="5">
        <f t="shared" si="16"/>
        <v>973.52941176470586</v>
      </c>
      <c r="W134" s="10">
        <v>5.5900621118012424E-2</v>
      </c>
      <c r="X134" s="10">
        <f t="shared" si="17"/>
        <v>0.11184023306243862</v>
      </c>
      <c r="Y134" s="8">
        <f>(Table1[[#This Row],[2023 Market share (%)]]-Table1[[#This Row],[2019 Market share (%)]])*10000</f>
        <v>5.1949598236399961</v>
      </c>
      <c r="Z134" s="10">
        <f t="shared" si="18"/>
        <v>4.9575288867351963E-2</v>
      </c>
      <c r="AA134" s="10">
        <f t="shared" si="19"/>
        <v>5.9323942603755286E-2</v>
      </c>
      <c r="AB134" s="5">
        <v>299300</v>
      </c>
      <c r="AC134" s="6">
        <f>Table1[[#This Row],[2022 U.S. Sales ($000)]]/SUMIF($E:$E, E134, $AB:$AB)</f>
        <v>2.9294135633120364E-3</v>
      </c>
      <c r="AD134" s="5">
        <v>322</v>
      </c>
      <c r="AE134" s="5">
        <f t="shared" si="20"/>
        <v>929.50310559006209</v>
      </c>
      <c r="AF134" s="5">
        <v>272900</v>
      </c>
      <c r="AG134" s="6">
        <f>Table1[[#This Row],[2021 U.S. Sales ($000)]]/SUMIF($E:$E, E134, $AF:$AF)</f>
        <v>2.8049249425108587E-3</v>
      </c>
      <c r="AH134" s="5">
        <v>308</v>
      </c>
      <c r="AI134" s="12">
        <f t="shared" si="21"/>
        <v>886.03896103896102</v>
      </c>
      <c r="AJ134" s="5">
        <v>241500</v>
      </c>
      <c r="AK134" s="6">
        <f>Table1[[#This Row],[2020 U.S. Sales ($000)]]/SUMIF($E:$E, E134, $AJ:$AJ)</f>
        <v>2.7636842279630943E-3</v>
      </c>
      <c r="AL134" s="5">
        <v>295</v>
      </c>
      <c r="AM134" s="5">
        <f t="shared" si="22"/>
        <v>818.64406779661022</v>
      </c>
      <c r="AN134" s="5">
        <v>216600</v>
      </c>
      <c r="AO134" s="6">
        <f>Table1[[#This Row],[2019 U.S. Sales ($000)]]/SUMIF($E:$E, E134, $AN:$AN)</f>
        <v>2.503802809460953E-3</v>
      </c>
      <c r="AP134" s="5">
        <v>270</v>
      </c>
      <c r="AQ134" s="5">
        <f t="shared" si="23"/>
        <v>802.22222222222217</v>
      </c>
    </row>
    <row r="135" spans="1:43" x14ac:dyDescent="0.25">
      <c r="A135" t="s">
        <v>200</v>
      </c>
      <c r="B135">
        <v>2243</v>
      </c>
      <c r="C135" t="s">
        <v>68</v>
      </c>
      <c r="D135" t="s">
        <v>133</v>
      </c>
      <c r="E135" t="s">
        <v>70</v>
      </c>
      <c r="F135" s="5">
        <v>124</v>
      </c>
      <c r="G135" s="5">
        <v>369000</v>
      </c>
      <c r="H135" s="6">
        <f>Table1[[#This Row],[2024 U.S. Sales ($000)]]/SUMIF($E:$E, E135, $G:$G)</f>
        <v>2.2730072686953307E-2</v>
      </c>
      <c r="I135" s="5">
        <v>63</v>
      </c>
      <c r="J135" s="5">
        <f>Table1[[#This Row],[2024 U.S. Sales ($000)]]/Table1[[#This Row],[2024 U.S. Units]]</f>
        <v>5857.1428571428569</v>
      </c>
      <c r="K135" s="6">
        <f>Table1[[#This Row],[2024 U.S. Units]]/Table1[[#This Row],[2023 U.S. Units]]-1</f>
        <v>-1.5625E-2</v>
      </c>
      <c r="L135" s="8">
        <f>(Table1[[#This Row],[2024 Market share (%)]]-Table1[[#This Row],[2023 Market share (%)]])*10000</f>
        <v>-12.426799939300182</v>
      </c>
      <c r="M135" s="6">
        <f>_xlfn.RRI(5,Table1[[#This Row],[2019 U.S. Sales ($000)]],Table1[[#This Row],[2024 U.S. Sales ($000)]])</f>
        <v>3.7340451485243786E-2</v>
      </c>
      <c r="N135" s="9">
        <f>(Table1[[#This Row],[2024 Market share (%)]]-Table1[[#This Row],[2019 Market share (%)]])*10000</f>
        <v>-17.695906409587668</v>
      </c>
      <c r="O135" s="6">
        <f>IF(Table1[[#This Row],[2024 AUV]]=0,"",_xlfn.RRI(5,Table1[[#This Row],[2019 AUV]],Table1[[#This Row],[2024 AUV]]))</f>
        <v>5.3307038693061859E-2</v>
      </c>
      <c r="P135" s="6">
        <f>_xlfn.RRI(5,Table1[[#This Row],[2019 U.S. Units]],Table1[[#This Row],[2024 U.S. Units]])</f>
        <v>-1.5158530818923821E-2</v>
      </c>
      <c r="Q135" s="5">
        <v>382729</v>
      </c>
      <c r="R135" s="6">
        <f>Table1[[#This Row],[2023 U.S. Sales ($000)]]/SUMIF($E:$E, E135, $Q:$Q)</f>
        <v>2.3972752680883325E-2</v>
      </c>
      <c r="S135" s="8">
        <f>(Table1[[#This Row],[2023 Market share (%)]]-Table1[[#This Row],[2022 Market share (%)]])*10000</f>
        <v>-16.150229689159655</v>
      </c>
      <c r="T135" s="10">
        <v>2.2279026037159311E-2</v>
      </c>
      <c r="U135" s="5">
        <v>64</v>
      </c>
      <c r="V135" s="5">
        <f t="shared" si="16"/>
        <v>5980.140625</v>
      </c>
      <c r="W135" s="10">
        <v>-1.5384615384615385E-2</v>
      </c>
      <c r="X135" s="10">
        <f t="shared" si="17"/>
        <v>5.6496087939937656E-2</v>
      </c>
      <c r="Y135" s="8">
        <f>(Table1[[#This Row],[2023 Market share (%)]]-Table1[[#This Row],[2019 Market share (%)]])*10000</f>
        <v>-5.2691064702874852</v>
      </c>
      <c r="Z135" s="10">
        <f t="shared" si="18"/>
        <v>7.2630465603563454E-2</v>
      </c>
      <c r="AA135" s="10">
        <f t="shared" si="19"/>
        <v>-1.504187898909537E-2</v>
      </c>
      <c r="AB135" s="5">
        <v>374388</v>
      </c>
      <c r="AC135" s="6">
        <f>Table1[[#This Row],[2022 U.S. Sales ($000)]]/SUMIF($E:$E, E135, $AB:$AB)</f>
        <v>2.5587775649799291E-2</v>
      </c>
      <c r="AD135" s="5">
        <v>65</v>
      </c>
      <c r="AE135" s="5">
        <f t="shared" si="20"/>
        <v>5759.8153846153846</v>
      </c>
      <c r="AF135" s="5">
        <v>332607</v>
      </c>
      <c r="AG135" s="6">
        <f>Table1[[#This Row],[2021 U.S. Sales ($000)]]/SUMIF($E:$E, E135, $AF:$AF)</f>
        <v>2.5590163612799581E-2</v>
      </c>
      <c r="AH135" s="5">
        <v>64</v>
      </c>
      <c r="AI135" s="12">
        <f t="shared" si="21"/>
        <v>5196.984375</v>
      </c>
      <c r="AJ135" s="5">
        <v>209564</v>
      </c>
      <c r="AK135" s="6">
        <f>Table1[[#This Row],[2020 U.S. Sales ($000)]]/SUMIF($E:$E, E135, $AJ:$AJ)</f>
        <v>2.2314215553593024E-2</v>
      </c>
      <c r="AL135" s="5">
        <v>63</v>
      </c>
      <c r="AM135" s="5">
        <f t="shared" si="22"/>
        <v>3326.4126984126983</v>
      </c>
      <c r="AN135" s="5">
        <v>307199</v>
      </c>
      <c r="AO135" s="6">
        <f>Table1[[#This Row],[2019 U.S. Sales ($000)]]/SUMIF($E:$E, E135, $AN:$AN)</f>
        <v>2.4499663327912074E-2</v>
      </c>
      <c r="AP135" s="5">
        <v>68</v>
      </c>
      <c r="AQ135" s="5">
        <f t="shared" si="23"/>
        <v>4517.6323529411766</v>
      </c>
    </row>
    <row r="136" spans="1:43" x14ac:dyDescent="0.25">
      <c r="A136" t="s">
        <v>201</v>
      </c>
      <c r="B136">
        <v>2642</v>
      </c>
      <c r="C136" t="s">
        <v>44</v>
      </c>
      <c r="D136" t="s">
        <v>45</v>
      </c>
      <c r="E136" t="s">
        <v>61</v>
      </c>
      <c r="F136" s="5">
        <v>132</v>
      </c>
      <c r="G136" s="5">
        <v>362000</v>
      </c>
      <c r="H136" s="6">
        <f>Table1[[#This Row],[2024 U.S. Sales ($000)]]/SUMIF($E:$E, E136, $G:$G)</f>
        <v>1.231711466485199E-2</v>
      </c>
      <c r="I136" s="5">
        <v>218</v>
      </c>
      <c r="J136" s="5">
        <f>Table1[[#This Row],[2024 U.S. Sales ($000)]]/Table1[[#This Row],[2024 U.S. Units]]</f>
        <v>1660.5504587155963</v>
      </c>
      <c r="K136" s="6">
        <f>Table1[[#This Row],[2024 U.S. Units]]/Table1[[#This Row],[2023 U.S. Units]]-1</f>
        <v>0</v>
      </c>
      <c r="L136" s="8">
        <f>(Table1[[#This Row],[2024 Market share (%)]]-Table1[[#This Row],[2023 Market share (%)]])*10000</f>
        <v>7.3265192431474713</v>
      </c>
      <c r="M136" s="6">
        <f>_xlfn.RRI(5,Table1[[#This Row],[2019 U.S. Sales ($000)]],Table1[[#This Row],[2024 U.S. Sales ($000)]])</f>
        <v>6.0619794052110265E-2</v>
      </c>
      <c r="N136" s="9">
        <f>(Table1[[#This Row],[2024 Market share (%)]]-Table1[[#This Row],[2019 Market share (%)]])*10000</f>
        <v>18.66435266849993</v>
      </c>
      <c r="O136" s="6">
        <f>IF(Table1[[#This Row],[2024 AUV]]=0,"",_xlfn.RRI(5,Table1[[#This Row],[2019 AUV]],Table1[[#This Row],[2024 AUV]]))</f>
        <v>5.4716163077508595E-2</v>
      </c>
      <c r="P136" s="6">
        <f>_xlfn.RRI(5,Table1[[#This Row],[2019 U.S. Units]],Table1[[#This Row],[2024 U.S. Units]])</f>
        <v>5.5973646572131663E-3</v>
      </c>
      <c r="Q136" s="5">
        <v>353868</v>
      </c>
      <c r="R136" s="6">
        <f>Table1[[#This Row],[2023 U.S. Sales ($000)]]/SUMIF($E:$E, E136, $Q:$Q)</f>
        <v>1.1584462740537243E-2</v>
      </c>
      <c r="S136" s="8">
        <f>(Table1[[#This Row],[2023 Market share (%)]]-Table1[[#This Row],[2022 Market share (%)]])*10000</f>
        <v>5.9251752178176087</v>
      </c>
      <c r="T136" s="10">
        <v>8.4546496588840322E-2</v>
      </c>
      <c r="U136" s="5">
        <v>218</v>
      </c>
      <c r="V136" s="5">
        <f t="shared" si="16"/>
        <v>1623.2477064220184</v>
      </c>
      <c r="W136" s="10">
        <v>3.3175355450236969E-2</v>
      </c>
      <c r="X136" s="10">
        <f t="shared" si="17"/>
        <v>7.0244094731814366E-2</v>
      </c>
      <c r="Y136" s="8">
        <f>(Table1[[#This Row],[2023 Market share (%)]]-Table1[[#This Row],[2019 Market share (%)]])*10000</f>
        <v>11.337833425352461</v>
      </c>
      <c r="Z136" s="10">
        <f t="shared" si="18"/>
        <v>6.2802780758033139E-2</v>
      </c>
      <c r="AA136" s="10">
        <f t="shared" si="19"/>
        <v>7.001594377155973E-3</v>
      </c>
      <c r="AB136" s="5">
        <v>326282</v>
      </c>
      <c r="AC136" s="6">
        <f>Table1[[#This Row],[2022 U.S. Sales ($000)]]/SUMIF($E:$E, E136, $AB:$AB)</f>
        <v>1.0991945218755482E-2</v>
      </c>
      <c r="AD136" s="5">
        <v>211</v>
      </c>
      <c r="AE136" s="5">
        <f t="shared" si="20"/>
        <v>1546.3601895734598</v>
      </c>
      <c r="AF136" s="5">
        <v>279273</v>
      </c>
      <c r="AG136" s="6">
        <f>Table1[[#This Row],[2021 U.S. Sales ($000)]]/SUMIF($E:$E, E136, $AF:$AF)</f>
        <v>9.6073902525615311E-3</v>
      </c>
      <c r="AH136" s="5">
        <v>213</v>
      </c>
      <c r="AI136" s="12">
        <f t="shared" si="21"/>
        <v>1311.1408450704225</v>
      </c>
      <c r="AJ136" s="5">
        <v>188529</v>
      </c>
      <c r="AK136" s="6">
        <f>Table1[[#This Row],[2020 U.S. Sales ($000)]]/SUMIF($E:$E, E136, $AJ:$AJ)</f>
        <v>6.9652922078054028E-3</v>
      </c>
      <c r="AL136" s="5">
        <v>210</v>
      </c>
      <c r="AM136" s="5">
        <f t="shared" si="22"/>
        <v>897.75714285714287</v>
      </c>
      <c r="AN136" s="5">
        <v>269718</v>
      </c>
      <c r="AO136" s="6">
        <f>Table1[[#This Row],[2019 U.S. Sales ($000)]]/SUMIF($E:$E, E136, $AN:$AN)</f>
        <v>1.0450679398001997E-2</v>
      </c>
      <c r="AP136" s="5">
        <v>212</v>
      </c>
      <c r="AQ136" s="5">
        <f t="shared" si="23"/>
        <v>1272.2547169811321</v>
      </c>
    </row>
    <row r="137" spans="1:43" x14ac:dyDescent="0.25">
      <c r="A137" t="s">
        <v>202</v>
      </c>
      <c r="B137">
        <v>2634</v>
      </c>
      <c r="C137" t="s">
        <v>44</v>
      </c>
      <c r="D137" t="s">
        <v>45</v>
      </c>
      <c r="E137" t="s">
        <v>61</v>
      </c>
      <c r="F137" s="5">
        <v>148</v>
      </c>
      <c r="G137" s="5">
        <v>361000</v>
      </c>
      <c r="H137" s="6">
        <f>Table1[[#This Row],[2024 U.S. Sales ($000)]]/SUMIF($E:$E, E137, $G:$G)</f>
        <v>1.2283089486219803E-2</v>
      </c>
      <c r="I137" s="5">
        <v>299</v>
      </c>
      <c r="J137" s="5">
        <f>Table1[[#This Row],[2024 U.S. Sales ($000)]]/Table1[[#This Row],[2024 U.S. Units]]</f>
        <v>1207.3578595317726</v>
      </c>
      <c r="K137" s="6">
        <f>Table1[[#This Row],[2024 U.S. Units]]/Table1[[#This Row],[2023 U.S. Units]]-1</f>
        <v>7.1684587813620082E-2</v>
      </c>
      <c r="L137" s="8">
        <f>(Table1[[#This Row],[2024 Market share (%)]]-Table1[[#This Row],[2023 Market share (%)]])*10000</f>
        <v>25.30276611722438</v>
      </c>
      <c r="M137" s="6">
        <f>_xlfn.RRI(5,Table1[[#This Row],[2019 U.S. Sales ($000)]],Table1[[#This Row],[2024 U.S. Sales ($000)]])</f>
        <v>0.14695621518224478</v>
      </c>
      <c r="N137" s="9">
        <f>(Table1[[#This Row],[2024 Market share (%)]]-Table1[[#This Row],[2019 Market share (%)]])*10000</f>
        <v>52.360354686473265</v>
      </c>
      <c r="O137" s="6">
        <f>IF(Table1[[#This Row],[2024 AUV]]=0,"",_xlfn.RRI(5,Table1[[#This Row],[2019 AUV]],Table1[[#This Row],[2024 AUV]]))</f>
        <v>7.374287108870381E-2</v>
      </c>
      <c r="P137" s="6">
        <f>_xlfn.RRI(5,Table1[[#This Row],[2019 U.S. Units]],Table1[[#This Row],[2024 U.S. Units]])</f>
        <v>6.8185173624768947E-2</v>
      </c>
      <c r="Q137" s="5">
        <v>297917</v>
      </c>
      <c r="R137" s="6">
        <f>Table1[[#This Row],[2023 U.S. Sales ($000)]]/SUMIF($E:$E, E137, $Q:$Q)</f>
        <v>9.7528128744973647E-3</v>
      </c>
      <c r="S137" s="8">
        <f>(Table1[[#This Row],[2023 Market share (%)]]-Table1[[#This Row],[2022 Market share (%)]])*10000</f>
        <v>3.6255283445388828</v>
      </c>
      <c r="T137" s="10">
        <v>6.8806549519620577E-2</v>
      </c>
      <c r="U137" s="5">
        <v>279</v>
      </c>
      <c r="V137" s="5">
        <f t="shared" si="16"/>
        <v>1067.8028673835126</v>
      </c>
      <c r="W137" s="10">
        <v>5.2830188679245285E-2</v>
      </c>
      <c r="X137" s="10">
        <f t="shared" si="17"/>
        <v>0.13130724896760704</v>
      </c>
      <c r="Y137" s="8">
        <f>(Table1[[#This Row],[2023 Market share (%)]]-Table1[[#This Row],[2019 Market share (%)]])*10000</f>
        <v>27.057588569248885</v>
      </c>
      <c r="Z137" s="10">
        <f t="shared" si="18"/>
        <v>5.9959164314489888E-2</v>
      </c>
      <c r="AA137" s="10">
        <f t="shared" si="19"/>
        <v>6.7312106970894847E-2</v>
      </c>
      <c r="AB137" s="5">
        <v>278738</v>
      </c>
      <c r="AC137" s="6">
        <f>Table1[[#This Row],[2022 U.S. Sales ($000)]]/SUMIF($E:$E, E137, $AB:$AB)</f>
        <v>9.3902600400434764E-3</v>
      </c>
      <c r="AD137" s="5">
        <v>265</v>
      </c>
      <c r="AE137" s="5">
        <f t="shared" si="20"/>
        <v>1051.8415094339623</v>
      </c>
      <c r="AF137" s="5">
        <v>254583</v>
      </c>
      <c r="AG137" s="6">
        <f>Table1[[#This Row],[2021 U.S. Sales ($000)]]/SUMIF($E:$E, E137, $AF:$AF)</f>
        <v>8.7580189730760653E-3</v>
      </c>
      <c r="AH137" s="5">
        <v>246</v>
      </c>
      <c r="AI137" s="12">
        <f t="shared" si="21"/>
        <v>1034.8902439024391</v>
      </c>
      <c r="AJ137" s="5">
        <v>206113</v>
      </c>
      <c r="AK137" s="6">
        <f>Table1[[#This Row],[2020 U.S. Sales ($000)]]/SUMIF($E:$E, E137, $AJ:$AJ)</f>
        <v>7.6149413237613043E-3</v>
      </c>
      <c r="AL137" s="5">
        <v>228</v>
      </c>
      <c r="AM137" s="5">
        <f t="shared" si="22"/>
        <v>904.00438596491233</v>
      </c>
      <c r="AN137" s="5">
        <v>181875</v>
      </c>
      <c r="AO137" s="6">
        <f>Table1[[#This Row],[2019 U.S. Sales ($000)]]/SUMIF($E:$E, E137, $AN:$AN)</f>
        <v>7.0470540175724761E-3</v>
      </c>
      <c r="AP137" s="5">
        <v>215</v>
      </c>
      <c r="AQ137" s="5">
        <f t="shared" si="23"/>
        <v>845.93023255813955</v>
      </c>
    </row>
    <row r="138" spans="1:43" x14ac:dyDescent="0.25">
      <c r="A138" t="s">
        <v>203</v>
      </c>
      <c r="B138">
        <v>31415</v>
      </c>
      <c r="C138" t="s">
        <v>44</v>
      </c>
      <c r="D138" t="s">
        <v>56</v>
      </c>
      <c r="E138" t="s">
        <v>61</v>
      </c>
      <c r="F138" s="5">
        <v>120</v>
      </c>
      <c r="G138" s="5">
        <v>357000</v>
      </c>
      <c r="H138" s="6">
        <f>Table1[[#This Row],[2024 U.S. Sales ($000)]]/SUMIF($E:$E, E138, $G:$G)</f>
        <v>1.2146988771691051E-2</v>
      </c>
      <c r="I138" s="5">
        <v>265</v>
      </c>
      <c r="J138" s="5">
        <f>Table1[[#This Row],[2024 U.S. Sales ($000)]]/Table1[[#This Row],[2024 U.S. Units]]</f>
        <v>1347.1698113207547</v>
      </c>
      <c r="K138" s="6">
        <f>Table1[[#This Row],[2024 U.S. Units]]/Table1[[#This Row],[2023 U.S. Units]]-1</f>
        <v>-0.10169491525423724</v>
      </c>
      <c r="L138" s="8">
        <f>(Table1[[#This Row],[2024 Market share (%)]]-Table1[[#This Row],[2023 Market share (%)]])*10000</f>
        <v>-8.7893537081341027</v>
      </c>
      <c r="M138" s="6">
        <f>_xlfn.RRI(5,Table1[[#This Row],[2019 U.S. Sales ($000)]],Table1[[#This Row],[2024 U.S. Sales ($000)]])</f>
        <v>-5.3511079983845633E-3</v>
      </c>
      <c r="N138" s="9">
        <f>(Table1[[#This Row],[2024 Market share (%)]]-Table1[[#This Row],[2019 Market share (%)]])*10000</f>
        <v>-20.616932221066126</v>
      </c>
      <c r="O138" s="6">
        <f>IF(Table1[[#This Row],[2024 AUV]]=0,"",_xlfn.RRI(5,Table1[[#This Row],[2019 AUV]],Table1[[#This Row],[2024 AUV]]))</f>
        <v>2.8322872936888066E-2</v>
      </c>
      <c r="P138" s="6">
        <f>_xlfn.RRI(5,Table1[[#This Row],[2019 U.S. Units]],Table1[[#This Row],[2024 U.S. Units]])</f>
        <v>-3.2746505812031534E-2</v>
      </c>
      <c r="Q138" s="5">
        <v>397900</v>
      </c>
      <c r="R138" s="6">
        <f>Table1[[#This Row],[2023 U.S. Sales ($000)]]/SUMIF($E:$E, E138, $Q:$Q)</f>
        <v>1.3025924142504461E-2</v>
      </c>
      <c r="S138" s="8">
        <f>(Table1[[#This Row],[2023 Market share (%)]]-Table1[[#This Row],[2022 Market share (%)]])*10000</f>
        <v>-1.5300993776090794</v>
      </c>
      <c r="T138" s="10">
        <v>1.712678936605317E-2</v>
      </c>
      <c r="U138" s="5">
        <v>295</v>
      </c>
      <c r="V138" s="5">
        <f t="shared" si="16"/>
        <v>1348.8135593220338</v>
      </c>
      <c r="W138" s="10">
        <v>-2.3178807947019868E-2</v>
      </c>
      <c r="X138" s="10">
        <f t="shared" si="17"/>
        <v>2.0619084064792403E-2</v>
      </c>
      <c r="Y138" s="8">
        <f>(Table1[[#This Row],[2023 Market share (%)]]-Table1[[#This Row],[2019 Market share (%)]])*10000</f>
        <v>-11.827578512932021</v>
      </c>
      <c r="Z138" s="10">
        <f t="shared" si="18"/>
        <v>3.5843786142333522E-2</v>
      </c>
      <c r="AA138" s="10">
        <f t="shared" si="19"/>
        <v>-1.4697874603506134E-2</v>
      </c>
      <c r="AB138" s="5">
        <v>391200</v>
      </c>
      <c r="AC138" s="6">
        <f>Table1[[#This Row],[2022 U.S. Sales ($000)]]/SUMIF($E:$E, E138, $AB:$AB)</f>
        <v>1.3178934080265369E-2</v>
      </c>
      <c r="AD138" s="5">
        <v>302</v>
      </c>
      <c r="AE138" s="5">
        <f t="shared" si="20"/>
        <v>1295.364238410596</v>
      </c>
      <c r="AF138" s="5">
        <v>346800</v>
      </c>
      <c r="AG138" s="6">
        <f>Table1[[#This Row],[2021 U.S. Sales ($000)]]/SUMIF($E:$E, E138, $AF:$AF)</f>
        <v>1.1930415541739941E-2</v>
      </c>
      <c r="AH138" s="5">
        <v>313</v>
      </c>
      <c r="AI138" s="12">
        <f t="shared" si="21"/>
        <v>1107.9872204472842</v>
      </c>
      <c r="AJ138" s="5">
        <v>288400</v>
      </c>
      <c r="AK138" s="6">
        <f>Table1[[#This Row],[2020 U.S. Sales ($000)]]/SUMIF($E:$E, E138, $AJ:$AJ)</f>
        <v>1.0655073080168453E-2</v>
      </c>
      <c r="AL138" s="5">
        <v>309</v>
      </c>
      <c r="AM138" s="5">
        <f t="shared" si="22"/>
        <v>933.33333333333337</v>
      </c>
      <c r="AN138" s="5">
        <v>366707</v>
      </c>
      <c r="AO138" s="6">
        <f>Table1[[#This Row],[2019 U.S. Sales ($000)]]/SUMIF($E:$E, E138, $AN:$AN)</f>
        <v>1.4208681993797663E-2</v>
      </c>
      <c r="AP138" s="5">
        <v>313</v>
      </c>
      <c r="AQ138" s="5">
        <f t="shared" si="23"/>
        <v>1171.5878594249202</v>
      </c>
    </row>
    <row r="139" spans="1:43" x14ac:dyDescent="0.25">
      <c r="A139" t="s">
        <v>204</v>
      </c>
      <c r="B139">
        <v>855</v>
      </c>
      <c r="C139" t="s">
        <v>44</v>
      </c>
      <c r="D139" t="s">
        <v>45</v>
      </c>
      <c r="E139" t="s">
        <v>59</v>
      </c>
      <c r="F139" s="5">
        <v>115</v>
      </c>
      <c r="G139" s="5">
        <v>355000</v>
      </c>
      <c r="H139" s="6">
        <f>Table1[[#This Row],[2024 U.S. Sales ($000)]]/SUMIF($E:$E, E139, $G:$G)</f>
        <v>1.0165220628239269E-2</v>
      </c>
      <c r="I139" s="5">
        <v>314</v>
      </c>
      <c r="J139" s="5">
        <f>Table1[[#This Row],[2024 U.S. Sales ($000)]]/Table1[[#This Row],[2024 U.S. Units]]</f>
        <v>1130.5732484076434</v>
      </c>
      <c r="K139" s="6">
        <f>Table1[[#This Row],[2024 U.S. Units]]/Table1[[#This Row],[2023 U.S. Units]]-1</f>
        <v>-3.6809815950920255E-2</v>
      </c>
      <c r="L139" s="8">
        <f>(Table1[[#This Row],[2024 Market share (%)]]-Table1[[#This Row],[2023 Market share (%)]])*10000</f>
        <v>-10.788757578387864</v>
      </c>
      <c r="M139" s="6">
        <f>_xlfn.RRI(5,Table1[[#This Row],[2019 U.S. Sales ($000)]],Table1[[#This Row],[2024 U.S. Sales ($000)]])</f>
        <v>3.9135415433334986E-2</v>
      </c>
      <c r="N139" s="9">
        <f>(Table1[[#This Row],[2024 Market share (%)]]-Table1[[#This Row],[2019 Market share (%)]])*10000</f>
        <v>11.953510630005812</v>
      </c>
      <c r="O139" s="6">
        <f>IF(Table1[[#This Row],[2024 AUV]]=0,"",_xlfn.RRI(5,Table1[[#This Row],[2019 AUV]],Table1[[#This Row],[2024 AUV]]))</f>
        <v>4.695915030673925E-2</v>
      </c>
      <c r="P139" s="6">
        <f>_xlfn.RRI(5,Table1[[#This Row],[2019 U.S. Units]],Table1[[#This Row],[2024 U.S. Units]])</f>
        <v>-7.4728177036439414E-3</v>
      </c>
      <c r="Q139" s="5">
        <v>424700</v>
      </c>
      <c r="R139" s="6">
        <f>Table1[[#This Row],[2023 U.S. Sales ($000)]]/SUMIF($E:$E, E139, $Q:$Q)</f>
        <v>1.1244096386078055E-2</v>
      </c>
      <c r="S139" s="8">
        <f>(Table1[[#This Row],[2023 Market share (%)]]-Table1[[#This Row],[2022 Market share (%)]])*10000</f>
        <v>0.11918036860602763</v>
      </c>
      <c r="T139" s="10">
        <v>5.6730529982582732E-2</v>
      </c>
      <c r="U139" s="5">
        <v>326</v>
      </c>
      <c r="V139" s="5">
        <f t="shared" si="16"/>
        <v>1302.7607361963189</v>
      </c>
      <c r="W139" s="10">
        <v>1.8749999999999999E-2</v>
      </c>
      <c r="X139" s="10">
        <f t="shared" si="17"/>
        <v>9.7245125465998505E-2</v>
      </c>
      <c r="Y139" s="8">
        <f>(Table1[[#This Row],[2023 Market share (%)]]-Table1[[#This Row],[2019 Market share (%)]])*10000</f>
        <v>22.742268208393678</v>
      </c>
      <c r="Z139" s="10">
        <f t="shared" si="18"/>
        <v>9.7245125465998505E-2</v>
      </c>
      <c r="AA139" s="10">
        <f t="shared" si="19"/>
        <v>0</v>
      </c>
      <c r="AB139" s="5">
        <v>401900</v>
      </c>
      <c r="AC139" s="6">
        <f>Table1[[#This Row],[2022 U.S. Sales ($000)]]/SUMIF($E:$E, E139, $AB:$AB)</f>
        <v>1.1232178349217452E-2</v>
      </c>
      <c r="AD139" s="5">
        <v>320</v>
      </c>
      <c r="AE139" s="5">
        <f t="shared" si="20"/>
        <v>1255.9375</v>
      </c>
      <c r="AF139" s="5">
        <v>381900</v>
      </c>
      <c r="AG139" s="6">
        <f>Table1[[#This Row],[2021 U.S. Sales ($000)]]/SUMIF($E:$E, E139, $AF:$AF)</f>
        <v>1.1510586152562919E-2</v>
      </c>
      <c r="AH139" s="5">
        <v>323</v>
      </c>
      <c r="AI139" s="12">
        <f t="shared" si="21"/>
        <v>1182.3529411764705</v>
      </c>
      <c r="AJ139" s="5">
        <v>342800</v>
      </c>
      <c r="AK139" s="6">
        <f>Table1[[#This Row],[2020 U.S. Sales ($000)]]/SUMIF($E:$E, E139, $AJ:$AJ)</f>
        <v>1.2036746769320313E-2</v>
      </c>
      <c r="AL139" s="5">
        <v>327</v>
      </c>
      <c r="AM139" s="5">
        <f t="shared" si="22"/>
        <v>1048.3180428134556</v>
      </c>
      <c r="AN139" s="5">
        <v>293000</v>
      </c>
      <c r="AO139" s="6">
        <f>Table1[[#This Row],[2019 U.S. Sales ($000)]]/SUMIF($E:$E, E139, $AN:$AN)</f>
        <v>8.9698695652386876E-3</v>
      </c>
      <c r="AP139" s="5">
        <v>326</v>
      </c>
      <c r="AQ139" s="5">
        <f t="shared" si="23"/>
        <v>898.77300613496936</v>
      </c>
    </row>
    <row r="140" spans="1:43" x14ac:dyDescent="0.25">
      <c r="A140" t="s">
        <v>205</v>
      </c>
      <c r="B140">
        <v>35689</v>
      </c>
      <c r="C140" t="s">
        <v>68</v>
      </c>
      <c r="D140" t="s">
        <v>69</v>
      </c>
      <c r="E140" t="s">
        <v>87</v>
      </c>
      <c r="F140" s="5">
        <v>136</v>
      </c>
      <c r="G140" s="5">
        <v>350000</v>
      </c>
      <c r="H140" s="6">
        <f>Table1[[#This Row],[2024 U.S. Sales ($000)]]/SUMIF($E:$E, E140, $G:$G)</f>
        <v>4.3854153614835231E-2</v>
      </c>
      <c r="I140" s="5">
        <v>78</v>
      </c>
      <c r="J140" s="5">
        <f>Table1[[#This Row],[2024 U.S. Sales ($000)]]/Table1[[#This Row],[2024 U.S. Units]]</f>
        <v>4487.1794871794873</v>
      </c>
      <c r="K140" s="6">
        <f>Table1[[#This Row],[2024 U.S. Units]]/Table1[[#This Row],[2023 U.S. Units]]-1</f>
        <v>-2.5000000000000022E-2</v>
      </c>
      <c r="L140" s="8">
        <f>(Table1[[#This Row],[2024 Market share (%)]]-Table1[[#This Row],[2023 Market share (%)]])*10000</f>
        <v>93.753026774094224</v>
      </c>
      <c r="M140" s="6">
        <f>_xlfn.RRI(5,Table1[[#This Row],[2019 U.S. Sales ($000)]],Table1[[#This Row],[2024 U.S. Sales ($000)]])</f>
        <v>0.2118451110938615</v>
      </c>
      <c r="N140" s="9">
        <f>(Table1[[#This Row],[2024 Market share (%)]]-Table1[[#This Row],[2019 Market share (%)]])*10000</f>
        <v>282.07662706942443</v>
      </c>
      <c r="O140" s="6">
        <f>IF(Table1[[#This Row],[2024 AUV]]=0,"",_xlfn.RRI(5,Table1[[#This Row],[2019 AUV]],Table1[[#This Row],[2024 AUV]]))</f>
        <v>2.030727334627902E-2</v>
      </c>
      <c r="P140" s="6">
        <f>_xlfn.RRI(5,Table1[[#This Row],[2019 U.S. Units]],Table1[[#This Row],[2024 U.S. Units]])</f>
        <v>0.18772564182493778</v>
      </c>
      <c r="Q140" s="5">
        <v>336200</v>
      </c>
      <c r="R140" s="6">
        <f>Table1[[#This Row],[2023 U.S. Sales ($000)]]/SUMIF($E:$E, E140, $Q:$Q)</f>
        <v>3.4478850937425809E-2</v>
      </c>
      <c r="S140" s="8">
        <f>(Table1[[#This Row],[2023 Market share (%)]]-Table1[[#This Row],[2022 Market share (%)]])*10000</f>
        <v>24.069750749915048</v>
      </c>
      <c r="T140" s="10">
        <v>0.11958440174497985</v>
      </c>
      <c r="U140" s="5">
        <v>80</v>
      </c>
      <c r="V140" s="5">
        <f t="shared" si="16"/>
        <v>4202.5</v>
      </c>
      <c r="W140" s="10">
        <v>9.5890410958904104E-2</v>
      </c>
      <c r="X140" s="10">
        <f t="shared" si="17"/>
        <v>0.25875529401629715</v>
      </c>
      <c r="Y140" s="8">
        <f>(Table1[[#This Row],[2023 Market share (%)]]-Table1[[#This Row],[2019 Market share (%)]])*10000</f>
        <v>188.32360029533021</v>
      </c>
      <c r="Z140" s="10">
        <f t="shared" si="18"/>
        <v>8.7819394578951826E-3</v>
      </c>
      <c r="AA140" s="10">
        <f t="shared" si="19"/>
        <v>0.24779721442349989</v>
      </c>
      <c r="AB140" s="5">
        <v>300290</v>
      </c>
      <c r="AC140" s="6">
        <f>Table1[[#This Row],[2022 U.S. Sales ($000)]]/SUMIF($E:$E, E140, $AB:$AB)</f>
        <v>3.2071875862434304E-2</v>
      </c>
      <c r="AD140" s="5">
        <v>73</v>
      </c>
      <c r="AE140" s="5">
        <f t="shared" si="20"/>
        <v>4113.5616438356165</v>
      </c>
      <c r="AF140" s="5">
        <v>252824</v>
      </c>
      <c r="AG140" s="6">
        <f>Table1[[#This Row],[2021 U.S. Sales ($000)]]/SUMIF($E:$E, E140, $AF:$AF)</f>
        <v>2.964440178515524E-2</v>
      </c>
      <c r="AH140" s="5">
        <v>59</v>
      </c>
      <c r="AI140" s="12">
        <f t="shared" si="21"/>
        <v>4285.1525423728817</v>
      </c>
      <c r="AJ140" s="5">
        <v>151776</v>
      </c>
      <c r="AK140" s="6">
        <f>Table1[[#This Row],[2020 U.S. Sales ($000)]]/SUMIF($E:$E, E140, $AJ:$AJ)</f>
        <v>2.2907672763315002E-2</v>
      </c>
      <c r="AL140" s="5">
        <v>47</v>
      </c>
      <c r="AM140" s="5">
        <f t="shared" si="22"/>
        <v>3229.2765957446809</v>
      </c>
      <c r="AN140" s="5">
        <v>133916</v>
      </c>
      <c r="AO140" s="6">
        <f>Table1[[#This Row],[2019 U.S. Sales ($000)]]/SUMIF($E:$E, E140, $AN:$AN)</f>
        <v>1.5646490907892788E-2</v>
      </c>
      <c r="AP140" s="5">
        <v>33</v>
      </c>
      <c r="AQ140" s="5">
        <f t="shared" si="23"/>
        <v>4058.060606060606</v>
      </c>
    </row>
    <row r="141" spans="1:43" x14ac:dyDescent="0.25">
      <c r="A141" t="s">
        <v>206</v>
      </c>
      <c r="B141">
        <v>912</v>
      </c>
      <c r="C141" t="s">
        <v>44</v>
      </c>
      <c r="D141" t="s">
        <v>56</v>
      </c>
      <c r="E141" t="s">
        <v>59</v>
      </c>
      <c r="F141" s="5">
        <v>131</v>
      </c>
      <c r="G141" s="5">
        <v>344000</v>
      </c>
      <c r="H141" s="6">
        <f>Table1[[#This Row],[2024 U.S. Sales ($000)]]/SUMIF($E:$E, E141, $G:$G)</f>
        <v>9.8502419608853756E-3</v>
      </c>
      <c r="I141" s="5">
        <v>308</v>
      </c>
      <c r="J141" s="5">
        <f>Table1[[#This Row],[2024 U.S. Sales ($000)]]/Table1[[#This Row],[2024 U.S. Units]]</f>
        <v>1116.8831168831168</v>
      </c>
      <c r="K141" s="6">
        <f>Table1[[#This Row],[2024 U.S. Units]]/Table1[[#This Row],[2023 U.S. Units]]-1</f>
        <v>-2.8391167192429068E-2</v>
      </c>
      <c r="L141" s="8">
        <f>(Table1[[#This Row],[2024 Market share (%)]]-Table1[[#This Row],[2023 Market share (%)]])*10000</f>
        <v>3.0327076091604503</v>
      </c>
      <c r="M141" s="6">
        <f>_xlfn.RRI(5,Table1[[#This Row],[2019 U.S. Sales ($000)]],Table1[[#This Row],[2024 U.S. Sales ($000)]])</f>
        <v>1.4309460355488524E-2</v>
      </c>
      <c r="N141" s="9">
        <f>(Table1[[#This Row],[2024 Market share (%)]]-Table1[[#This Row],[2019 Market share (%)]])*10000</f>
        <v>0.41245689902004101</v>
      </c>
      <c r="O141" s="6">
        <f>IF(Table1[[#This Row],[2024 AUV]]=0,"",_xlfn.RRI(5,Table1[[#This Row],[2019 AUV]],Table1[[#This Row],[2024 AUV]]))</f>
        <v>4.117026406101032E-2</v>
      </c>
      <c r="P141" s="6">
        <f>_xlfn.RRI(5,Table1[[#This Row],[2019 U.S. Units]],Table1[[#This Row],[2024 U.S. Units]])</f>
        <v>-2.5798665821239797E-2</v>
      </c>
      <c r="Q141" s="5">
        <v>360598</v>
      </c>
      <c r="R141" s="6">
        <f>Table1[[#This Row],[2023 U.S. Sales ($000)]]/SUMIF($E:$E, E141, $Q:$Q)</f>
        <v>9.5469711999693306E-3</v>
      </c>
      <c r="S141" s="8">
        <f>(Table1[[#This Row],[2023 Market share (%)]]-Table1[[#This Row],[2022 Market share (%)]])*10000</f>
        <v>-1.1317729116120354</v>
      </c>
      <c r="T141" s="10">
        <v>4.3243039944915539E-2</v>
      </c>
      <c r="U141" s="5">
        <v>317</v>
      </c>
      <c r="V141" s="5">
        <f t="shared" si="16"/>
        <v>1137.5331230283912</v>
      </c>
      <c r="W141" s="10">
        <v>-2.7607361963190184E-2</v>
      </c>
      <c r="X141" s="10">
        <f t="shared" si="17"/>
        <v>2.9981236089920094E-2</v>
      </c>
      <c r="Y141" s="8">
        <f>(Table1[[#This Row],[2023 Market share (%)]]-Table1[[#This Row],[2019 Market share (%)]])*10000</f>
        <v>-2.6202507101404091</v>
      </c>
      <c r="Z141" s="10">
        <f t="shared" si="18"/>
        <v>5.6552973192436129E-2</v>
      </c>
      <c r="AA141" s="10">
        <f t="shared" si="19"/>
        <v>-2.514946034577703E-2</v>
      </c>
      <c r="AB141" s="5">
        <v>345651</v>
      </c>
      <c r="AC141" s="6">
        <f>Table1[[#This Row],[2022 U.S. Sales ($000)]]/SUMIF($E:$E, E141, $AB:$AB)</f>
        <v>9.6601484911305342E-3</v>
      </c>
      <c r="AD141" s="5">
        <v>326</v>
      </c>
      <c r="AE141" s="5">
        <f t="shared" si="20"/>
        <v>1060.2791411042945</v>
      </c>
      <c r="AF141" s="5">
        <v>331696</v>
      </c>
      <c r="AG141" s="6">
        <f>Table1[[#This Row],[2021 U.S. Sales ($000)]]/SUMIF($E:$E, E141, $AF:$AF)</f>
        <v>9.9974217974875875E-3</v>
      </c>
      <c r="AH141" s="5">
        <v>324</v>
      </c>
      <c r="AI141" s="12">
        <f t="shared" si="21"/>
        <v>1023.7530864197531</v>
      </c>
      <c r="AJ141" s="5">
        <v>270540</v>
      </c>
      <c r="AK141" s="6">
        <f>Table1[[#This Row],[2020 U.S. Sales ($000)]]/SUMIF($E:$E, E141, $AJ:$AJ)</f>
        <v>9.4994792035353482E-3</v>
      </c>
      <c r="AL141" s="5">
        <v>333</v>
      </c>
      <c r="AM141" s="5">
        <f t="shared" si="22"/>
        <v>812.43243243243239</v>
      </c>
      <c r="AN141" s="5">
        <v>320410</v>
      </c>
      <c r="AO141" s="6">
        <f>Table1[[#This Row],[2019 U.S. Sales ($000)]]/SUMIF($E:$E, E141, $AN:$AN)</f>
        <v>9.8089962709833715E-3</v>
      </c>
      <c r="AP141" s="5">
        <v>351</v>
      </c>
      <c r="AQ141" s="5">
        <f t="shared" si="23"/>
        <v>912.84900284900289</v>
      </c>
    </row>
    <row r="142" spans="1:43" x14ac:dyDescent="0.25">
      <c r="A142" t="s">
        <v>207</v>
      </c>
      <c r="B142">
        <v>957</v>
      </c>
      <c r="C142" t="s">
        <v>44</v>
      </c>
      <c r="D142" t="s">
        <v>56</v>
      </c>
      <c r="E142" t="s">
        <v>50</v>
      </c>
      <c r="F142" s="5">
        <v>129</v>
      </c>
      <c r="G142" s="5">
        <v>342000</v>
      </c>
      <c r="H142" s="6">
        <f>Table1[[#This Row],[2024 U.S. Sales ($000)]]/SUMIF($E:$E, E142, $G:$G)</f>
        <v>6.5110611887446218E-3</v>
      </c>
      <c r="I142" s="5">
        <v>123</v>
      </c>
      <c r="J142" s="5">
        <f>Table1[[#This Row],[2024 U.S. Sales ($000)]]/Table1[[#This Row],[2024 U.S. Units]]</f>
        <v>2780.4878048780488</v>
      </c>
      <c r="K142" s="6">
        <f>Table1[[#This Row],[2024 U.S. Units]]/Table1[[#This Row],[2023 U.S. Units]]-1</f>
        <v>-5.3846153846153877E-2</v>
      </c>
      <c r="L142" s="8">
        <f>(Table1[[#This Row],[2024 Market share (%)]]-Table1[[#This Row],[2023 Market share (%)]])*10000</f>
        <v>-10.242498381081971</v>
      </c>
      <c r="M142" s="6">
        <f>_xlfn.RRI(5,Table1[[#This Row],[2019 U.S. Sales ($000)]],Table1[[#This Row],[2024 U.S. Sales ($000)]])</f>
        <v>-1.1134556530875139E-2</v>
      </c>
      <c r="N142" s="9">
        <f>(Table1[[#This Row],[2024 Market share (%)]]-Table1[[#This Row],[2019 Market share (%)]])*10000</f>
        <v>-52.706044583121255</v>
      </c>
      <c r="O142" s="6">
        <f>IF(Table1[[#This Row],[2024 AUV]]=0,"",_xlfn.RRI(5,Table1[[#This Row],[2019 AUV]],Table1[[#This Row],[2024 AUV]]))</f>
        <v>5.9902771628047136E-2</v>
      </c>
      <c r="P142" s="6">
        <f>_xlfn.RRI(5,Table1[[#This Row],[2019 U.S. Units]],Table1[[#This Row],[2024 U.S. Units]])</f>
        <v>-6.7022494949991129E-2</v>
      </c>
      <c r="Q142" s="5">
        <v>369100</v>
      </c>
      <c r="R142" s="6">
        <f>Table1[[#This Row],[2023 U.S. Sales ($000)]]/SUMIF($E:$E, E142, $Q:$Q)</f>
        <v>7.5353110268528188E-3</v>
      </c>
      <c r="S142" s="8">
        <f>(Table1[[#This Row],[2023 Market share (%)]]-Table1[[#This Row],[2022 Market share (%)]])*10000</f>
        <v>-13.10166495177679</v>
      </c>
      <c r="T142" s="10">
        <v>-4.364363741890015E-2</v>
      </c>
      <c r="U142" s="5">
        <v>130</v>
      </c>
      <c r="V142" s="5">
        <f t="shared" si="16"/>
        <v>2839.2307692307691</v>
      </c>
      <c r="W142" s="10">
        <v>-5.1094890510948905E-2</v>
      </c>
      <c r="X142" s="10">
        <f t="shared" si="17"/>
        <v>5.0808198913585567E-3</v>
      </c>
      <c r="Y142" s="8">
        <f>(Table1[[#This Row],[2023 Market share (%)]]-Table1[[#This Row],[2019 Market share (%)]])*10000</f>
        <v>-42.463546202039282</v>
      </c>
      <c r="Z142" s="10">
        <f t="shared" si="18"/>
        <v>8.1066623664317161E-2</v>
      </c>
      <c r="AA142" s="10">
        <f t="shared" si="19"/>
        <v>-7.028780845661653E-2</v>
      </c>
      <c r="AB142" s="5">
        <v>385944</v>
      </c>
      <c r="AC142" s="6">
        <f>Table1[[#This Row],[2022 U.S. Sales ($000)]]/SUMIF($E:$E, E142, $AB:$AB)</f>
        <v>8.8454775220304978E-3</v>
      </c>
      <c r="AD142" s="5">
        <v>169</v>
      </c>
      <c r="AE142" s="5">
        <f t="shared" si="20"/>
        <v>2283.6923076923076</v>
      </c>
      <c r="AF142" s="5">
        <v>355492</v>
      </c>
      <c r="AG142" s="6">
        <f>Table1[[#This Row],[2021 U.S. Sales ($000)]]/SUMIF($E:$E, E142, $AF:$AF)</f>
        <v>9.0421773523995386E-3</v>
      </c>
      <c r="AH142" s="5">
        <v>138</v>
      </c>
      <c r="AI142" s="12">
        <f t="shared" si="21"/>
        <v>2576.0289855072465</v>
      </c>
      <c r="AJ142" s="5">
        <v>314112</v>
      </c>
      <c r="AK142" s="6">
        <f>Table1[[#This Row],[2020 U.S. Sales ($000)]]/SUMIF($E:$E, E142, $AJ:$AJ)</f>
        <v>9.2879451955880481E-3</v>
      </c>
      <c r="AL142" s="5">
        <v>138</v>
      </c>
      <c r="AM142" s="5">
        <f t="shared" si="22"/>
        <v>2276.1739130434785</v>
      </c>
      <c r="AN142" s="5">
        <v>361693</v>
      </c>
      <c r="AO142" s="6">
        <f>Table1[[#This Row],[2019 U.S. Sales ($000)]]/SUMIF($E:$E, E142, $AN:$AN)</f>
        <v>1.1781665647056747E-2</v>
      </c>
      <c r="AP142" s="5">
        <v>174</v>
      </c>
      <c r="AQ142" s="5">
        <f t="shared" si="23"/>
        <v>2078.6954022988507</v>
      </c>
    </row>
    <row r="143" spans="1:43" x14ac:dyDescent="0.25">
      <c r="A143" t="s">
        <v>208</v>
      </c>
      <c r="B143">
        <v>2581</v>
      </c>
      <c r="C143" t="s">
        <v>44</v>
      </c>
      <c r="D143" t="s">
        <v>56</v>
      </c>
      <c r="E143" t="s">
        <v>50</v>
      </c>
      <c r="F143" s="5">
        <v>158</v>
      </c>
      <c r="G143" s="5">
        <v>334000</v>
      </c>
      <c r="H143" s="6">
        <f>Table1[[#This Row],[2024 U.S. Sales ($000)]]/SUMIF($E:$E, E143, $G:$G)</f>
        <v>6.3587556638617067E-3</v>
      </c>
      <c r="I143" s="5">
        <v>120</v>
      </c>
      <c r="J143" s="5">
        <f>Table1[[#This Row],[2024 U.S. Sales ($000)]]/Table1[[#This Row],[2024 U.S. Units]]</f>
        <v>2783.3333333333335</v>
      </c>
      <c r="K143" s="6">
        <f>Table1[[#This Row],[2024 U.S. Units]]/Table1[[#This Row],[2023 U.S. Units]]-1</f>
        <v>0.30434782608695654</v>
      </c>
      <c r="L143" s="8">
        <f>(Table1[[#This Row],[2024 Market share (%)]]-Table1[[#This Row],[2023 Market share (%)]])*10000</f>
        <v>7.4806229193843512</v>
      </c>
      <c r="M143" s="6">
        <f>_xlfn.RRI(5,Table1[[#This Row],[2019 U.S. Sales ($000)]],Table1[[#This Row],[2024 U.S. Sales ($000)]])</f>
        <v>0.18416167005591455</v>
      </c>
      <c r="N143" s="9">
        <f>(Table1[[#This Row],[2024 Market share (%)]]-Table1[[#This Row],[2019 Market share (%)]])*10000</f>
        <v>16.861615244303405</v>
      </c>
      <c r="O143" s="6">
        <f>IF(Table1[[#This Row],[2024 AUV]]=0,"",_xlfn.RRI(5,Table1[[#This Row],[2019 AUV]],Table1[[#This Row],[2024 AUV]]))</f>
        <v>8.6409790414585741E-2</v>
      </c>
      <c r="P143" s="6">
        <f>_xlfn.RRI(5,Table1[[#This Row],[2019 U.S. Units]],Table1[[#This Row],[2024 U.S. Units]])</f>
        <v>8.9976987048345336E-2</v>
      </c>
      <c r="Q143" s="5">
        <v>274827</v>
      </c>
      <c r="R143" s="6">
        <f>Table1[[#This Row],[2023 U.S. Sales ($000)]]/SUMIF($E:$E, E143, $Q:$Q)</f>
        <v>5.6106933719232716E-3</v>
      </c>
      <c r="S143" s="8">
        <f>(Table1[[#This Row],[2023 Market share (%)]]-Table1[[#This Row],[2022 Market share (%)]])*10000</f>
        <v>3.3435677072783143</v>
      </c>
      <c r="T143" s="10">
        <v>0.19377888591583556</v>
      </c>
      <c r="U143" s="5">
        <v>92</v>
      </c>
      <c r="V143" s="5">
        <f t="shared" si="16"/>
        <v>2987.25</v>
      </c>
      <c r="W143" s="10">
        <v>8.2352941176470587E-2</v>
      </c>
      <c r="X143" s="10">
        <f t="shared" si="17"/>
        <v>0.17650013619668758</v>
      </c>
      <c r="Y143" s="8">
        <f>(Table1[[#This Row],[2023 Market share (%)]]-Table1[[#This Row],[2019 Market share (%)]])*10000</f>
        <v>9.3809923249190543</v>
      </c>
      <c r="Z143" s="10">
        <f t="shared" si="18"/>
        <v>0.12893431916556941</v>
      </c>
      <c r="AA143" s="10">
        <f t="shared" si="19"/>
        <v>4.2133378553214307E-2</v>
      </c>
      <c r="AB143" s="5">
        <v>230216</v>
      </c>
      <c r="AC143" s="6">
        <f>Table1[[#This Row],[2022 U.S. Sales ($000)]]/SUMIF($E:$E, E143, $AB:$AB)</f>
        <v>5.2763366011954402E-3</v>
      </c>
      <c r="AD143" s="5">
        <v>85</v>
      </c>
      <c r="AE143" s="5">
        <f t="shared" si="20"/>
        <v>2708.4235294117648</v>
      </c>
      <c r="AF143" s="5">
        <v>187121</v>
      </c>
      <c r="AG143" s="6">
        <f>Table1[[#This Row],[2021 U.S. Sales ($000)]]/SUMIF($E:$E, E143, $AF:$AF)</f>
        <v>4.7595480864783286E-3</v>
      </c>
      <c r="AH143" s="5">
        <v>77</v>
      </c>
      <c r="AI143" s="12">
        <f t="shared" si="21"/>
        <v>2430.1428571428573</v>
      </c>
      <c r="AJ143" s="5">
        <v>148358</v>
      </c>
      <c r="AK143" s="6">
        <f>Table1[[#This Row],[2020 U.S. Sales ($000)]]/SUMIF($E:$E, E143, $AJ:$AJ)</f>
        <v>4.3867823366412354E-3</v>
      </c>
      <c r="AL143" s="5">
        <v>79</v>
      </c>
      <c r="AM143" s="5">
        <f t="shared" si="22"/>
        <v>1877.9493670886077</v>
      </c>
      <c r="AN143" s="5">
        <v>143447</v>
      </c>
      <c r="AO143" s="6">
        <f>Table1[[#This Row],[2019 U.S. Sales ($000)]]/SUMIF($E:$E, E143, $AN:$AN)</f>
        <v>4.6725941394313662E-3</v>
      </c>
      <c r="AP143" s="5">
        <v>78</v>
      </c>
      <c r="AQ143" s="5">
        <f t="shared" si="23"/>
        <v>1839.0641025641025</v>
      </c>
    </row>
    <row r="144" spans="1:43" x14ac:dyDescent="0.25">
      <c r="A144" t="s">
        <v>209</v>
      </c>
      <c r="B144">
        <v>2310</v>
      </c>
      <c r="C144" t="s">
        <v>44</v>
      </c>
      <c r="D144" t="s">
        <v>45</v>
      </c>
      <c r="E144" t="s">
        <v>50</v>
      </c>
      <c r="F144" s="5">
        <v>156</v>
      </c>
      <c r="G144" s="5">
        <v>333000</v>
      </c>
      <c r="H144" s="6">
        <f>Table1[[#This Row],[2024 U.S. Sales ($000)]]/SUMIF($E:$E, E144, $G:$G)</f>
        <v>6.3397174732513425E-3</v>
      </c>
      <c r="I144" s="5">
        <v>75</v>
      </c>
      <c r="J144" s="5">
        <f>Table1[[#This Row],[2024 U.S. Sales ($000)]]/Table1[[#This Row],[2024 U.S. Units]]</f>
        <v>4440</v>
      </c>
      <c r="K144" s="6">
        <f>Table1[[#This Row],[2024 U.S. Units]]/Table1[[#This Row],[2023 U.S. Units]]-1</f>
        <v>7.1428571428571397E-2</v>
      </c>
      <c r="L144" s="8">
        <f>(Table1[[#This Row],[2024 Market share (%)]]-Table1[[#This Row],[2023 Market share (%)]])*10000</f>
        <v>5.0041284996340565</v>
      </c>
      <c r="M144" s="6">
        <f>_xlfn.RRI(5,Table1[[#This Row],[2019 U.S. Sales ($000)]],Table1[[#This Row],[2024 U.S. Sales ($000)]])</f>
        <v>0.21346183574983613</v>
      </c>
      <c r="N144" s="9">
        <f>(Table1[[#This Row],[2024 Market share (%)]]-Table1[[#This Row],[2019 Market share (%)]])*10000</f>
        <v>22.17031901178515</v>
      </c>
      <c r="O144" s="6">
        <f>IF(Table1[[#This Row],[2024 AUV]]=0,"",_xlfn.RRI(5,Table1[[#This Row],[2019 AUV]],Table1[[#This Row],[2024 AUV]]))</f>
        <v>7.010370471653804E-2</v>
      </c>
      <c r="P144" s="6">
        <f>_xlfn.RRI(5,Table1[[#This Row],[2019 U.S. Units]],Table1[[#This Row],[2024 U.S. Units]])</f>
        <v>0.13396657763302722</v>
      </c>
      <c r="Q144" s="5">
        <v>286025</v>
      </c>
      <c r="R144" s="6">
        <f>Table1[[#This Row],[2023 U.S. Sales ($000)]]/SUMIF($E:$E, E144, $Q:$Q)</f>
        <v>5.8393046232879369E-3</v>
      </c>
      <c r="S144" s="8">
        <f>(Table1[[#This Row],[2023 Market share (%)]]-Table1[[#This Row],[2022 Market share (%)]])*10000</f>
        <v>3.431512224692495</v>
      </c>
      <c r="T144" s="10">
        <v>0.19272998703123762</v>
      </c>
      <c r="U144" s="5">
        <v>70</v>
      </c>
      <c r="V144" s="5">
        <f t="shared" si="16"/>
        <v>4086.0714285714284</v>
      </c>
      <c r="W144" s="10">
        <v>0.14754098360655737</v>
      </c>
      <c r="X144" s="10">
        <f t="shared" si="17"/>
        <v>0.22609068424100509</v>
      </c>
      <c r="Y144" s="8">
        <f>(Table1[[#This Row],[2023 Market share (%)]]-Table1[[#This Row],[2019 Market share (%)]])*10000</f>
        <v>17.166190512151093</v>
      </c>
      <c r="Z144" s="10">
        <f t="shared" si="18"/>
        <v>6.6014422673761786E-2</v>
      </c>
      <c r="AA144" s="10">
        <f t="shared" si="19"/>
        <v>0.15016331689560292</v>
      </c>
      <c r="AB144" s="5">
        <v>239807</v>
      </c>
      <c r="AC144" s="6">
        <f>Table1[[#This Row],[2022 U.S. Sales ($000)]]/SUMIF($E:$E, E144, $AB:$AB)</f>
        <v>5.4961534008186874E-3</v>
      </c>
      <c r="AD144" s="5">
        <v>61</v>
      </c>
      <c r="AE144" s="5">
        <f t="shared" si="20"/>
        <v>3931.2622950819673</v>
      </c>
      <c r="AF144" s="5">
        <v>193322</v>
      </c>
      <c r="AG144" s="6">
        <f>Table1[[#This Row],[2021 U.S. Sales ($000)]]/SUMIF($E:$E, E144, $AF:$AF)</f>
        <v>4.917274678812979E-3</v>
      </c>
      <c r="AH144" s="5">
        <v>54</v>
      </c>
      <c r="AI144" s="12">
        <f t="shared" si="21"/>
        <v>3580.037037037037</v>
      </c>
      <c r="AJ144" s="5">
        <v>140380</v>
      </c>
      <c r="AK144" s="6">
        <f>Table1[[#This Row],[2020 U.S. Sales ($000)]]/SUMIF($E:$E, E144, $AJ:$AJ)</f>
        <v>4.1508816809184314E-3</v>
      </c>
      <c r="AL144" s="5">
        <v>46</v>
      </c>
      <c r="AM144" s="5">
        <f t="shared" si="22"/>
        <v>3051.7391304347825</v>
      </c>
      <c r="AN144" s="5">
        <v>126565</v>
      </c>
      <c r="AO144" s="6">
        <f>Table1[[#This Row],[2019 U.S. Sales ($000)]]/SUMIF($E:$E, E144, $AN:$AN)</f>
        <v>4.1226855720728275E-3</v>
      </c>
      <c r="AP144" s="5">
        <v>40</v>
      </c>
      <c r="AQ144" s="5">
        <f t="shared" si="23"/>
        <v>3164.125</v>
      </c>
    </row>
    <row r="145" spans="1:43" x14ac:dyDescent="0.25">
      <c r="A145" t="s">
        <v>210</v>
      </c>
      <c r="B145">
        <v>29820</v>
      </c>
      <c r="C145" t="s">
        <v>68</v>
      </c>
      <c r="D145" t="s">
        <v>133</v>
      </c>
      <c r="E145" t="s">
        <v>70</v>
      </c>
      <c r="F145" s="5">
        <v>150</v>
      </c>
      <c r="G145" s="5">
        <v>327000</v>
      </c>
      <c r="H145" s="6">
        <f>Table1[[#This Row],[2024 U.S. Sales ($000)]]/SUMIF($E:$E, E145, $G:$G)</f>
        <v>2.0142909942096835E-2</v>
      </c>
      <c r="I145" s="5">
        <v>23</v>
      </c>
      <c r="J145" s="5">
        <f>Table1[[#This Row],[2024 U.S. Sales ($000)]]/Table1[[#This Row],[2024 U.S. Units]]</f>
        <v>14217.391304347826</v>
      </c>
      <c r="K145" s="6">
        <f>Table1[[#This Row],[2024 U.S. Units]]/Table1[[#This Row],[2023 U.S. Units]]-1</f>
        <v>4.5454545454545414E-2</v>
      </c>
      <c r="L145" s="8">
        <f>(Table1[[#This Row],[2024 Market share (%)]]-Table1[[#This Row],[2023 Market share (%)]])*10000</f>
        <v>15.587009576245766</v>
      </c>
      <c r="M145" s="6">
        <f>_xlfn.RRI(5,Table1[[#This Row],[2019 U.S. Sales ($000)]],Table1[[#This Row],[2024 U.S. Sales ($000)]])</f>
        <v>6.1702958222046522E-2</v>
      </c>
      <c r="N145" s="9">
        <f>(Table1[[#This Row],[2024 Market share (%)]]-Table1[[#This Row],[2019 Market share (%)]])*10000</f>
        <v>8.1108141828690332</v>
      </c>
      <c r="O145" s="6">
        <f>IF(Table1[[#This Row],[2024 AUV]]=0,"",_xlfn.RRI(5,Table1[[#This Row],[2019 AUV]],Table1[[#This Row],[2024 AUV]]))</f>
        <v>1.0908763081188377E-2</v>
      </c>
      <c r="P145" s="6">
        <f>_xlfn.RRI(5,Table1[[#This Row],[2019 U.S. Units]],Table1[[#This Row],[2024 U.S. Units]])</f>
        <v>5.0246072638682637E-2</v>
      </c>
      <c r="Q145" s="5">
        <v>296700</v>
      </c>
      <c r="R145" s="6">
        <f>Table1[[#This Row],[2023 U.S. Sales ($000)]]/SUMIF($E:$E, E145, $Q:$Q)</f>
        <v>1.8584208984472259E-2</v>
      </c>
      <c r="S145" s="8">
        <f>(Table1[[#This Row],[2023 Market share (%)]]-Table1[[#This Row],[2022 Market share (%)]])*10000</f>
        <v>11.150714691440488</v>
      </c>
      <c r="T145" s="10">
        <v>0.16079812206572769</v>
      </c>
      <c r="U145" s="5">
        <v>22</v>
      </c>
      <c r="V145" s="5">
        <f t="shared" si="16"/>
        <v>13486.363636363636</v>
      </c>
      <c r="W145" s="10">
        <v>4.7619047619047616E-2</v>
      </c>
      <c r="X145" s="10">
        <f t="shared" si="17"/>
        <v>5.1831645038431962E-2</v>
      </c>
      <c r="Y145" s="8">
        <f>(Table1[[#This Row],[2023 Market share (%)]]-Table1[[#This Row],[2019 Market share (%)]])*10000</f>
        <v>-7.4761953933767318</v>
      </c>
      <c r="Z145" s="10">
        <f t="shared" si="18"/>
        <v>3.654611745353975E-4</v>
      </c>
      <c r="AA145" s="10">
        <f t="shared" si="19"/>
        <v>5.1447381843301443E-2</v>
      </c>
      <c r="AB145" s="5">
        <v>255600</v>
      </c>
      <c r="AC145" s="6">
        <f>Table1[[#This Row],[2022 U.S. Sales ($000)]]/SUMIF($E:$E, E145, $AB:$AB)</f>
        <v>1.746913751532821E-2</v>
      </c>
      <c r="AD145" s="5">
        <v>21</v>
      </c>
      <c r="AE145" s="5">
        <f t="shared" si="20"/>
        <v>12171.428571428571</v>
      </c>
      <c r="AF145" s="5">
        <v>190700</v>
      </c>
      <c r="AG145" s="6">
        <f>Table1[[#This Row],[2021 U.S. Sales ($000)]]/SUMIF($E:$E, E145, $AF:$AF)</f>
        <v>1.4672103115571471E-2</v>
      </c>
      <c r="AH145" s="5">
        <v>19</v>
      </c>
      <c r="AI145" s="12">
        <f t="shared" si="21"/>
        <v>10036.842105263158</v>
      </c>
      <c r="AJ145" s="5">
        <v>125500</v>
      </c>
      <c r="AK145" s="6">
        <f>Table1[[#This Row],[2020 U.S. Sales ($000)]]/SUMIF($E:$E, E145, $AJ:$AJ)</f>
        <v>1.3363144681223514E-2</v>
      </c>
      <c r="AL145" s="5">
        <v>18</v>
      </c>
      <c r="AM145" s="5">
        <f t="shared" si="22"/>
        <v>6972.2222222222226</v>
      </c>
      <c r="AN145" s="5">
        <v>242400</v>
      </c>
      <c r="AO145" s="6">
        <f>Table1[[#This Row],[2019 U.S. Sales ($000)]]/SUMIF($E:$E, E145, $AN:$AN)</f>
        <v>1.9331828523809932E-2</v>
      </c>
      <c r="AP145" s="5">
        <v>18</v>
      </c>
      <c r="AQ145" s="5">
        <f t="shared" si="23"/>
        <v>13466.666666666666</v>
      </c>
    </row>
    <row r="146" spans="1:43" x14ac:dyDescent="0.25">
      <c r="A146" t="s">
        <v>211</v>
      </c>
      <c r="B146">
        <v>9224</v>
      </c>
      <c r="C146" t="s">
        <v>68</v>
      </c>
      <c r="D146" t="s">
        <v>69</v>
      </c>
      <c r="E146" t="s">
        <v>79</v>
      </c>
      <c r="F146" s="5">
        <v>145</v>
      </c>
      <c r="G146" s="5">
        <v>326000</v>
      </c>
      <c r="H146" s="6">
        <f>Table1[[#This Row],[2024 U.S. Sales ($000)]]/SUMIF($E:$E, E146, $G:$G)</f>
        <v>1.5672323445988175E-2</v>
      </c>
      <c r="I146" s="5">
        <v>46</v>
      </c>
      <c r="J146" s="5">
        <f>Table1[[#This Row],[2024 U.S. Sales ($000)]]/Table1[[#This Row],[2024 U.S. Units]]</f>
        <v>7086.95652173913</v>
      </c>
      <c r="K146" s="6">
        <f>Table1[[#This Row],[2024 U.S. Units]]/Table1[[#This Row],[2023 U.S. Units]]-1</f>
        <v>2.2222222222222143E-2</v>
      </c>
      <c r="L146" s="8">
        <f>(Table1[[#This Row],[2024 Market share (%)]]-Table1[[#This Row],[2023 Market share (%)]])*10000</f>
        <v>32.856431235730021</v>
      </c>
      <c r="M146" s="6">
        <f>_xlfn.RRI(5,Table1[[#This Row],[2019 U.S. Sales ($000)]],Table1[[#This Row],[2024 U.S. Sales ($000)]])</f>
        <v>0.11401951782545239</v>
      </c>
      <c r="N146" s="9">
        <f>(Table1[[#This Row],[2024 Market share (%)]]-Table1[[#This Row],[2019 Market share (%)]])*10000</f>
        <v>73.524427758471845</v>
      </c>
      <c r="O146" s="6">
        <f>IF(Table1[[#This Row],[2024 AUV]]=0,"",_xlfn.RRI(5,Table1[[#This Row],[2019 AUV]],Table1[[#This Row],[2024 AUV]]))</f>
        <v>3.6027370721213758E-2</v>
      </c>
      <c r="P146" s="6">
        <f>_xlfn.RRI(5,Table1[[#This Row],[2019 U.S. Units]],Table1[[#This Row],[2024 U.S. Units]])</f>
        <v>7.5280006405569644E-2</v>
      </c>
      <c r="Q146" s="5">
        <v>298800</v>
      </c>
      <c r="R146" s="6">
        <f>Table1[[#This Row],[2023 U.S. Sales ($000)]]/SUMIF($E:$E, E146, $Q:$Q)</f>
        <v>1.2386680322415173E-2</v>
      </c>
      <c r="S146" s="8">
        <f>(Table1[[#This Row],[2023 Market share (%)]]-Table1[[#This Row],[2022 Market share (%)]])*10000</f>
        <v>12.584698581468277</v>
      </c>
      <c r="T146" s="10">
        <v>0.14176538020634313</v>
      </c>
      <c r="U146" s="5">
        <v>45</v>
      </c>
      <c r="V146" s="5">
        <f t="shared" si="16"/>
        <v>6640</v>
      </c>
      <c r="W146" s="10">
        <v>4.6511627906976744E-2</v>
      </c>
      <c r="X146" s="10">
        <f t="shared" si="17"/>
        <v>0.11984199031070397</v>
      </c>
      <c r="Y146" s="8">
        <f>(Table1[[#This Row],[2023 Market share (%)]]-Table1[[#This Row],[2019 Market share (%)]])*10000</f>
        <v>40.667996522741817</v>
      </c>
      <c r="Z146" s="10">
        <f t="shared" si="18"/>
        <v>2.8350383079536856E-2</v>
      </c>
      <c r="AA146" s="10">
        <f t="shared" si="19"/>
        <v>8.8969293673215599E-2</v>
      </c>
      <c r="AB146" s="5">
        <v>261700</v>
      </c>
      <c r="AC146" s="6">
        <f>Table1[[#This Row],[2022 U.S. Sales ($000)]]/SUMIF($E:$E, E146, $AB:$AB)</f>
        <v>1.1128210464268345E-2</v>
      </c>
      <c r="AD146" s="5">
        <v>43</v>
      </c>
      <c r="AE146" s="5">
        <f t="shared" si="20"/>
        <v>6086.0465116279074</v>
      </c>
      <c r="AF146" s="5">
        <v>210100</v>
      </c>
      <c r="AG146" s="6">
        <f>Table1[[#This Row],[2021 U.S. Sales ($000)]]/SUMIF($E:$E, E146, $AF:$AF)</f>
        <v>9.6730655768008482E-3</v>
      </c>
      <c r="AH146" s="5">
        <v>40</v>
      </c>
      <c r="AI146" s="12">
        <f t="shared" si="21"/>
        <v>5252.5</v>
      </c>
      <c r="AJ146" s="5">
        <v>150100</v>
      </c>
      <c r="AK146" s="6">
        <f>Table1[[#This Row],[2020 U.S. Sales ($000)]]/SUMIF($E:$E, E146, $AJ:$AJ)</f>
        <v>9.2050328777894819E-3</v>
      </c>
      <c r="AL146" s="5">
        <v>35</v>
      </c>
      <c r="AM146" s="5">
        <f t="shared" si="22"/>
        <v>4288.5714285714284</v>
      </c>
      <c r="AN146" s="5">
        <v>190000</v>
      </c>
      <c r="AO146" s="6">
        <f>Table1[[#This Row],[2019 U.S. Sales ($000)]]/SUMIF($E:$E, E146, $AN:$AN)</f>
        <v>8.3198806701409913E-3</v>
      </c>
      <c r="AP146" s="5">
        <v>32</v>
      </c>
      <c r="AQ146" s="5">
        <f t="shared" si="23"/>
        <v>5937.5</v>
      </c>
    </row>
    <row r="147" spans="1:43" x14ac:dyDescent="0.25">
      <c r="A147" t="s">
        <v>212</v>
      </c>
      <c r="B147">
        <v>2427</v>
      </c>
      <c r="C147" t="s">
        <v>44</v>
      </c>
      <c r="D147" t="s">
        <v>45</v>
      </c>
      <c r="E147" t="s">
        <v>48</v>
      </c>
      <c r="F147" s="5">
        <v>170</v>
      </c>
      <c r="G147" s="5">
        <v>320000</v>
      </c>
      <c r="H147" s="6">
        <f>Table1[[#This Row],[2024 U.S. Sales ($000)]]/SUMIF($E:$E, E147, $G:$G)</f>
        <v>6.3327442298013563E-3</v>
      </c>
      <c r="I147" s="5">
        <v>420</v>
      </c>
      <c r="J147" s="5">
        <f>Table1[[#This Row],[2024 U.S. Sales ($000)]]/Table1[[#This Row],[2024 U.S. Units]]</f>
        <v>761.90476190476193</v>
      </c>
      <c r="K147" s="6">
        <f>Table1[[#This Row],[2024 U.S. Units]]/Table1[[#This Row],[2023 U.S. Units]]-1</f>
        <v>9.6605744125326298E-2</v>
      </c>
      <c r="L147" s="8">
        <f>(Table1[[#This Row],[2024 Market share (%)]]-Table1[[#This Row],[2023 Market share (%)]])*10000</f>
        <v>11.780838150353897</v>
      </c>
      <c r="M147" s="6">
        <f>_xlfn.RRI(5,Table1[[#This Row],[2019 U.S. Sales ($000)]],Table1[[#This Row],[2024 U.S. Sales ($000)]])</f>
        <v>0.14068437847203219</v>
      </c>
      <c r="N147" s="9">
        <f>(Table1[[#This Row],[2024 Market share (%)]]-Table1[[#This Row],[2019 Market share (%)]])*10000</f>
        <v>15.965155792023474</v>
      </c>
      <c r="O147" s="6">
        <f>IF(Table1[[#This Row],[2024 AUV]]=0,"",_xlfn.RRI(5,Table1[[#This Row],[2019 AUV]],Table1[[#This Row],[2024 AUV]]))</f>
        <v>1.9049349492512802E-2</v>
      </c>
      <c r="P147" s="6">
        <f>_xlfn.RRI(5,Table1[[#This Row],[2019 U.S. Units]],Table1[[#This Row],[2024 U.S. Units]])</f>
        <v>0.11936127434858168</v>
      </c>
      <c r="Q147" s="5">
        <v>252700</v>
      </c>
      <c r="R147" s="6">
        <f>Table1[[#This Row],[2023 U.S. Sales ($000)]]/SUMIF($E:$E, E147, $Q:$Q)</f>
        <v>5.1546604147659665E-3</v>
      </c>
      <c r="S147" s="8">
        <f>(Table1[[#This Row],[2023 Market share (%)]]-Table1[[#This Row],[2022 Market share (%)]])*10000</f>
        <v>3.2980428320334396</v>
      </c>
      <c r="T147" s="10">
        <v>0.1902967498822421</v>
      </c>
      <c r="U147" s="5">
        <v>383</v>
      </c>
      <c r="V147" s="5">
        <f t="shared" si="16"/>
        <v>659.79112271540475</v>
      </c>
      <c r="W147" s="10">
        <v>0.1467065868263473</v>
      </c>
      <c r="X147" s="10">
        <f t="shared" si="17"/>
        <v>0.11127279713246008</v>
      </c>
      <c r="Y147" s="8">
        <f>(Table1[[#This Row],[2023 Market share (%)]]-Table1[[#This Row],[2019 Market share (%)]])*10000</f>
        <v>4.1843176416695753</v>
      </c>
      <c r="Z147" s="10">
        <f t="shared" si="18"/>
        <v>-1.2310435739917747E-2</v>
      </c>
      <c r="AA147" s="10">
        <f t="shared" si="19"/>
        <v>0.12512355839758116</v>
      </c>
      <c r="AB147" s="5">
        <v>212300</v>
      </c>
      <c r="AC147" s="6">
        <f>Table1[[#This Row],[2022 U.S. Sales ($000)]]/SUMIF($E:$E, E147, $AB:$AB)</f>
        <v>4.8248561315626225E-3</v>
      </c>
      <c r="AD147" s="5">
        <v>334</v>
      </c>
      <c r="AE147" s="5">
        <f t="shared" si="20"/>
        <v>635.6287425149701</v>
      </c>
      <c r="AF147" s="5">
        <v>174800</v>
      </c>
      <c r="AG147" s="6">
        <f>Table1[[#This Row],[2021 U.S. Sales ($000)]]/SUMIF($E:$E, E147, $AF:$AF)</f>
        <v>4.5039834873864884E-3</v>
      </c>
      <c r="AH147" s="5">
        <v>281</v>
      </c>
      <c r="AI147" s="12">
        <f t="shared" si="21"/>
        <v>622.06405693950182</v>
      </c>
      <c r="AJ147" s="5">
        <v>150000</v>
      </c>
      <c r="AK147" s="6">
        <f>Table1[[#This Row],[2020 U.S. Sales ($000)]]/SUMIF($E:$E, E147, $AJ:$AJ)</f>
        <v>4.8373762780549688E-3</v>
      </c>
      <c r="AL147" s="5">
        <v>245</v>
      </c>
      <c r="AM147" s="5">
        <f t="shared" si="22"/>
        <v>612.24489795918362</v>
      </c>
      <c r="AN147" s="5">
        <v>165700</v>
      </c>
      <c r="AO147" s="6">
        <f>Table1[[#This Row],[2019 U.S. Sales ($000)]]/SUMIF($E:$E, E147, $AN:$AN)</f>
        <v>4.736228650599009E-3</v>
      </c>
      <c r="AP147" s="5">
        <v>239</v>
      </c>
      <c r="AQ147" s="5">
        <f t="shared" si="23"/>
        <v>693.30543933054389</v>
      </c>
    </row>
    <row r="148" spans="1:43" x14ac:dyDescent="0.25">
      <c r="A148" t="s">
        <v>213</v>
      </c>
      <c r="B148">
        <v>9037</v>
      </c>
      <c r="C148" t="s">
        <v>44</v>
      </c>
      <c r="D148" t="s">
        <v>45</v>
      </c>
      <c r="E148" t="s">
        <v>112</v>
      </c>
      <c r="F148" s="5">
        <v>147</v>
      </c>
      <c r="G148" s="5">
        <v>320000</v>
      </c>
      <c r="H148" s="6">
        <f>Table1[[#This Row],[2024 U.S. Sales ($000)]]/SUMIF($E:$E, E148, $G:$G)</f>
        <v>3.8976857490864797E-2</v>
      </c>
      <c r="I148" s="5">
        <v>366</v>
      </c>
      <c r="J148" s="5">
        <f>Table1[[#This Row],[2024 U.S. Sales ($000)]]/Table1[[#This Row],[2024 U.S. Units]]</f>
        <v>874.31693989071039</v>
      </c>
      <c r="K148" s="6">
        <f>Table1[[#This Row],[2024 U.S. Units]]/Table1[[#This Row],[2023 U.S. Units]]-1</f>
        <v>4.871060171919761E-2</v>
      </c>
      <c r="L148" s="8">
        <f>(Table1[[#This Row],[2024 Market share (%)]]-Table1[[#This Row],[2023 Market share (%)]])*10000</f>
        <v>29.178768893637837</v>
      </c>
      <c r="M148" s="6">
        <f>_xlfn.RRI(5,Table1[[#This Row],[2019 U.S. Sales ($000)]],Table1[[#This Row],[2024 U.S. Sales ($000)]])</f>
        <v>5.1622623432097337E-2</v>
      </c>
      <c r="N148" s="9">
        <f>(Table1[[#This Row],[2024 Market share (%)]]-Table1[[#This Row],[2019 Market share (%)]])*10000</f>
        <v>-122.50846978814185</v>
      </c>
      <c r="O148" s="6">
        <f>IF(Table1[[#This Row],[2024 AUV]]=0,"",_xlfn.RRI(5,Table1[[#This Row],[2019 AUV]],Table1[[#This Row],[2024 AUV]]))</f>
        <v>2.0530089684890784E-2</v>
      </c>
      <c r="P148" s="6">
        <f>_xlfn.RRI(5,Table1[[#This Row],[2019 U.S. Units]],Table1[[#This Row],[2024 U.S. Units]])</f>
        <v>3.046704262958766E-2</v>
      </c>
      <c r="Q148" s="5">
        <v>298400</v>
      </c>
      <c r="R148" s="6">
        <f>Table1[[#This Row],[2023 U.S. Sales ($000)]]/SUMIF($E:$E, E148, $Q:$Q)</f>
        <v>3.6058980601501013E-2</v>
      </c>
      <c r="S148" s="8">
        <f>(Table1[[#This Row],[2023 Market share (%)]]-Table1[[#This Row],[2022 Market share (%)]])*10000</f>
        <v>-17.843787831846591</v>
      </c>
      <c r="T148" s="10">
        <v>6.8385248836376658E-2</v>
      </c>
      <c r="U148" s="5">
        <v>349</v>
      </c>
      <c r="V148" s="5">
        <f t="shared" si="16"/>
        <v>855.01432664756442</v>
      </c>
      <c r="W148" s="10">
        <v>3.5608308605341248E-2</v>
      </c>
      <c r="X148" s="10">
        <f t="shared" si="17"/>
        <v>4.6494886773963406E-2</v>
      </c>
      <c r="Y148" s="8">
        <f>(Table1[[#This Row],[2023 Market share (%)]]-Table1[[#This Row],[2019 Market share (%)]])*10000</f>
        <v>-151.68723868177969</v>
      </c>
      <c r="Z148" s="10">
        <f t="shared" si="18"/>
        <v>2.0019307483014837E-2</v>
      </c>
      <c r="AA148" s="10">
        <f t="shared" si="19"/>
        <v>2.5955958967364134E-2</v>
      </c>
      <c r="AB148" s="5">
        <v>279300</v>
      </c>
      <c r="AC148" s="6">
        <f>Table1[[#This Row],[2022 U.S. Sales ($000)]]/SUMIF($E:$E, E148, $AB:$AB)</f>
        <v>3.7843359384685672E-2</v>
      </c>
      <c r="AD148" s="5">
        <v>337</v>
      </c>
      <c r="AE148" s="5">
        <f t="shared" si="20"/>
        <v>828.78338278931756</v>
      </c>
      <c r="AF148" s="5">
        <v>259600</v>
      </c>
      <c r="AG148" s="6">
        <f>Table1[[#This Row],[2021 U.S. Sales ($000)]]/SUMIF($E:$E, E148, $AF:$AF)</f>
        <v>4.1496959660351544E-2</v>
      </c>
      <c r="AH148" s="5">
        <v>340</v>
      </c>
      <c r="AI148" s="12">
        <f t="shared" si="21"/>
        <v>763.52941176470586</v>
      </c>
      <c r="AJ148" s="5">
        <v>225700</v>
      </c>
      <c r="AK148" s="6">
        <f>Table1[[#This Row],[2020 U.S. Sales ($000)]]/SUMIF($E:$E, E148, $AJ:$AJ)</f>
        <v>4.8902118196224677E-2</v>
      </c>
      <c r="AL148" s="5">
        <v>330</v>
      </c>
      <c r="AM148" s="5">
        <f t="shared" si="22"/>
        <v>683.93939393939399</v>
      </c>
      <c r="AN148" s="5">
        <v>248800</v>
      </c>
      <c r="AO148" s="6">
        <f>Table1[[#This Row],[2019 U.S. Sales ($000)]]/SUMIF($E:$E, E148, $AN:$AN)</f>
        <v>5.1227704469678982E-2</v>
      </c>
      <c r="AP148" s="5">
        <v>315</v>
      </c>
      <c r="AQ148" s="5">
        <f t="shared" si="23"/>
        <v>789.84126984126988</v>
      </c>
    </row>
    <row r="149" spans="1:43" x14ac:dyDescent="0.25">
      <c r="A149" t="s">
        <v>214</v>
      </c>
      <c r="B149">
        <v>837</v>
      </c>
      <c r="C149" t="s">
        <v>44</v>
      </c>
      <c r="D149" t="s">
        <v>45</v>
      </c>
      <c r="E149" t="s">
        <v>46</v>
      </c>
      <c r="F149" s="5">
        <v>141</v>
      </c>
      <c r="G149" s="5">
        <v>309000</v>
      </c>
      <c r="H149" s="6">
        <f>Table1[[#This Row],[2024 U.S. Sales ($000)]]/SUMIF($E:$E, E149, $G:$G)</f>
        <v>2.8025261952985092E-3</v>
      </c>
      <c r="I149" s="5">
        <v>277</v>
      </c>
      <c r="J149" s="7">
        <f>Table1[[#This Row],[2024 U.S. Sales ($000)]]/Table1[[#This Row],[2024 U.S. Units]]</f>
        <v>1115.5234657039712</v>
      </c>
      <c r="K149" s="6">
        <f>Table1[[#This Row],[2024 U.S. Units]]/Table1[[#This Row],[2023 U.S. Units]]-1</f>
        <v>-1.4234875444839812E-2</v>
      </c>
      <c r="L149" s="8">
        <f>(Table1[[#This Row],[2024 Market share (%)]]-Table1[[#This Row],[2023 Market share (%)]])*10000</f>
        <v>-6.1275161400797633E-2</v>
      </c>
      <c r="M149" s="6">
        <f>_xlfn.RRI(5,Table1[[#This Row],[2019 U.S. Sales ($000)]],Table1[[#This Row],[2024 U.S. Sales ($000)]])</f>
        <v>7.2758997412982751E-3</v>
      </c>
      <c r="N149" s="9">
        <f>(Table1[[#This Row],[2024 Market share (%)]]-Table1[[#This Row],[2019 Market share (%)]])*10000</f>
        <v>-6.4222559241785282</v>
      </c>
      <c r="O149" s="6">
        <f>IF(Table1[[#This Row],[2024 AUV]]=0,"",_xlfn.RRI(5,Table1[[#This Row],[2019 AUV]],Table1[[#This Row],[2024 AUV]]))</f>
        <v>2.6188647824337608E-2</v>
      </c>
      <c r="P149" s="6">
        <f>_xlfn.RRI(5,Table1[[#This Row],[2019 U.S. Units]],Table1[[#This Row],[2024 U.S. Units]])</f>
        <v>-1.8430088973539926E-2</v>
      </c>
      <c r="Q149" s="5">
        <v>307500</v>
      </c>
      <c r="R149" s="6">
        <f>Table1[[#This Row],[2023 U.S. Sales ($000)]]/SUMIF($E:$E, E149, $Q:$Q)</f>
        <v>2.808653711438589E-3</v>
      </c>
      <c r="S149" s="8">
        <f>(Table1[[#This Row],[2023 Market share (%)]]-Table1[[#This Row],[2022 Market share (%)]])*10000</f>
        <v>-3.2140461648386087</v>
      </c>
      <c r="T149" s="10">
        <v>-3.8461538461538464E-2</v>
      </c>
      <c r="U149" s="5">
        <v>281</v>
      </c>
      <c r="V149" s="5">
        <f t="shared" si="16"/>
        <v>1094.3060498220641</v>
      </c>
      <c r="W149" s="10">
        <v>-4.4217687074829932E-2</v>
      </c>
      <c r="X149" s="10">
        <f t="shared" si="17"/>
        <v>7.8762559765532814E-3</v>
      </c>
      <c r="Y149" s="8">
        <f>(Table1[[#This Row],[2023 Market share (%)]]-Table1[[#This Row],[2019 Market share (%)]])*10000</f>
        <v>-6.3609807627777304</v>
      </c>
      <c r="Z149" s="10">
        <f t="shared" si="18"/>
        <v>2.7895654219308508E-2</v>
      </c>
      <c r="AA149" s="10">
        <f t="shared" si="19"/>
        <v>-1.9476099699983762E-2</v>
      </c>
      <c r="AB149" s="5">
        <v>319800</v>
      </c>
      <c r="AC149" s="6">
        <f>Table1[[#This Row],[2022 U.S. Sales ($000)]]/SUMIF($E:$E, E149, $AB:$AB)</f>
        <v>3.1300583279224498E-3</v>
      </c>
      <c r="AD149" s="5">
        <v>294</v>
      </c>
      <c r="AE149" s="5">
        <f t="shared" si="20"/>
        <v>1087.7551020408164</v>
      </c>
      <c r="AF149" s="5">
        <v>334900</v>
      </c>
      <c r="AG149" s="6">
        <f>Table1[[#This Row],[2021 U.S. Sales ($000)]]/SUMIF($E:$E, E149, $AF:$AF)</f>
        <v>3.4421742881893974E-3</v>
      </c>
      <c r="AH149" s="5">
        <v>293</v>
      </c>
      <c r="AI149" s="12">
        <f t="shared" si="21"/>
        <v>1143.0034129692833</v>
      </c>
      <c r="AJ149" s="5">
        <v>317400</v>
      </c>
      <c r="AK149" s="6">
        <f>Table1[[#This Row],[2020 U.S. Sales ($000)]]/SUMIF($E:$E, E149, $AJ:$AJ)</f>
        <v>3.6322706996086383E-3</v>
      </c>
      <c r="AL149" s="5">
        <v>292</v>
      </c>
      <c r="AM149" s="5">
        <f t="shared" si="22"/>
        <v>1086.986301369863</v>
      </c>
      <c r="AN149" s="5">
        <v>298000</v>
      </c>
      <c r="AO149" s="6">
        <f>Table1[[#This Row],[2019 U.S. Sales ($000)]]/SUMIF($E:$E, E149, $AN:$AN)</f>
        <v>3.444751787716362E-3</v>
      </c>
      <c r="AP149" s="5">
        <v>304</v>
      </c>
      <c r="AQ149" s="5">
        <f t="shared" si="23"/>
        <v>980.26315789473688</v>
      </c>
    </row>
    <row r="150" spans="1:43" x14ac:dyDescent="0.25">
      <c r="A150" t="s">
        <v>215</v>
      </c>
      <c r="B150">
        <v>2621</v>
      </c>
      <c r="C150" t="s">
        <v>44</v>
      </c>
      <c r="D150" t="s">
        <v>45</v>
      </c>
      <c r="E150" t="s">
        <v>50</v>
      </c>
      <c r="F150" s="5">
        <v>152</v>
      </c>
      <c r="G150" s="5">
        <v>306000</v>
      </c>
      <c r="H150" s="6">
        <f>Table1[[#This Row],[2024 U.S. Sales ($000)]]/SUMIF($E:$E, E150, $G:$G)</f>
        <v>5.825686326771504E-3</v>
      </c>
      <c r="I150" s="5">
        <v>228</v>
      </c>
      <c r="J150" s="5">
        <f>Table1[[#This Row],[2024 U.S. Sales ($000)]]/Table1[[#This Row],[2024 U.S. Units]]</f>
        <v>1342.1052631578948</v>
      </c>
      <c r="K150" s="6">
        <f>Table1[[#This Row],[2024 U.S. Units]]/Table1[[#This Row],[2023 U.S. Units]]-1</f>
        <v>3.6363636363636376E-2</v>
      </c>
      <c r="L150" s="8">
        <f>(Table1[[#This Row],[2024 Market share (%)]]-Table1[[#This Row],[2023 Market share (%)]])*10000</f>
        <v>-1.8026891670662373</v>
      </c>
      <c r="M150" s="6">
        <f>_xlfn.RRI(5,Table1[[#This Row],[2019 U.S. Sales ($000)]],Table1[[#This Row],[2024 U.S. Sales ($000)]])</f>
        <v>9.4205930959299522E-2</v>
      </c>
      <c r="N150" s="9">
        <f>(Table1[[#This Row],[2024 Market share (%)]]-Table1[[#This Row],[2019 Market share (%)]])*10000</f>
        <v>-5.2897916142349146</v>
      </c>
      <c r="O150" s="6">
        <f>IF(Table1[[#This Row],[2024 AUV]]=0,"",_xlfn.RRI(5,Table1[[#This Row],[2019 AUV]],Table1[[#This Row],[2024 AUV]]))</f>
        <v>4.827604058970314E-2</v>
      </c>
      <c r="P150" s="6">
        <f>_xlfn.RRI(5,Table1[[#This Row],[2019 U.S. Units]],Table1[[#This Row],[2024 U.S. Units]])</f>
        <v>4.3814690588328764E-2</v>
      </c>
      <c r="Q150" s="5">
        <v>294188</v>
      </c>
      <c r="R150" s="6">
        <f>Table1[[#This Row],[2023 U.S. Sales ($000)]]/SUMIF($E:$E, E150, $Q:$Q)</f>
        <v>6.0059552434781277E-3</v>
      </c>
      <c r="S150" s="8">
        <f>(Table1[[#This Row],[2023 Market share (%)]]-Table1[[#This Row],[2022 Market share (%)]])*10000</f>
        <v>-1.8725874995253329</v>
      </c>
      <c r="T150" s="10">
        <v>8.8694068928765718E-2</v>
      </c>
      <c r="U150" s="5">
        <v>220</v>
      </c>
      <c r="V150" s="5">
        <f t="shared" si="16"/>
        <v>1337.2181818181818</v>
      </c>
      <c r="W150" s="10">
        <v>5.7692307692307696E-2</v>
      </c>
      <c r="X150" s="10">
        <f t="shared" si="17"/>
        <v>0.10815296399507912</v>
      </c>
      <c r="Y150" s="8">
        <f>(Table1[[#This Row],[2023 Market share (%)]]-Table1[[#This Row],[2019 Market share (%)]])*10000</f>
        <v>-3.4871024471686778</v>
      </c>
      <c r="Z150" s="10">
        <f t="shared" si="18"/>
        <v>5.9737976682237015E-2</v>
      </c>
      <c r="AA150" s="10">
        <f t="shared" si="19"/>
        <v>4.5685809490773055E-2</v>
      </c>
      <c r="AB150" s="5">
        <v>270221</v>
      </c>
      <c r="AC150" s="6">
        <f>Table1[[#This Row],[2022 U.S. Sales ($000)]]/SUMIF($E:$E, E150, $AB:$AB)</f>
        <v>6.193213993430661E-3</v>
      </c>
      <c r="AD150" s="5">
        <v>208</v>
      </c>
      <c r="AE150" s="5">
        <f t="shared" si="20"/>
        <v>1299.1394230769231</v>
      </c>
      <c r="AF150" s="5">
        <v>248024</v>
      </c>
      <c r="AG150" s="6">
        <f>Table1[[#This Row],[2021 U.S. Sales ($000)]]/SUMIF($E:$E, E150, $AF:$AF)</f>
        <v>6.308656722659141E-3</v>
      </c>
      <c r="AH150" s="5">
        <v>207</v>
      </c>
      <c r="AI150" s="12">
        <f t="shared" si="21"/>
        <v>1198.1835748792271</v>
      </c>
      <c r="AJ150" s="5">
        <v>218141</v>
      </c>
      <c r="AK150" s="6">
        <f>Table1[[#This Row],[2020 U.S. Sales ($000)]]/SUMIF($E:$E, E150, $AJ:$AJ)</f>
        <v>6.4501886362532236E-3</v>
      </c>
      <c r="AL150" s="5">
        <v>198</v>
      </c>
      <c r="AM150" s="5">
        <f t="shared" si="22"/>
        <v>1101.7222222222222</v>
      </c>
      <c r="AN150" s="5">
        <v>195086</v>
      </c>
      <c r="AO150" s="6">
        <f>Table1[[#This Row],[2019 U.S. Sales ($000)]]/SUMIF($E:$E, E150, $AN:$AN)</f>
        <v>6.3546654881949955E-3</v>
      </c>
      <c r="AP150" s="5">
        <v>184</v>
      </c>
      <c r="AQ150" s="5">
        <f t="shared" si="23"/>
        <v>1060.25</v>
      </c>
    </row>
    <row r="151" spans="1:43" x14ac:dyDescent="0.25">
      <c r="A151" t="s">
        <v>216</v>
      </c>
      <c r="B151">
        <v>5598</v>
      </c>
      <c r="C151" t="s">
        <v>68</v>
      </c>
      <c r="D151" t="s">
        <v>69</v>
      </c>
      <c r="E151" t="s">
        <v>79</v>
      </c>
      <c r="F151" s="5">
        <v>144</v>
      </c>
      <c r="G151" s="5">
        <v>304000</v>
      </c>
      <c r="H151" s="6">
        <f>Table1[[#This Row],[2024 U.S. Sales ($000)]]/SUMIF($E:$E, E151, $G:$G)</f>
        <v>1.4614681986442959E-2</v>
      </c>
      <c r="I151" s="5">
        <v>44</v>
      </c>
      <c r="J151" s="5">
        <f>Table1[[#This Row],[2024 U.S. Sales ($000)]]/Table1[[#This Row],[2024 U.S. Units]]</f>
        <v>6909.090909090909</v>
      </c>
      <c r="K151" s="6">
        <f>Table1[[#This Row],[2024 U.S. Units]]/Table1[[#This Row],[2023 U.S. Units]]-1</f>
        <v>0</v>
      </c>
      <c r="L151" s="8">
        <f>(Table1[[#This Row],[2024 Market share (%)]]-Table1[[#This Row],[2023 Market share (%)]])*10000</f>
        <v>22.114197626590911</v>
      </c>
      <c r="M151" s="6">
        <f>_xlfn.RRI(5,Table1[[#This Row],[2019 U.S. Sales ($000)]],Table1[[#This Row],[2024 U.S. Sales ($000)]])</f>
        <v>1.818868962342246E-2</v>
      </c>
      <c r="N151" s="9">
        <f>(Table1[[#This Row],[2024 Market share (%)]]-Table1[[#This Row],[2019 Market share (%)]])*10000</f>
        <v>24.501406697841848</v>
      </c>
      <c r="O151" s="6">
        <f>IF(Table1[[#This Row],[2024 AUV]]=0,"",_xlfn.RRI(5,Table1[[#This Row],[2019 AUV]],Table1[[#This Row],[2024 AUV]]))</f>
        <v>1.818868962342246E-2</v>
      </c>
      <c r="P151" s="6">
        <f>_xlfn.RRI(5,Table1[[#This Row],[2019 U.S. Units]],Table1[[#This Row],[2024 U.S. Units]])</f>
        <v>0</v>
      </c>
      <c r="Q151" s="5">
        <v>299200</v>
      </c>
      <c r="R151" s="6">
        <f>Table1[[#This Row],[2023 U.S. Sales ($000)]]/SUMIF($E:$E, E151, $Q:$Q)</f>
        <v>1.2403262223783868E-2</v>
      </c>
      <c r="S151" s="8">
        <f>(Table1[[#This Row],[2023 Market share (%)]]-Table1[[#This Row],[2022 Market share (%)]])*10000</f>
        <v>8.7958994324614785</v>
      </c>
      <c r="T151" s="10">
        <v>0.10405904059040591</v>
      </c>
      <c r="U151" s="5">
        <v>44</v>
      </c>
      <c r="V151" s="5">
        <f t="shared" si="16"/>
        <v>6800</v>
      </c>
      <c r="W151" s="10">
        <v>0</v>
      </c>
      <c r="X151" s="10">
        <f t="shared" si="17"/>
        <v>1.872587462722608E-2</v>
      </c>
      <c r="Y151" s="8">
        <f>(Table1[[#This Row],[2023 Market share (%)]]-Table1[[#This Row],[2019 Market share (%)]])*10000</f>
        <v>2.3872090712509335</v>
      </c>
      <c r="Z151" s="10">
        <f t="shared" si="18"/>
        <v>1.872587462722608E-2</v>
      </c>
      <c r="AA151" s="10">
        <f t="shared" si="19"/>
        <v>0</v>
      </c>
      <c r="AB151" s="5">
        <v>271000</v>
      </c>
      <c r="AC151" s="6">
        <f>Table1[[#This Row],[2022 U.S. Sales ($000)]]/SUMIF($E:$E, E151, $AB:$AB)</f>
        <v>1.152367228053772E-2</v>
      </c>
      <c r="AD151" s="5">
        <v>44</v>
      </c>
      <c r="AE151" s="5">
        <f t="shared" si="20"/>
        <v>6159.090909090909</v>
      </c>
      <c r="AF151" s="5">
        <v>254200</v>
      </c>
      <c r="AG151" s="6">
        <f>Table1[[#This Row],[2021 U.S. Sales ($000)]]/SUMIF($E:$E, E151, $AF:$AF)</f>
        <v>1.1703442501774278E-2</v>
      </c>
      <c r="AH151" s="5">
        <v>44</v>
      </c>
      <c r="AI151" s="12">
        <f t="shared" si="21"/>
        <v>5777.272727272727</v>
      </c>
      <c r="AJ151" s="5">
        <v>189000</v>
      </c>
      <c r="AK151" s="6">
        <f>Table1[[#This Row],[2020 U.S. Sales ($000)]]/SUMIF($E:$E, E151, $AJ:$AJ)</f>
        <v>1.159061434978156E-2</v>
      </c>
      <c r="AL151" s="5">
        <v>44</v>
      </c>
      <c r="AM151" s="5">
        <f t="shared" si="22"/>
        <v>4295.454545454545</v>
      </c>
      <c r="AN151" s="5">
        <v>277800</v>
      </c>
      <c r="AO151" s="6">
        <f>Table1[[#This Row],[2019 U.S. Sales ($000)]]/SUMIF($E:$E, E151, $AN:$AN)</f>
        <v>1.2164541316658775E-2</v>
      </c>
      <c r="AP151" s="5">
        <v>44</v>
      </c>
      <c r="AQ151" s="5">
        <f t="shared" si="23"/>
        <v>6313.636363636364</v>
      </c>
    </row>
    <row r="152" spans="1:43" x14ac:dyDescent="0.25">
      <c r="A152" t="s">
        <v>217</v>
      </c>
      <c r="B152">
        <v>2304</v>
      </c>
      <c r="C152" t="s">
        <v>44</v>
      </c>
      <c r="D152" t="s">
        <v>45</v>
      </c>
      <c r="E152" t="s">
        <v>48</v>
      </c>
      <c r="F152" s="5">
        <v>142</v>
      </c>
      <c r="G152" s="5">
        <v>303000</v>
      </c>
      <c r="H152" s="6">
        <f>Table1[[#This Row],[2024 U.S. Sales ($000)]]/SUMIF($E:$E, E152, $G:$G)</f>
        <v>5.9963171925931594E-3</v>
      </c>
      <c r="I152" s="5">
        <v>255</v>
      </c>
      <c r="J152" s="5">
        <f>Table1[[#This Row],[2024 U.S. Sales ($000)]]/Table1[[#This Row],[2024 U.S. Units]]</f>
        <v>1188.2352941176471</v>
      </c>
      <c r="K152" s="6">
        <f>Table1[[#This Row],[2024 U.S. Units]]/Table1[[#This Row],[2023 U.S. Units]]-1</f>
        <v>-1.1627906976744207E-2</v>
      </c>
      <c r="L152" s="8">
        <f>(Table1[[#This Row],[2024 Market share (%)]]-Table1[[#This Row],[2023 Market share (%)]])*10000</f>
        <v>-2.0069837529722649</v>
      </c>
      <c r="M152" s="6">
        <f>_xlfn.RRI(5,Table1[[#This Row],[2019 U.S. Sales ($000)]],Table1[[#This Row],[2024 U.S. Sales ($000)]])</f>
        <v>-4.8398654143856246E-2</v>
      </c>
      <c r="N152" s="9">
        <f>(Table1[[#This Row],[2024 Market share (%)]]-Table1[[#This Row],[2019 Market share (%)]])*10000</f>
        <v>-51.025215824677637</v>
      </c>
      <c r="O152" s="6">
        <f>IF(Table1[[#This Row],[2024 AUV]]=0,"",_xlfn.RRI(5,Table1[[#This Row],[2019 AUV]],Table1[[#This Row],[2024 AUV]]))</f>
        <v>3.6531161624107078E-2</v>
      </c>
      <c r="P152" s="6">
        <f>_xlfn.RRI(5,Table1[[#This Row],[2019 U.S. Units]],Table1[[#This Row],[2024 U.S. Units]])</f>
        <v>-8.1936577415472556E-2</v>
      </c>
      <c r="Q152" s="5">
        <v>303800</v>
      </c>
      <c r="R152" s="6">
        <f>Table1[[#This Row],[2023 U.S. Sales ($000)]]/SUMIF($E:$E, E152, $Q:$Q)</f>
        <v>6.1970155678903859E-3</v>
      </c>
      <c r="S152" s="8">
        <f>(Table1[[#This Row],[2023 Market share (%)]]-Table1[[#This Row],[2022 Market share (%)]])*10000</f>
        <v>-8.459562416774741</v>
      </c>
      <c r="T152" s="10">
        <v>-1.96837689577283E-2</v>
      </c>
      <c r="U152" s="5">
        <v>258</v>
      </c>
      <c r="V152" s="5">
        <f t="shared" si="16"/>
        <v>1177.5193798449613</v>
      </c>
      <c r="W152" s="10">
        <v>-1.1494252873563218E-2</v>
      </c>
      <c r="X152" s="10">
        <f t="shared" si="17"/>
        <v>-5.9508023750233674E-2</v>
      </c>
      <c r="Y152" s="8">
        <f>(Table1[[#This Row],[2023 Market share (%)]]-Table1[[#This Row],[2019 Market share (%)]])*10000</f>
        <v>-49.01823207170537</v>
      </c>
      <c r="Z152" s="10">
        <f t="shared" si="18"/>
        <v>4.3504575326389183E-2</v>
      </c>
      <c r="AA152" s="10">
        <f t="shared" si="19"/>
        <v>-9.8717917977889313E-2</v>
      </c>
      <c r="AB152" s="5">
        <v>309900</v>
      </c>
      <c r="AC152" s="6">
        <f>Table1[[#This Row],[2022 U.S. Sales ($000)]]/SUMIF($E:$E, E152, $AB:$AB)</f>
        <v>7.0429718095678601E-3</v>
      </c>
      <c r="AD152" s="5">
        <v>261</v>
      </c>
      <c r="AE152" s="5">
        <f t="shared" si="20"/>
        <v>1187.3563218390805</v>
      </c>
      <c r="AF152" s="5">
        <v>308100</v>
      </c>
      <c r="AG152" s="6">
        <f>Table1[[#This Row],[2021 U.S. Sales ($000)]]/SUMIF($E:$E, E152, $AF:$AF)</f>
        <v>7.938657393957535E-3</v>
      </c>
      <c r="AH152" s="5">
        <v>279</v>
      </c>
      <c r="AI152" s="12">
        <f t="shared" si="21"/>
        <v>1104.3010752688172</v>
      </c>
      <c r="AJ152" s="5">
        <v>304200</v>
      </c>
      <c r="AK152" s="6">
        <f>Table1[[#This Row],[2020 U.S. Sales ($000)]]/SUMIF($E:$E, E152, $AJ:$AJ)</f>
        <v>9.810199091895476E-3</v>
      </c>
      <c r="AL152" s="5">
        <v>310</v>
      </c>
      <c r="AM152" s="5">
        <f t="shared" si="22"/>
        <v>981.29032258064512</v>
      </c>
      <c r="AN152" s="5">
        <v>388300</v>
      </c>
      <c r="AO152" s="6">
        <f>Table1[[#This Row],[2019 U.S. Sales ($000)]]/SUMIF($E:$E, E152, $AN:$AN)</f>
        <v>1.1098838775060923E-2</v>
      </c>
      <c r="AP152" s="5">
        <v>391</v>
      </c>
      <c r="AQ152" s="5">
        <f t="shared" si="23"/>
        <v>993.09462915601023</v>
      </c>
    </row>
    <row r="153" spans="1:43" x14ac:dyDescent="0.25">
      <c r="A153" t="s">
        <v>218</v>
      </c>
      <c r="B153">
        <v>5296</v>
      </c>
      <c r="C153" t="s">
        <v>68</v>
      </c>
      <c r="D153" t="s">
        <v>69</v>
      </c>
      <c r="E153" t="s">
        <v>73</v>
      </c>
      <c r="F153" s="5">
        <v>166</v>
      </c>
      <c r="G153" s="5">
        <v>300000</v>
      </c>
      <c r="H153" s="6">
        <f>Table1[[#This Row],[2024 U.S. Sales ($000)]]/SUMIF($E:$E, E153, $G:$G)</f>
        <v>3.7611117344805559E-2</v>
      </c>
      <c r="I153" s="5">
        <v>43</v>
      </c>
      <c r="J153" s="5">
        <f>Table1[[#This Row],[2024 U.S. Sales ($000)]]/Table1[[#This Row],[2024 U.S. Units]]</f>
        <v>6976.7441860465115</v>
      </c>
      <c r="K153" s="6">
        <f>Table1[[#This Row],[2024 U.S. Units]]/Table1[[#This Row],[2023 U.S. Units]]-1</f>
        <v>0.16216216216216206</v>
      </c>
      <c r="L153" s="8">
        <f>(Table1[[#This Row],[2024 Market share (%)]]-Table1[[#This Row],[2023 Market share (%)]])*10000</f>
        <v>106.7272825169081</v>
      </c>
      <c r="M153" s="6">
        <f>_xlfn.RRI(5,Table1[[#This Row],[2019 U.S. Sales ($000)]],Table1[[#This Row],[2024 U.S. Sales ($000)]])</f>
        <v>0.21890336913147079</v>
      </c>
      <c r="N153" s="9">
        <f>(Table1[[#This Row],[2024 Market share (%)]]-Table1[[#This Row],[2019 Market share (%)]])*10000</f>
        <v>253.86961184335169</v>
      </c>
      <c r="O153" s="6">
        <f>IF(Table1[[#This Row],[2024 AUV]]=0,"",_xlfn.RRI(5,Table1[[#This Row],[2019 AUV]],Table1[[#This Row],[2024 AUV]]))</f>
        <v>6.6007161988235641E-2</v>
      </c>
      <c r="P153" s="6">
        <f>_xlfn.RRI(5,Table1[[#This Row],[2019 U.S. Units]],Table1[[#This Row],[2024 U.S. Units]])</f>
        <v>0.14342887420949846</v>
      </c>
      <c r="Q153" s="5">
        <v>258878</v>
      </c>
      <c r="R153" s="6">
        <f>Table1[[#This Row],[2023 U.S. Sales ($000)]]/SUMIF($E:$E, E153, $Q:$Q)</f>
        <v>2.6938389093114749E-2</v>
      </c>
      <c r="S153" s="8">
        <f>(Table1[[#This Row],[2023 Market share (%)]]-Table1[[#This Row],[2022 Market share (%)]])*10000</f>
        <v>20.445208450083943</v>
      </c>
      <c r="T153" s="10">
        <v>0.132340719615785</v>
      </c>
      <c r="U153" s="5">
        <v>37</v>
      </c>
      <c r="V153" s="5">
        <f t="shared" si="16"/>
        <v>6996.7027027027025</v>
      </c>
      <c r="W153" s="10">
        <v>0.12121212121212122</v>
      </c>
      <c r="X153" s="10">
        <f t="shared" si="17"/>
        <v>0.23439760189817949</v>
      </c>
      <c r="Y153" s="8">
        <f>(Table1[[#This Row],[2023 Market share (%)]]-Table1[[#This Row],[2019 Market share (%)]])*10000</f>
        <v>147.14232932644359</v>
      </c>
      <c r="Z153" s="10">
        <f t="shared" si="18"/>
        <v>8.395264269974434E-2</v>
      </c>
      <c r="AA153" s="10">
        <f t="shared" si="19"/>
        <v>0.13879292625158413</v>
      </c>
      <c r="AB153" s="5">
        <v>228622</v>
      </c>
      <c r="AC153" s="6">
        <f>Table1[[#This Row],[2022 U.S. Sales ($000)]]/SUMIF($E:$E, E153, $AB:$AB)</f>
        <v>2.4893868248106354E-2</v>
      </c>
      <c r="AD153" s="5">
        <v>33</v>
      </c>
      <c r="AE153" s="5">
        <f t="shared" si="20"/>
        <v>6927.939393939394</v>
      </c>
      <c r="AF153" s="5">
        <v>171901</v>
      </c>
      <c r="AG153" s="6">
        <f>Table1[[#This Row],[2021 U.S. Sales ($000)]]/SUMIF($E:$E, E153, $AF:$AF)</f>
        <v>2.0529311602086691E-2</v>
      </c>
      <c r="AH153" s="5">
        <v>29</v>
      </c>
      <c r="AI153" s="12">
        <f t="shared" si="21"/>
        <v>5927.6206896551721</v>
      </c>
      <c r="AJ153" s="5">
        <v>102585</v>
      </c>
      <c r="AK153" s="6">
        <f>Table1[[#This Row],[2020 U.S. Sales ($000)]]/SUMIF($E:$E, E153, $AJ:$AJ)</f>
        <v>1.4869807109241951E-2</v>
      </c>
      <c r="AL153" s="5">
        <v>23</v>
      </c>
      <c r="AM153" s="5">
        <f t="shared" si="22"/>
        <v>4460.217391304348</v>
      </c>
      <c r="AN153" s="5">
        <v>111500</v>
      </c>
      <c r="AO153" s="6">
        <f>Table1[[#This Row],[2019 U.S. Sales ($000)]]/SUMIF($E:$E, E153, $AN:$AN)</f>
        <v>1.222415616047039E-2</v>
      </c>
      <c r="AP153" s="5">
        <v>22</v>
      </c>
      <c r="AQ153" s="5">
        <f t="shared" si="23"/>
        <v>5068.181818181818</v>
      </c>
    </row>
    <row r="154" spans="1:43" x14ac:dyDescent="0.25">
      <c r="A154" t="s">
        <v>219</v>
      </c>
      <c r="B154">
        <v>35913</v>
      </c>
      <c r="C154" t="s">
        <v>68</v>
      </c>
      <c r="D154" t="s">
        <v>69</v>
      </c>
      <c r="E154" t="s">
        <v>87</v>
      </c>
      <c r="F154" s="5">
        <v>174</v>
      </c>
      <c r="G154" s="5">
        <v>298000</v>
      </c>
      <c r="H154" s="6">
        <f>Table1[[#This Row],[2024 U.S. Sales ($000)]]/SUMIF($E:$E, E154, $G:$G)</f>
        <v>3.7338679363488288E-2</v>
      </c>
      <c r="I154" s="5">
        <v>49</v>
      </c>
      <c r="J154" s="5">
        <f>Table1[[#This Row],[2024 U.S. Sales ($000)]]/Table1[[#This Row],[2024 U.S. Units]]</f>
        <v>6081.6326530612241</v>
      </c>
      <c r="K154" s="6">
        <f>Table1[[#This Row],[2024 U.S. Units]]/Table1[[#This Row],[2023 U.S. Units]]-1</f>
        <v>8.8888888888888795E-2</v>
      </c>
      <c r="L154" s="8">
        <f>(Table1[[#This Row],[2024 Market share (%)]]-Table1[[#This Row],[2023 Market share (%)]])*10000</f>
        <v>119.87699121141553</v>
      </c>
      <c r="M154" s="6">
        <f>_xlfn.RRI(5,Table1[[#This Row],[2019 U.S. Sales ($000)]],Table1[[#This Row],[2024 U.S. Sales ($000)]])</f>
        <v>0.20435467506914673</v>
      </c>
      <c r="N154" s="9">
        <f>(Table1[[#This Row],[2024 Market share (%)]]-Table1[[#This Row],[2019 Market share (%)]])*10000</f>
        <v>235.97350503028966</v>
      </c>
      <c r="O154" s="6">
        <f>IF(Table1[[#This Row],[2024 AUV]]=0,"",_xlfn.RRI(5,Table1[[#This Row],[2019 AUV]],Table1[[#This Row],[2024 AUV]]))</f>
        <v>7.6829124208355637E-2</v>
      </c>
      <c r="P154" s="6">
        <f>_xlfn.RRI(5,Table1[[#This Row],[2019 U.S. Units]],Table1[[#This Row],[2024 U.S. Units]])</f>
        <v>0.11842691472014466</v>
      </c>
      <c r="Q154" s="5">
        <v>247195</v>
      </c>
      <c r="R154" s="6">
        <f>Table1[[#This Row],[2023 U.S. Sales ($000)]]/SUMIF($E:$E, E154, $Q:$Q)</f>
        <v>2.5350980242346735E-2</v>
      </c>
      <c r="S154" s="8">
        <f>(Table1[[#This Row],[2023 Market share (%)]]-Table1[[#This Row],[2022 Market share (%)]])*10000</f>
        <v>27.418510628245478</v>
      </c>
      <c r="T154" s="10">
        <v>0.16772166847749068</v>
      </c>
      <c r="U154" s="5">
        <v>45</v>
      </c>
      <c r="V154" s="5">
        <f t="shared" si="16"/>
        <v>5493.2222222222226</v>
      </c>
      <c r="W154" s="10">
        <v>0.125</v>
      </c>
      <c r="X154" s="10">
        <f t="shared" si="17"/>
        <v>0.20406202127250772</v>
      </c>
      <c r="Y154" s="8">
        <f>(Table1[[#This Row],[2023 Market share (%)]]-Table1[[#This Row],[2019 Market share (%)]])*10000</f>
        <v>116.09651381887413</v>
      </c>
      <c r="Z154" s="10">
        <f t="shared" si="18"/>
        <v>6.9387830097730641E-2</v>
      </c>
      <c r="AA154" s="10">
        <f t="shared" si="19"/>
        <v>0.12593578062550925</v>
      </c>
      <c r="AB154" s="5">
        <v>211690</v>
      </c>
      <c r="AC154" s="6">
        <f>Table1[[#This Row],[2022 U.S. Sales ($000)]]/SUMIF($E:$E, E154, $AB:$AB)</f>
        <v>2.2609129179522187E-2</v>
      </c>
      <c r="AD154" s="5">
        <v>40</v>
      </c>
      <c r="AE154" s="5">
        <f t="shared" si="20"/>
        <v>5292.25</v>
      </c>
      <c r="AF154" s="5">
        <v>174355</v>
      </c>
      <c r="AG154" s="6">
        <f>Table1[[#This Row],[2021 U.S. Sales ($000)]]/SUMIF($E:$E, E154, $AF:$AF)</f>
        <v>2.0443667030229495E-2</v>
      </c>
      <c r="AH154" s="5">
        <v>36</v>
      </c>
      <c r="AI154" s="12">
        <f t="shared" si="21"/>
        <v>4843.1944444444443</v>
      </c>
      <c r="AJ154" s="5">
        <v>106981</v>
      </c>
      <c r="AK154" s="6">
        <f>Table1[[#This Row],[2020 U.S. Sales ($000)]]/SUMIF($E:$E, E154, $AJ:$AJ)</f>
        <v>1.614672767691995E-2</v>
      </c>
      <c r="AL154" s="5">
        <v>31</v>
      </c>
      <c r="AM154" s="5">
        <f t="shared" si="22"/>
        <v>3451</v>
      </c>
      <c r="AN154" s="5">
        <v>117610</v>
      </c>
      <c r="AO154" s="6">
        <f>Table1[[#This Row],[2019 U.S. Sales ($000)]]/SUMIF($E:$E, E154, $AN:$AN)</f>
        <v>1.3741328860459322E-2</v>
      </c>
      <c r="AP154" s="5">
        <v>28</v>
      </c>
      <c r="AQ154" s="5">
        <f t="shared" si="23"/>
        <v>4200.3571428571431</v>
      </c>
    </row>
    <row r="155" spans="1:43" x14ac:dyDescent="0.25">
      <c r="A155" t="s">
        <v>220</v>
      </c>
      <c r="B155">
        <v>62226</v>
      </c>
      <c r="C155" t="s">
        <v>44</v>
      </c>
      <c r="D155" t="s">
        <v>45</v>
      </c>
      <c r="E155" t="s">
        <v>128</v>
      </c>
      <c r="F155" s="5">
        <v>180</v>
      </c>
      <c r="G155" s="5">
        <v>296000</v>
      </c>
      <c r="H155" s="6">
        <f>Table1[[#This Row],[2024 U.S. Sales ($000)]]/SUMIF($E:$E, E155, $G:$G)</f>
        <v>6.7610781178620377E-2</v>
      </c>
      <c r="I155" s="5">
        <v>290</v>
      </c>
      <c r="J155" s="5">
        <f>Table1[[#This Row],[2024 U.S. Sales ($000)]]/Table1[[#This Row],[2024 U.S. Units]]</f>
        <v>1020.6896551724138</v>
      </c>
      <c r="K155" s="6">
        <f>Table1[[#This Row],[2024 U.S. Units]]/Table1[[#This Row],[2023 U.S. Units]]-1</f>
        <v>0.34259259259259256</v>
      </c>
      <c r="L155" s="8">
        <f>(Table1[[#This Row],[2024 Market share (%)]]-Table1[[#This Row],[2023 Market share (%)]])*10000</f>
        <v>243.14746613060336</v>
      </c>
      <c r="M155" s="6">
        <f>_xlfn.RRI(5,Table1[[#This Row],[2019 U.S. Sales ($000)]],Table1[[#This Row],[2024 U.S. Sales ($000)]])</f>
        <v>0.33084995783223836</v>
      </c>
      <c r="N155" s="9">
        <f>(Table1[[#This Row],[2024 Market share (%)]]-Table1[[#This Row],[2019 Market share (%)]])*10000</f>
        <v>477.43096038555996</v>
      </c>
      <c r="O155" s="6">
        <f>IF(Table1[[#This Row],[2024 AUV]]=0,"",_xlfn.RRI(5,Table1[[#This Row],[2019 AUV]],Table1[[#This Row],[2024 AUV]]))</f>
        <v>1.8151051346275926E-2</v>
      </c>
      <c r="P155" s="6">
        <f>_xlfn.RRI(5,Table1[[#This Row],[2019 U.S. Units]],Table1[[#This Row],[2024 U.S. Units]])</f>
        <v>0.30712427794725383</v>
      </c>
      <c r="Q155" s="5">
        <v>225023</v>
      </c>
      <c r="R155" s="6">
        <f>Table1[[#This Row],[2023 U.S. Sales ($000)]]/SUMIF($E:$E, E155, $Q:$Q)</f>
        <v>4.329603456556004E-2</v>
      </c>
      <c r="S155" s="8">
        <f>(Table1[[#This Row],[2023 Market share (%)]]-Table1[[#This Row],[2022 Market share (%)]])*10000</f>
        <v>80.520712347759428</v>
      </c>
      <c r="T155" s="10">
        <v>0.44121715961930136</v>
      </c>
      <c r="U155" s="5">
        <v>216</v>
      </c>
      <c r="V155" s="5">
        <f t="shared" si="16"/>
        <v>1041.773148148148</v>
      </c>
      <c r="W155" s="10">
        <v>0.32515337423312884</v>
      </c>
      <c r="X155" s="10">
        <f t="shared" si="17"/>
        <v>0.33473536857458397</v>
      </c>
      <c r="Y155" s="8">
        <f>(Table1[[#This Row],[2023 Market share (%)]]-Table1[[#This Row],[2019 Market share (%)]])*10000</f>
        <v>234.28349425495659</v>
      </c>
      <c r="Z155" s="10">
        <f t="shared" si="18"/>
        <v>2.7981097858347681E-2</v>
      </c>
      <c r="AA155" s="10">
        <f t="shared" si="19"/>
        <v>0.29840458288125626</v>
      </c>
      <c r="AB155" s="5">
        <v>156134</v>
      </c>
      <c r="AC155" s="6">
        <f>Table1[[#This Row],[2022 U.S. Sales ($000)]]/SUMIF($E:$E, E155, $AB:$AB)</f>
        <v>3.5243963330784098E-2</v>
      </c>
      <c r="AD155" s="5">
        <v>163</v>
      </c>
      <c r="AE155" s="5">
        <f t="shared" si="20"/>
        <v>957.87730061349691</v>
      </c>
      <c r="AF155" s="5">
        <v>108779</v>
      </c>
      <c r="AG155" s="6">
        <f>Table1[[#This Row],[2021 U.S. Sales ($000)]]/SUMIF($E:$E, E155, $AF:$AF)</f>
        <v>2.8832065325716805E-2</v>
      </c>
      <c r="AH155" s="5">
        <v>128</v>
      </c>
      <c r="AI155" s="12">
        <f t="shared" si="21"/>
        <v>849.8359375</v>
      </c>
      <c r="AJ155" s="5">
        <v>69500</v>
      </c>
      <c r="AK155" s="6">
        <f>Table1[[#This Row],[2020 U.S. Sales ($000)]]/SUMIF($E:$E, E155, $AJ:$AJ)</f>
        <v>2.268002884769137E-2</v>
      </c>
      <c r="AL155" s="5">
        <v>96</v>
      </c>
      <c r="AM155" s="5">
        <f t="shared" si="22"/>
        <v>723.95833333333337</v>
      </c>
      <c r="AN155" s="5">
        <v>70900</v>
      </c>
      <c r="AO155" s="6">
        <f>Table1[[#This Row],[2019 U.S. Sales ($000)]]/SUMIF($E:$E, E155, $AN:$AN)</f>
        <v>1.986768514006438E-2</v>
      </c>
      <c r="AP155" s="5">
        <v>76</v>
      </c>
      <c r="AQ155" s="5">
        <f t="shared" si="23"/>
        <v>932.89473684210532</v>
      </c>
    </row>
    <row r="156" spans="1:43" x14ac:dyDescent="0.25">
      <c r="A156" t="s">
        <v>221</v>
      </c>
      <c r="B156">
        <v>1128</v>
      </c>
      <c r="C156" t="s">
        <v>68</v>
      </c>
      <c r="D156" t="s">
        <v>69</v>
      </c>
      <c r="E156" t="s">
        <v>79</v>
      </c>
      <c r="F156" s="5">
        <v>140</v>
      </c>
      <c r="G156" s="5">
        <v>296000</v>
      </c>
      <c r="H156" s="6">
        <f>Table1[[#This Row],[2024 U.S. Sales ($000)]]/SUMIF($E:$E, E156, $G:$G)</f>
        <v>1.4230085092062882E-2</v>
      </c>
      <c r="I156" s="5">
        <v>93</v>
      </c>
      <c r="J156" s="5">
        <f>Table1[[#This Row],[2024 U.S. Sales ($000)]]/Table1[[#This Row],[2024 U.S. Units]]</f>
        <v>3182.7956989247314</v>
      </c>
      <c r="K156" s="6">
        <f>Table1[[#This Row],[2024 U.S. Units]]/Table1[[#This Row],[2023 U.S. Units]]-1</f>
        <v>-3.125E-2</v>
      </c>
      <c r="L156" s="8">
        <f>(Table1[[#This Row],[2024 Market share (%)]]-Table1[[#This Row],[2023 Market share (%)]])*10000</f>
        <v>12.995184047545107</v>
      </c>
      <c r="M156" s="6">
        <f>_xlfn.RRI(5,Table1[[#This Row],[2019 U.S. Sales ($000)]],Table1[[#This Row],[2024 U.S. Sales ($000)]])</f>
        <v>-1.2871441179652887E-2</v>
      </c>
      <c r="N156" s="9">
        <f>(Table1[[#This Row],[2024 Market share (%)]]-Table1[[#This Row],[2019 Market share (%)]])*10000</f>
        <v>4.0121733061085001</v>
      </c>
      <c r="O156" s="6">
        <f>IF(Table1[[#This Row],[2024 AUV]]=0,"",_xlfn.RRI(5,Table1[[#This Row],[2019 AUV]],Table1[[#This Row],[2024 AUV]]))</f>
        <v>1.7095840284797825E-2</v>
      </c>
      <c r="P156" s="6">
        <f>_xlfn.RRI(5,Table1[[#This Row],[2019 U.S. Units]],Table1[[#This Row],[2024 U.S. Units]])</f>
        <v>-2.9463576860229268E-2</v>
      </c>
      <c r="Q156" s="5">
        <v>311920</v>
      </c>
      <c r="R156" s="6">
        <f>Table1[[#This Row],[2023 U.S. Sales ($000)]]/SUMIF($E:$E, E156, $Q:$Q)</f>
        <v>1.2930566687308371E-2</v>
      </c>
      <c r="S156" s="8">
        <f>(Table1[[#This Row],[2023 Market share (%)]]-Table1[[#This Row],[2022 Market share (%)]])*10000</f>
        <v>-2.4877239734380323</v>
      </c>
      <c r="T156" s="10">
        <v>6.401321563161427E-3</v>
      </c>
      <c r="U156" s="5">
        <v>96</v>
      </c>
      <c r="V156" s="5">
        <f t="shared" si="16"/>
        <v>3249.1666666666665</v>
      </c>
      <c r="W156" s="10">
        <v>-1.0309278350515464E-2</v>
      </c>
      <c r="X156" s="10">
        <f t="shared" si="17"/>
        <v>-3.0921318114210949E-3</v>
      </c>
      <c r="Y156" s="8">
        <f>(Table1[[#This Row],[2023 Market share (%)]]-Table1[[#This Row],[2019 Market share (%)]])*10000</f>
        <v>-8.9830107414366065</v>
      </c>
      <c r="Z156" s="10">
        <f t="shared" si="18"/>
        <v>2.6699036198661208E-2</v>
      </c>
      <c r="AA156" s="10">
        <f t="shared" si="19"/>
        <v>-2.9016456585353123E-2</v>
      </c>
      <c r="AB156" s="5">
        <v>309936</v>
      </c>
      <c r="AC156" s="6">
        <f>Table1[[#This Row],[2022 U.S. Sales ($000)]]/SUMIF($E:$E, E156, $AB:$AB)</f>
        <v>1.3179339084652174E-2</v>
      </c>
      <c r="AD156" s="5">
        <v>97</v>
      </c>
      <c r="AE156" s="5">
        <f t="shared" si="20"/>
        <v>3195.216494845361</v>
      </c>
      <c r="AF156" s="5">
        <v>291216</v>
      </c>
      <c r="AG156" s="6">
        <f>Table1[[#This Row],[2021 U.S. Sales ($000)]]/SUMIF($E:$E, E156, $AF:$AF)</f>
        <v>1.3407669990545625E-2</v>
      </c>
      <c r="AH156" s="5">
        <v>103</v>
      </c>
      <c r="AI156" s="12">
        <f t="shared" si="21"/>
        <v>2827.3398058252428</v>
      </c>
      <c r="AJ156" s="5">
        <v>214588</v>
      </c>
      <c r="AK156" s="6">
        <f>Table1[[#This Row],[2020 U.S. Sales ($000)]]/SUMIF($E:$E, E156, $AJ:$AJ)</f>
        <v>1.315982408513717E-2</v>
      </c>
      <c r="AL156" s="5">
        <v>103</v>
      </c>
      <c r="AM156" s="5">
        <f t="shared" si="22"/>
        <v>2083.3786407766988</v>
      </c>
      <c r="AN156" s="5">
        <v>315808</v>
      </c>
      <c r="AO156" s="6">
        <f>Table1[[#This Row],[2019 U.S. Sales ($000)]]/SUMIF($E:$E, E156, $AN:$AN)</f>
        <v>1.3828867761452032E-2</v>
      </c>
      <c r="AP156" s="5">
        <v>108</v>
      </c>
      <c r="AQ156" s="5">
        <f t="shared" si="23"/>
        <v>2924.1481481481483</v>
      </c>
    </row>
    <row r="157" spans="1:43" x14ac:dyDescent="0.25">
      <c r="A157" t="s">
        <v>222</v>
      </c>
      <c r="B157">
        <v>1764</v>
      </c>
      <c r="C157" t="s">
        <v>68</v>
      </c>
      <c r="D157" t="s">
        <v>69</v>
      </c>
      <c r="E157" t="s">
        <v>79</v>
      </c>
      <c r="F157" s="5">
        <v>138</v>
      </c>
      <c r="G157" s="5">
        <v>294000</v>
      </c>
      <c r="H157" s="6">
        <f>Table1[[#This Row],[2024 U.S. Sales ($000)]]/SUMIF($E:$E, E157, $G:$G)</f>
        <v>1.4133935868467862E-2</v>
      </c>
      <c r="I157" s="5">
        <v>109</v>
      </c>
      <c r="J157" s="5">
        <f>Table1[[#This Row],[2024 U.S. Sales ($000)]]/Table1[[#This Row],[2024 U.S. Units]]</f>
        <v>2697.2477064220184</v>
      </c>
      <c r="K157" s="6">
        <f>Table1[[#This Row],[2024 U.S. Units]]/Table1[[#This Row],[2023 U.S. Units]]-1</f>
        <v>-6.0344827586206851E-2</v>
      </c>
      <c r="L157" s="8">
        <f>(Table1[[#This Row],[2024 Market share (%)]]-Table1[[#This Row],[2023 Market share (%)]])*10000</f>
        <v>7.5648693927316168</v>
      </c>
      <c r="M157" s="6">
        <f>_xlfn.RRI(5,Table1[[#This Row],[2019 U.S. Sales ($000)]],Table1[[#This Row],[2024 U.S. Sales ($000)]])</f>
        <v>-3.3261085358308518E-2</v>
      </c>
      <c r="N157" s="9">
        <f>(Table1[[#This Row],[2024 Market share (%)]]-Table1[[#This Row],[2019 Market share (%)]])*10000</f>
        <v>-11.123768261024001</v>
      </c>
      <c r="O157" s="6">
        <f>IF(Table1[[#This Row],[2024 AUV]]=0,"",_xlfn.RRI(5,Table1[[#This Row],[2019 AUV]],Table1[[#This Row],[2024 AUV]]))</f>
        <v>-9.6130172403735559E-3</v>
      </c>
      <c r="P157" s="6">
        <f>_xlfn.RRI(5,Table1[[#This Row],[2019 U.S. Units]],Table1[[#This Row],[2024 U.S. Units]])</f>
        <v>-2.3877603936232727E-2</v>
      </c>
      <c r="Q157" s="5">
        <v>322700</v>
      </c>
      <c r="R157" s="6">
        <f>Table1[[#This Row],[2023 U.S. Sales ($000)]]/SUMIF($E:$E, E157, $Q:$Q)</f>
        <v>1.33774489291947E-2</v>
      </c>
      <c r="S157" s="8">
        <f>(Table1[[#This Row],[2023 Market share (%)]]-Table1[[#This Row],[2022 Market share (%)]])*10000</f>
        <v>-13.099178814980263</v>
      </c>
      <c r="T157" s="10">
        <v>-6.5720903300521133E-2</v>
      </c>
      <c r="U157" s="5">
        <v>116</v>
      </c>
      <c r="V157" s="5">
        <f t="shared" si="16"/>
        <v>2781.8965517241381</v>
      </c>
      <c r="W157" s="10">
        <v>-9.375E-2</v>
      </c>
      <c r="X157" s="10">
        <f t="shared" si="17"/>
        <v>-1.8818367354787036E-2</v>
      </c>
      <c r="Y157" s="8">
        <f>(Table1[[#This Row],[2023 Market share (%)]]-Table1[[#This Row],[2019 Market share (%)]])*10000</f>
        <v>-18.688637653755617</v>
      </c>
      <c r="Z157" s="10">
        <f t="shared" si="18"/>
        <v>-4.3397011484812564E-3</v>
      </c>
      <c r="AA157" s="10">
        <f t="shared" si="19"/>
        <v>-1.4541773155971716E-2</v>
      </c>
      <c r="AB157" s="5">
        <v>345400</v>
      </c>
      <c r="AC157" s="6">
        <f>Table1[[#This Row],[2022 U.S. Sales ($000)]]/SUMIF($E:$E, E157, $AB:$AB)</f>
        <v>1.4687366810692727E-2</v>
      </c>
      <c r="AD157" s="5">
        <v>128</v>
      </c>
      <c r="AE157" s="5">
        <f t="shared" si="20"/>
        <v>2698.4375</v>
      </c>
      <c r="AF157" s="5">
        <v>322400</v>
      </c>
      <c r="AG157" s="6">
        <f>Table1[[#This Row],[2021 U.S. Sales ($000)]]/SUMIF($E:$E, E157, $AF:$AF)</f>
        <v>1.4843390490055182E-2</v>
      </c>
      <c r="AH157" s="5">
        <v>126</v>
      </c>
      <c r="AI157" s="12">
        <f t="shared" si="21"/>
        <v>2558.7301587301586</v>
      </c>
      <c r="AJ157" s="5">
        <v>237700</v>
      </c>
      <c r="AK157" s="6">
        <f>Table1[[#This Row],[2020 U.S. Sales ($000)]]/SUMIF($E:$E, E157, $AJ:$AJ)</f>
        <v>1.457719063991046E-2</v>
      </c>
      <c r="AL157" s="5">
        <v>122</v>
      </c>
      <c r="AM157" s="5">
        <f t="shared" si="22"/>
        <v>1948.360655737705</v>
      </c>
      <c r="AN157" s="5">
        <v>348178</v>
      </c>
      <c r="AO157" s="6">
        <f>Table1[[#This Row],[2019 U.S. Sales ($000)]]/SUMIF($E:$E, E157, $AN:$AN)</f>
        <v>1.5246312694570262E-2</v>
      </c>
      <c r="AP157" s="5">
        <v>123</v>
      </c>
      <c r="AQ157" s="5">
        <f t="shared" si="23"/>
        <v>2830.7154471544713</v>
      </c>
    </row>
    <row r="158" spans="1:43" x14ac:dyDescent="0.25">
      <c r="A158" t="s">
        <v>223</v>
      </c>
      <c r="B158">
        <v>518</v>
      </c>
      <c r="C158" t="s">
        <v>44</v>
      </c>
      <c r="D158" t="s">
        <v>45</v>
      </c>
      <c r="E158" t="s">
        <v>46</v>
      </c>
      <c r="F158" s="5">
        <v>151</v>
      </c>
      <c r="G158" s="5">
        <v>294000</v>
      </c>
      <c r="H158" s="6">
        <f>Table1[[#This Row],[2024 U.S. Sales ($000)]]/SUMIF($E:$E, E158, $G:$G)</f>
        <v>2.6664812343616885E-3</v>
      </c>
      <c r="I158" s="5">
        <v>279</v>
      </c>
      <c r="J158" s="7">
        <f>Table1[[#This Row],[2024 U.S. Sales ($000)]]/Table1[[#This Row],[2024 U.S. Units]]</f>
        <v>1053.763440860215</v>
      </c>
      <c r="K158" s="6">
        <f>Table1[[#This Row],[2024 U.S. Units]]/Table1[[#This Row],[2023 U.S. Units]]-1</f>
        <v>-3.5714285714285587E-3</v>
      </c>
      <c r="L158" s="8">
        <f>(Table1[[#This Row],[2024 Market share (%)]]-Table1[[#This Row],[2023 Market share (%)]])*10000</f>
        <v>-0.26172795336184584</v>
      </c>
      <c r="M158" s="6">
        <f>_xlfn.RRI(5,Table1[[#This Row],[2019 U.S. Sales ($000)]],Table1[[#This Row],[2024 U.S. Sales ($000)]])</f>
        <v>-3.6896981836372245E-2</v>
      </c>
      <c r="N158" s="9">
        <f>(Table1[[#This Row],[2024 Market share (%)]]-Table1[[#This Row],[2019 Market share (%)]])*10000</f>
        <v>-14.348541155771205</v>
      </c>
      <c r="O158" s="6">
        <f>IF(Table1[[#This Row],[2024 AUV]]=0,"",_xlfn.RRI(5,Table1[[#This Row],[2019 AUV]],Table1[[#This Row],[2024 AUV]]))</f>
        <v>-2.2816434854877721E-2</v>
      </c>
      <c r="P158" s="6">
        <f>_xlfn.RRI(5,Table1[[#This Row],[2019 U.S. Units]],Table1[[#This Row],[2024 U.S. Units]])</f>
        <v>-1.4409316206012379E-2</v>
      </c>
      <c r="Q158" s="5">
        <v>294800</v>
      </c>
      <c r="R158" s="6">
        <f>Table1[[#This Row],[2023 U.S. Sales ($000)]]/SUMIF($E:$E, E158, $Q:$Q)</f>
        <v>2.6926540296978731E-3</v>
      </c>
      <c r="S158" s="8">
        <f>(Table1[[#This Row],[2023 Market share (%)]]-Table1[[#This Row],[2022 Market share (%)]])*10000</f>
        <v>-3.6889145177224036</v>
      </c>
      <c r="T158" s="10">
        <v>-5.754475703324808E-2</v>
      </c>
      <c r="U158" s="5">
        <v>280</v>
      </c>
      <c r="V158" s="5">
        <f t="shared" si="16"/>
        <v>1052.8571428571429</v>
      </c>
      <c r="W158" s="10">
        <v>-2.4390243902439025E-2</v>
      </c>
      <c r="X158" s="10">
        <f t="shared" si="17"/>
        <v>-4.5258134104576242E-2</v>
      </c>
      <c r="Y158" s="8">
        <f>(Table1[[#This Row],[2023 Market share (%)]]-Table1[[#This Row],[2019 Market share (%)]])*10000</f>
        <v>-14.08681320240936</v>
      </c>
      <c r="Z158" s="10">
        <f t="shared" si="18"/>
        <v>-2.8647699996840581E-2</v>
      </c>
      <c r="AA158" s="10">
        <f t="shared" si="19"/>
        <v>-1.7100318913829349E-2</v>
      </c>
      <c r="AB158" s="5">
        <v>312800</v>
      </c>
      <c r="AC158" s="6">
        <f>Table1[[#This Row],[2022 U.S. Sales ($000)]]/SUMIF($E:$E, E158, $AB:$AB)</f>
        <v>3.0615454814701135E-3</v>
      </c>
      <c r="AD158" s="5">
        <v>287</v>
      </c>
      <c r="AE158" s="5">
        <f t="shared" si="20"/>
        <v>1089.8954703832753</v>
      </c>
      <c r="AF158" s="5">
        <v>323700</v>
      </c>
      <c r="AG158" s="6">
        <f>Table1[[#This Row],[2021 U.S. Sales ($000)]]/SUMIF($E:$E, E158, $AF:$AF)</f>
        <v>3.3270582773571454E-3</v>
      </c>
      <c r="AH158" s="5">
        <v>287</v>
      </c>
      <c r="AI158" s="12">
        <f t="shared" si="21"/>
        <v>1127.8745644599303</v>
      </c>
      <c r="AJ158" s="5">
        <v>328000</v>
      </c>
      <c r="AK158" s="6">
        <f>Table1[[#This Row],[2020 U.S. Sales ($000)]]/SUMIF($E:$E, E158, $AJ:$AJ)</f>
        <v>3.753575266136211E-3</v>
      </c>
      <c r="AL158" s="5">
        <v>291</v>
      </c>
      <c r="AM158" s="5">
        <f t="shared" si="22"/>
        <v>1127.1477663230241</v>
      </c>
      <c r="AN158" s="5">
        <v>354800</v>
      </c>
      <c r="AO158" s="6">
        <f>Table1[[#This Row],[2019 U.S. Sales ($000)]]/SUMIF($E:$E, E158, $AN:$AN)</f>
        <v>4.1013353499388091E-3</v>
      </c>
      <c r="AP158" s="5">
        <v>300</v>
      </c>
      <c r="AQ158" s="5">
        <f t="shared" si="23"/>
        <v>1182.6666666666667</v>
      </c>
    </row>
    <row r="159" spans="1:43" x14ac:dyDescent="0.25">
      <c r="A159" t="s">
        <v>224</v>
      </c>
      <c r="B159">
        <v>6709</v>
      </c>
      <c r="C159" t="s">
        <v>68</v>
      </c>
      <c r="D159" t="s">
        <v>133</v>
      </c>
      <c r="E159" t="s">
        <v>70</v>
      </c>
      <c r="F159" s="5">
        <v>167</v>
      </c>
      <c r="G159" s="5">
        <v>292000</v>
      </c>
      <c r="H159" s="6">
        <f>Table1[[#This Row],[2024 U.S. Sales ($000)]]/SUMIF($E:$E, E159, $G:$G)</f>
        <v>1.7986940988049774E-2</v>
      </c>
      <c r="I159" s="5">
        <v>23</v>
      </c>
      <c r="J159" s="5">
        <f>Table1[[#This Row],[2024 U.S. Sales ($000)]]/Table1[[#This Row],[2024 U.S. Units]]</f>
        <v>12695.652173913044</v>
      </c>
      <c r="K159" s="6">
        <f>Table1[[#This Row],[2024 U.S. Units]]/Table1[[#This Row],[2023 U.S. Units]]-1</f>
        <v>9.5238095238095344E-2</v>
      </c>
      <c r="L159" s="8">
        <f>(Table1[[#This Row],[2024 Market share (%)]]-Table1[[#This Row],[2023 Market share (%)]])*10000</f>
        <v>18.893956256993519</v>
      </c>
      <c r="M159" s="6">
        <f>_xlfn.RRI(5,Table1[[#This Row],[2019 U.S. Sales ($000)]],Table1[[#This Row],[2024 U.S. Sales ($000)]])</f>
        <v>7.310223402846594E-2</v>
      </c>
      <c r="N159" s="9">
        <f>(Table1[[#This Row],[2024 Market share (%)]]-Table1[[#This Row],[2019 Market share (%)]])*10000</f>
        <v>16.218782277948318</v>
      </c>
      <c r="O159" s="6">
        <f>IF(Table1[[#This Row],[2024 AUV]]=0,"",_xlfn.RRI(5,Table1[[#This Row],[2019 AUV]],Table1[[#This Row],[2024 AUV]]))</f>
        <v>3.2871399819839553E-2</v>
      </c>
      <c r="P159" s="6">
        <f>_xlfn.RRI(5,Table1[[#This Row],[2019 U.S. Units]],Table1[[#This Row],[2024 U.S. Units]])</f>
        <v>3.8950477489882784E-2</v>
      </c>
      <c r="Q159" s="5">
        <v>257000</v>
      </c>
      <c r="R159" s="6">
        <f>Table1[[#This Row],[2023 U.S. Sales ($000)]]/SUMIF($E:$E, E159, $Q:$Q)</f>
        <v>1.6097545362350422E-2</v>
      </c>
      <c r="S159" s="8">
        <f>(Table1[[#This Row],[2023 Market share (%)]]-Table1[[#This Row],[2022 Market share (%)]])*10000</f>
        <v>3.097098144599006</v>
      </c>
      <c r="T159" s="10">
        <v>0.11255411255411256</v>
      </c>
      <c r="U159" s="5">
        <v>21</v>
      </c>
      <c r="V159" s="5">
        <f t="shared" si="16"/>
        <v>12238.095238095239</v>
      </c>
      <c r="W159" s="10">
        <v>0.05</v>
      </c>
      <c r="X159" s="10">
        <f t="shared" si="17"/>
        <v>5.7886175335767343E-2</v>
      </c>
      <c r="Y159" s="8">
        <f>(Table1[[#This Row],[2023 Market share (%)]]-Table1[[#This Row],[2019 Market share (%)]])*10000</f>
        <v>-2.6751739790452018</v>
      </c>
      <c r="Z159" s="10">
        <f t="shared" si="18"/>
        <v>3.1745345383713763E-2</v>
      </c>
      <c r="AA159" s="10">
        <f t="shared" si="19"/>
        <v>2.5336513577710162E-2</v>
      </c>
      <c r="AB159" s="5">
        <v>231000</v>
      </c>
      <c r="AC159" s="6">
        <f>Table1[[#This Row],[2022 U.S. Sales ($000)]]/SUMIF($E:$E, E159, $AB:$AB)</f>
        <v>1.5787835547890521E-2</v>
      </c>
      <c r="AD159" s="5">
        <v>20</v>
      </c>
      <c r="AE159" s="5">
        <f t="shared" si="20"/>
        <v>11550</v>
      </c>
      <c r="AF159" s="5">
        <v>200200</v>
      </c>
      <c r="AG159" s="6">
        <f>Table1[[#This Row],[2021 U.S. Sales ($000)]]/SUMIF($E:$E, E159, $AF:$AF)</f>
        <v>1.5403015436483527E-2</v>
      </c>
      <c r="AH159" s="5">
        <v>20</v>
      </c>
      <c r="AI159" s="12">
        <f t="shared" si="21"/>
        <v>10010</v>
      </c>
      <c r="AJ159" s="5">
        <v>142300</v>
      </c>
      <c r="AK159" s="6">
        <f>Table1[[#This Row],[2020 U.S. Sales ($000)]]/SUMIF($E:$E, E159, $AJ:$AJ)</f>
        <v>1.5151995921419172E-2</v>
      </c>
      <c r="AL159" s="5">
        <v>20</v>
      </c>
      <c r="AM159" s="5">
        <f t="shared" si="22"/>
        <v>7115</v>
      </c>
      <c r="AN159" s="5">
        <v>205200</v>
      </c>
      <c r="AO159" s="6">
        <f>Table1[[#This Row],[2019 U.S. Sales ($000)]]/SUMIF($E:$E, E159, $AN:$AN)</f>
        <v>1.6365062760254942E-2</v>
      </c>
      <c r="AP159" s="5">
        <v>19</v>
      </c>
      <c r="AQ159" s="5">
        <f t="shared" si="23"/>
        <v>10800</v>
      </c>
    </row>
    <row r="160" spans="1:43" x14ac:dyDescent="0.25">
      <c r="A160" t="s">
        <v>225</v>
      </c>
      <c r="B160">
        <v>533</v>
      </c>
      <c r="C160" t="s">
        <v>68</v>
      </c>
      <c r="D160" t="s">
        <v>69</v>
      </c>
      <c r="E160" t="s">
        <v>79</v>
      </c>
      <c r="F160" s="5">
        <v>143</v>
      </c>
      <c r="G160" s="5">
        <v>288000</v>
      </c>
      <c r="H160" s="6">
        <f>Table1[[#This Row],[2024 U.S. Sales ($000)]]/SUMIF($E:$E, E160, $G:$G)</f>
        <v>1.3845488197682804E-2</v>
      </c>
      <c r="I160" s="5">
        <v>212</v>
      </c>
      <c r="J160" s="5">
        <f>Table1[[#This Row],[2024 U.S. Sales ($000)]]/Table1[[#This Row],[2024 U.S. Units]]</f>
        <v>1358.4905660377358</v>
      </c>
      <c r="K160" s="6">
        <f>Table1[[#This Row],[2024 U.S. Units]]/Table1[[#This Row],[2023 U.S. Units]]-1</f>
        <v>-1.851851851851849E-2</v>
      </c>
      <c r="L160" s="8">
        <f>(Table1[[#This Row],[2024 Market share (%)]]-Table1[[#This Row],[2023 Market share (%)]])*10000</f>
        <v>13.261526643180698</v>
      </c>
      <c r="M160" s="6">
        <f>_xlfn.RRI(5,Table1[[#This Row],[2019 U.S. Sales ($000)]],Table1[[#This Row],[2024 U.S. Sales ($000)]])</f>
        <v>-0.15567799531060167</v>
      </c>
      <c r="N160" s="9">
        <f>(Table1[[#This Row],[2024 Market share (%)]]-Table1[[#This Row],[2019 Market share (%)]])*10000</f>
        <v>-155.45584990731055</v>
      </c>
      <c r="O160" s="6">
        <f>IF(Table1[[#This Row],[2024 AUV]]=0,"",_xlfn.RRI(5,Table1[[#This Row],[2019 AUV]],Table1[[#This Row],[2024 AUV]]))</f>
        <v>-1.8079687450814674E-2</v>
      </c>
      <c r="P160" s="6">
        <f>_xlfn.RRI(5,Table1[[#This Row],[2019 U.S. Units]],Table1[[#This Row],[2024 U.S. Units]])</f>
        <v>-0.14013184787120347</v>
      </c>
      <c r="Q160" s="5">
        <v>302000</v>
      </c>
      <c r="R160" s="6">
        <f>Table1[[#This Row],[2023 U.S. Sales ($000)]]/SUMIF($E:$E, E160, $Q:$Q)</f>
        <v>1.2519335533364734E-2</v>
      </c>
      <c r="S160" s="8">
        <f>(Table1[[#This Row],[2023 Market share (%)]]-Table1[[#This Row],[2022 Market share (%)]])*10000</f>
        <v>-10.284208820571031</v>
      </c>
      <c r="T160" s="10">
        <v>-5.2102950408035156E-2</v>
      </c>
      <c r="U160" s="5">
        <v>216</v>
      </c>
      <c r="V160" s="5">
        <f t="shared" si="16"/>
        <v>1398.148148148148</v>
      </c>
      <c r="W160" s="10">
        <v>-4.608294930875576E-3</v>
      </c>
      <c r="X160" s="10">
        <f t="shared" si="17"/>
        <v>-0.18099085934835724</v>
      </c>
      <c r="Y160" s="8">
        <f>(Table1[[#This Row],[2023 Market share (%)]]-Table1[[#This Row],[2019 Market share (%)]])*10000</f>
        <v>-168.71737655049122</v>
      </c>
      <c r="Z160" s="10">
        <f t="shared" si="18"/>
        <v>-1.549155353161602E-2</v>
      </c>
      <c r="AA160" s="10">
        <f t="shared" si="19"/>
        <v>-0.16810349003141434</v>
      </c>
      <c r="AB160" s="5">
        <v>318600</v>
      </c>
      <c r="AC160" s="6">
        <f>Table1[[#This Row],[2022 U.S. Sales ($000)]]/SUMIF($E:$E, E160, $AB:$AB)</f>
        <v>1.3547756415421837E-2</v>
      </c>
      <c r="AD160" s="5">
        <v>217</v>
      </c>
      <c r="AE160" s="5">
        <f t="shared" si="20"/>
        <v>1468.2027649769586</v>
      </c>
      <c r="AF160" s="5">
        <v>304400</v>
      </c>
      <c r="AG160" s="6">
        <f>Table1[[#This Row],[2021 U.S. Sales ($000)]]/SUMIF($E:$E, E160, $AF:$AF)</f>
        <v>1.4014665214555824E-2</v>
      </c>
      <c r="AH160" s="5">
        <v>218</v>
      </c>
      <c r="AI160" s="12">
        <f t="shared" si="21"/>
        <v>1396.3302752293578</v>
      </c>
      <c r="AJ160" s="5">
        <v>325400</v>
      </c>
      <c r="AK160" s="6">
        <f>Table1[[#This Row],[2020 U.S. Sales ($000)]]/SUMIF($E:$E, E160, $AJ:$AJ)</f>
        <v>1.9955481002216505E-2</v>
      </c>
      <c r="AL160" s="5">
        <v>220</v>
      </c>
      <c r="AM160" s="5">
        <f t="shared" si="22"/>
        <v>1479.090909090909</v>
      </c>
      <c r="AN160" s="5">
        <v>671200</v>
      </c>
      <c r="AO160" s="6">
        <f>Table1[[#This Row],[2019 U.S. Sales ($000)]]/SUMIF($E:$E, E160, $AN:$AN)</f>
        <v>2.9391073188413858E-2</v>
      </c>
      <c r="AP160" s="5">
        <v>451</v>
      </c>
      <c r="AQ160" s="5">
        <f t="shared" si="23"/>
        <v>1488.2483370288248</v>
      </c>
    </row>
    <row r="161" spans="1:43" x14ac:dyDescent="0.25">
      <c r="A161" t="s">
        <v>226</v>
      </c>
      <c r="B161">
        <v>2802</v>
      </c>
      <c r="C161" t="s">
        <v>44</v>
      </c>
      <c r="D161" t="s">
        <v>45</v>
      </c>
      <c r="E161" t="s">
        <v>112</v>
      </c>
      <c r="F161" s="5">
        <v>164</v>
      </c>
      <c r="G161" s="5">
        <v>286000</v>
      </c>
      <c r="H161" s="6">
        <f>Table1[[#This Row],[2024 U.S. Sales ($000)]]/SUMIF($E:$E, E161, $G:$G)</f>
        <v>3.4835566382460416E-2</v>
      </c>
      <c r="I161" s="5">
        <v>425</v>
      </c>
      <c r="J161" s="5">
        <f>Table1[[#This Row],[2024 U.S. Sales ($000)]]/Table1[[#This Row],[2024 U.S. Units]]</f>
        <v>672.94117647058829</v>
      </c>
      <c r="K161" s="6">
        <f>Table1[[#This Row],[2024 U.S. Units]]/Table1[[#This Row],[2023 U.S. Units]]-1</f>
        <v>0.10103626943005173</v>
      </c>
      <c r="L161" s="8">
        <f>(Table1[[#This Row],[2024 Market share (%)]]-Table1[[#This Row],[2023 Market share (%)]])*10000</f>
        <v>30.913376621832452</v>
      </c>
      <c r="M161" s="6">
        <f>_xlfn.RRI(5,Table1[[#This Row],[2019 U.S. Sales ($000)]],Table1[[#This Row],[2024 U.S. Sales ($000)]])</f>
        <v>0.10344454475720966</v>
      </c>
      <c r="N161" s="9">
        <f>(Table1[[#This Row],[2024 Market share (%)]]-Table1[[#This Row],[2019 Market share (%)]])*10000</f>
        <v>-11.615732667739353</v>
      </c>
      <c r="O161" s="6">
        <f>IF(Table1[[#This Row],[2024 AUV]]=0,"",_xlfn.RRI(5,Table1[[#This Row],[2019 AUV]],Table1[[#This Row],[2024 AUV]]))</f>
        <v>5.4660463080383526E-2</v>
      </c>
      <c r="P161" s="6">
        <f>_xlfn.RRI(5,Table1[[#This Row],[2019 U.S. Units]],Table1[[#This Row],[2024 U.S. Units]])</f>
        <v>4.625572246667975E-2</v>
      </c>
      <c r="Q161" s="5">
        <v>262694</v>
      </c>
      <c r="R161" s="6">
        <f>Table1[[#This Row],[2023 U.S. Sales ($000)]]/SUMIF($E:$E, E161, $Q:$Q)</f>
        <v>3.1744228720277171E-2</v>
      </c>
      <c r="S161" s="8">
        <f>(Table1[[#This Row],[2023 Market share (%)]]-Table1[[#This Row],[2022 Market share (%)]])*10000</f>
        <v>-19.775511831240308</v>
      </c>
      <c r="T161" s="10">
        <v>5.5500419879380106E-2</v>
      </c>
      <c r="U161" s="5">
        <v>386</v>
      </c>
      <c r="V161" s="5">
        <f t="shared" si="16"/>
        <v>680.55440414507768</v>
      </c>
      <c r="W161" s="10">
        <v>6.6298342541436461E-2</v>
      </c>
      <c r="X161" s="10">
        <f t="shared" si="17"/>
        <v>0.10715689749133883</v>
      </c>
      <c r="Y161" s="8">
        <f>(Table1[[#This Row],[2023 Market share (%)]]-Table1[[#This Row],[2019 Market share (%)]])*10000</f>
        <v>-42.529109289571807</v>
      </c>
      <c r="Z161" s="10">
        <f t="shared" si="18"/>
        <v>7.1796336845629805E-2</v>
      </c>
      <c r="AA161" s="10">
        <f t="shared" si="19"/>
        <v>3.2991865553280153E-2</v>
      </c>
      <c r="AB161" s="5">
        <v>248881</v>
      </c>
      <c r="AC161" s="6">
        <f>Table1[[#This Row],[2022 U.S. Sales ($000)]]/SUMIF($E:$E, E161, $AB:$AB)</f>
        <v>3.3721779903401201E-2</v>
      </c>
      <c r="AD161" s="5">
        <v>362</v>
      </c>
      <c r="AE161" s="5">
        <f t="shared" si="20"/>
        <v>687.51657458563534</v>
      </c>
      <c r="AF161" s="5">
        <v>220901</v>
      </c>
      <c r="AG161" s="6">
        <f>Table1[[#This Row],[2021 U.S. Sales ($000)]]/SUMIF($E:$E, E161, $AF:$AF)</f>
        <v>3.5310939468148367E-2</v>
      </c>
      <c r="AH161" s="5">
        <v>350</v>
      </c>
      <c r="AI161" s="12">
        <f t="shared" si="21"/>
        <v>631.14571428571423</v>
      </c>
      <c r="AJ161" s="5">
        <v>112973</v>
      </c>
      <c r="AK161" s="6">
        <f>Table1[[#This Row],[2020 U.S. Sales ($000)]]/SUMIF($E:$E, E161, $AJ:$AJ)</f>
        <v>2.4477709344182946E-2</v>
      </c>
      <c r="AL161" s="5">
        <v>336</v>
      </c>
      <c r="AM161" s="5">
        <f t="shared" si="22"/>
        <v>336.22916666666669</v>
      </c>
      <c r="AN161" s="5">
        <v>174829</v>
      </c>
      <c r="AO161" s="6">
        <f>Table1[[#This Row],[2019 U.S. Sales ($000)]]/SUMIF($E:$E, E161, $AN:$AN)</f>
        <v>3.5997139649234351E-2</v>
      </c>
      <c r="AP161" s="5">
        <v>339</v>
      </c>
      <c r="AQ161" s="5">
        <f t="shared" si="23"/>
        <v>515.71976401179938</v>
      </c>
    </row>
    <row r="162" spans="1:43" x14ac:dyDescent="0.25">
      <c r="A162" t="s">
        <v>227</v>
      </c>
      <c r="B162">
        <v>485</v>
      </c>
      <c r="C162" t="s">
        <v>44</v>
      </c>
      <c r="D162" t="s">
        <v>45</v>
      </c>
      <c r="E162" t="s">
        <v>112</v>
      </c>
      <c r="F162" s="5">
        <v>155</v>
      </c>
      <c r="G162" s="5">
        <v>285000</v>
      </c>
      <c r="H162" s="6">
        <f>Table1[[#This Row],[2024 U.S. Sales ($000)]]/SUMIF($E:$E, E162, $G:$G)</f>
        <v>3.4713763702801465E-2</v>
      </c>
      <c r="I162" s="5">
        <v>1034</v>
      </c>
      <c r="J162" s="5">
        <f>Table1[[#This Row],[2024 U.S. Sales ($000)]]/Table1[[#This Row],[2024 U.S. Units]]</f>
        <v>275.62862669245646</v>
      </c>
      <c r="K162" s="6">
        <f>Table1[[#This Row],[2024 U.S. Units]]/Table1[[#This Row],[2023 U.S. Units]]-1</f>
        <v>5.4026503567788042E-2</v>
      </c>
      <c r="L162" s="8">
        <f>(Table1[[#This Row],[2024 Market share (%)]]-Table1[[#This Row],[2023 Market share (%)]])*10000</f>
        <v>0.95692232306807123</v>
      </c>
      <c r="M162" s="6">
        <f>_xlfn.RRI(5,Table1[[#This Row],[2019 U.S. Sales ($000)]],Table1[[#This Row],[2024 U.S. Sales ($000)]])</f>
        <v>7.1367003495605097E-2</v>
      </c>
      <c r="N162" s="9">
        <f>(Table1[[#This Row],[2024 Market share (%)]]-Table1[[#This Row],[2019 Market share (%)]])*10000</f>
        <v>-68.589185884523346</v>
      </c>
      <c r="O162" s="6">
        <f>IF(Table1[[#This Row],[2024 AUV]]=0,"",_xlfn.RRI(5,Table1[[#This Row],[2019 AUV]],Table1[[#This Row],[2024 AUV]]))</f>
        <v>4.9567773975043083E-2</v>
      </c>
      <c r="P162" s="6">
        <f>_xlfn.RRI(5,Table1[[#This Row],[2019 U.S. Units]],Table1[[#This Row],[2024 U.S. Units]])</f>
        <v>2.0769720699408856E-2</v>
      </c>
      <c r="Q162" s="5">
        <v>286476</v>
      </c>
      <c r="R162" s="6">
        <f>Table1[[#This Row],[2023 U.S. Sales ($000)]]/SUMIF($E:$E, E162, $Q:$Q)</f>
        <v>3.4618071470494657E-2</v>
      </c>
      <c r="S162" s="8">
        <f>(Table1[[#This Row],[2023 Market share (%)]]-Table1[[#This Row],[2022 Market share (%)]])*10000</f>
        <v>-6.0917769936999484</v>
      </c>
      <c r="T162" s="10">
        <v>0.10186467275916182</v>
      </c>
      <c r="U162" s="5">
        <v>981</v>
      </c>
      <c r="V162" s="5">
        <f t="shared" si="16"/>
        <v>292.02446483180427</v>
      </c>
      <c r="W162" s="10">
        <v>2.4008350730688934E-2</v>
      </c>
      <c r="X162" s="10">
        <f t="shared" si="17"/>
        <v>9.1399321101010456E-2</v>
      </c>
      <c r="Y162" s="8">
        <f>(Table1[[#This Row],[2023 Market share (%)]]-Table1[[#This Row],[2019 Market share (%)]])*10000</f>
        <v>-69.546108207591416</v>
      </c>
      <c r="Z162" s="10">
        <f t="shared" si="18"/>
        <v>7.779667232876708E-2</v>
      </c>
      <c r="AA162" s="10">
        <f t="shared" si="19"/>
        <v>1.2620793069301639E-2</v>
      </c>
      <c r="AB162" s="5">
        <v>259992</v>
      </c>
      <c r="AC162" s="6">
        <f>Table1[[#This Row],[2022 U.S. Sales ($000)]]/SUMIF($E:$E, E162, $AB:$AB)</f>
        <v>3.5227249169864652E-2</v>
      </c>
      <c r="AD162" s="5">
        <v>958</v>
      </c>
      <c r="AE162" s="5">
        <f t="shared" si="20"/>
        <v>271.39039665970773</v>
      </c>
      <c r="AF162" s="5">
        <v>224352</v>
      </c>
      <c r="AG162" s="6">
        <f>Table1[[#This Row],[2021 U.S. Sales ($000)]]/SUMIF($E:$E, E162, $AF:$AF)</f>
        <v>3.5862580484280392E-2</v>
      </c>
      <c r="AH162" s="5">
        <v>939</v>
      </c>
      <c r="AI162" s="12">
        <f t="shared" si="21"/>
        <v>238.92651757188497</v>
      </c>
      <c r="AJ162" s="5">
        <v>142985</v>
      </c>
      <c r="AK162" s="6">
        <f>Table1[[#This Row],[2020 U.S. Sales ($000)]]/SUMIF($E:$E, E162, $AJ:$AJ)</f>
        <v>3.0980369385410659E-2</v>
      </c>
      <c r="AL162" s="5">
        <v>937</v>
      </c>
      <c r="AM162" s="5">
        <f t="shared" si="22"/>
        <v>152.59871931696904</v>
      </c>
      <c r="AN162" s="5">
        <v>201908</v>
      </c>
      <c r="AO162" s="6">
        <f>Table1[[#This Row],[2019 U.S. Sales ($000)]]/SUMIF($E:$E, E162, $AN:$AN)</f>
        <v>4.1572682291253799E-2</v>
      </c>
      <c r="AP162" s="5">
        <v>933</v>
      </c>
      <c r="AQ162" s="5">
        <f t="shared" si="23"/>
        <v>216.40728831725616</v>
      </c>
    </row>
    <row r="163" spans="1:43" x14ac:dyDescent="0.25">
      <c r="A163" t="s">
        <v>228</v>
      </c>
      <c r="B163">
        <v>788</v>
      </c>
      <c r="C163" t="s">
        <v>44</v>
      </c>
      <c r="D163" t="s">
        <v>45</v>
      </c>
      <c r="E163" t="s">
        <v>76</v>
      </c>
      <c r="F163" s="5">
        <v>160</v>
      </c>
      <c r="G163" s="5">
        <v>282000</v>
      </c>
      <c r="H163" s="6">
        <f>Table1[[#This Row],[2024 U.S. Sales ($000)]]/SUMIF($E:$E, E163, $G:$G)</f>
        <v>4.0079590676520747E-2</v>
      </c>
      <c r="I163" s="5">
        <v>315</v>
      </c>
      <c r="J163" s="5">
        <f>Table1[[#This Row],[2024 U.S. Sales ($000)]]/Table1[[#This Row],[2024 U.S. Units]]</f>
        <v>895.23809523809518</v>
      </c>
      <c r="K163" s="6">
        <f>Table1[[#This Row],[2024 U.S. Units]]/Table1[[#This Row],[2023 U.S. Units]]-1</f>
        <v>3.9603960396039639E-2</v>
      </c>
      <c r="L163" s="8">
        <f>(Table1[[#This Row],[2024 Market share (%)]]-Table1[[#This Row],[2023 Market share (%)]])*10000</f>
        <v>69.014174775828408</v>
      </c>
      <c r="M163" s="6">
        <f>_xlfn.RRI(5,Table1[[#This Row],[2019 U.S. Sales ($000)]],Table1[[#This Row],[2024 U.S. Sales ($000)]])</f>
        <v>4.4162654670960366E-2</v>
      </c>
      <c r="N163" s="9">
        <f>(Table1[[#This Row],[2024 Market share (%)]]-Table1[[#This Row],[2019 Market share (%)]])*10000</f>
        <v>42.953181792856832</v>
      </c>
      <c r="O163" s="6">
        <f>IF(Table1[[#This Row],[2024 AUV]]=0,"",_xlfn.RRI(5,Table1[[#This Row],[2019 AUV]],Table1[[#This Row],[2024 AUV]]))</f>
        <v>3.1251011915750304E-2</v>
      </c>
      <c r="P163" s="6">
        <f>_xlfn.RRI(5,Table1[[#This Row],[2019 U.S. Units]],Table1[[#This Row],[2024 U.S. Units]])</f>
        <v>1.2520368567904949E-2</v>
      </c>
      <c r="Q163" s="5">
        <v>269200</v>
      </c>
      <c r="R163" s="6">
        <f>Table1[[#This Row],[2023 U.S. Sales ($000)]]/SUMIF($E:$E, E163, $Q:$Q)</f>
        <v>3.3178173198937906E-2</v>
      </c>
      <c r="S163" s="8">
        <f>(Table1[[#This Row],[2023 Market share (%)]]-Table1[[#This Row],[2022 Market share (%)]])*10000</f>
        <v>-10.063694114835487</v>
      </c>
      <c r="T163" s="10">
        <v>4.584304584304584E-2</v>
      </c>
      <c r="U163" s="5">
        <v>303</v>
      </c>
      <c r="V163" s="5">
        <f t="shared" si="16"/>
        <v>888.44884488448849</v>
      </c>
      <c r="W163" s="10">
        <v>3.3112582781456954E-3</v>
      </c>
      <c r="X163" s="10">
        <f t="shared" si="17"/>
        <v>4.3317956640288369E-2</v>
      </c>
      <c r="Y163" s="8">
        <f>(Table1[[#This Row],[2023 Market share (%)]]-Table1[[#This Row],[2019 Market share (%)]])*10000</f>
        <v>-26.060992982971584</v>
      </c>
      <c r="Z163" s="10">
        <f t="shared" si="18"/>
        <v>3.723927458314269E-2</v>
      </c>
      <c r="AA163" s="10">
        <f t="shared" si="19"/>
        <v>5.860443396330961E-3</v>
      </c>
      <c r="AB163" s="5">
        <v>257400</v>
      </c>
      <c r="AC163" s="6">
        <f>Table1[[#This Row],[2022 U.S. Sales ($000)]]/SUMIF($E:$E, E163, $AB:$AB)</f>
        <v>3.4184542610421455E-2</v>
      </c>
      <c r="AD163" s="5">
        <v>302</v>
      </c>
      <c r="AE163" s="5">
        <f t="shared" si="20"/>
        <v>852.31788079470198</v>
      </c>
      <c r="AF163" s="5">
        <v>244400</v>
      </c>
      <c r="AG163" s="6">
        <f>Table1[[#This Row],[2021 U.S. Sales ($000)]]/SUMIF($E:$E, E163, $AF:$AF)</f>
        <v>3.3474628039904385E-2</v>
      </c>
      <c r="AH163" s="5">
        <v>300</v>
      </c>
      <c r="AI163" s="12">
        <f t="shared" si="21"/>
        <v>814.66666666666663</v>
      </c>
      <c r="AJ163" s="5">
        <v>230600</v>
      </c>
      <c r="AK163" s="6">
        <f>Table1[[#This Row],[2020 U.S. Sales ($000)]]/SUMIF($E:$E, E163, $AJ:$AJ)</f>
        <v>3.6086428404432151E-2</v>
      </c>
      <c r="AL163" s="5">
        <v>299</v>
      </c>
      <c r="AM163" s="5">
        <f t="shared" si="22"/>
        <v>771.23745819397993</v>
      </c>
      <c r="AN163" s="5">
        <v>227200</v>
      </c>
      <c r="AO163" s="6">
        <f>Table1[[#This Row],[2019 U.S. Sales ($000)]]/SUMIF($E:$E, E163, $AN:$AN)</f>
        <v>3.5784272497235065E-2</v>
      </c>
      <c r="AP163" s="5">
        <v>296</v>
      </c>
      <c r="AQ163" s="5">
        <f t="shared" si="23"/>
        <v>767.56756756756761</v>
      </c>
    </row>
    <row r="164" spans="1:43" x14ac:dyDescent="0.25">
      <c r="A164" t="s">
        <v>229</v>
      </c>
      <c r="B164">
        <v>6608</v>
      </c>
      <c r="C164" t="s">
        <v>68</v>
      </c>
      <c r="D164" t="s">
        <v>133</v>
      </c>
      <c r="E164" t="s">
        <v>107</v>
      </c>
      <c r="F164" s="5">
        <v>165</v>
      </c>
      <c r="G164" s="5">
        <v>268000</v>
      </c>
      <c r="H164" s="6">
        <f>Table1[[#This Row],[2024 U.S. Sales ($000)]]/SUMIF($E:$E, E164, $G:$G)</f>
        <v>7.6659038901601834E-2</v>
      </c>
      <c r="I164" s="5">
        <v>30</v>
      </c>
      <c r="J164" s="5">
        <f>Table1[[#This Row],[2024 U.S. Sales ($000)]]/Table1[[#This Row],[2024 U.S. Units]]</f>
        <v>8933.3333333333339</v>
      </c>
      <c r="K164" s="6">
        <f>Table1[[#This Row],[2024 U.S. Units]]/Table1[[#This Row],[2023 U.S. Units]]-1</f>
        <v>3.4482758620689724E-2</v>
      </c>
      <c r="L164" s="8">
        <f>(Table1[[#This Row],[2024 Market share (%)]]-Table1[[#This Row],[2023 Market share (%)]])*10000</f>
        <v>261.3009806205182</v>
      </c>
      <c r="M164" s="6">
        <f>_xlfn.RRI(5,Table1[[#This Row],[2019 U.S. Sales ($000)]],Table1[[#This Row],[2024 U.S. Sales ($000)]])</f>
        <v>0.13275400192227282</v>
      </c>
      <c r="N164" s="9">
        <f>(Table1[[#This Row],[2024 Market share (%)]]-Table1[[#This Row],[2019 Market share (%)]])*10000</f>
        <v>487.2137508132364</v>
      </c>
      <c r="O164" s="6">
        <f>IF(Table1[[#This Row],[2024 AUV]]=0,"",_xlfn.RRI(5,Table1[[#This Row],[2019 AUV]],Table1[[#This Row],[2024 AUV]]))</f>
        <v>5.4763792713262038E-2</v>
      </c>
      <c r="P164" s="6">
        <f>_xlfn.RRI(5,Table1[[#This Row],[2019 U.S. Units]],Table1[[#This Row],[2024 U.S. Units]])</f>
        <v>7.3940923785779322E-2</v>
      </c>
      <c r="Q164" s="5">
        <v>260000</v>
      </c>
      <c r="R164" s="6">
        <f>Table1[[#This Row],[2023 U.S. Sales ($000)]]/SUMIF($E:$E, E164, $Q:$Q)</f>
        <v>5.0528940839550014E-2</v>
      </c>
      <c r="S164" s="8">
        <f>(Table1[[#This Row],[2023 Market share (%)]]-Table1[[#This Row],[2022 Market share (%)]])*10000</f>
        <v>66.786140684468037</v>
      </c>
      <c r="T164" s="10">
        <v>0.13537117903930132</v>
      </c>
      <c r="U164" s="5">
        <v>29</v>
      </c>
      <c r="V164" s="5">
        <f t="shared" si="16"/>
        <v>8965.5172413793098</v>
      </c>
      <c r="W164" s="10">
        <v>3.5714285714285712E-2</v>
      </c>
      <c r="X164" s="10">
        <f t="shared" si="17"/>
        <v>0.1597894261776196</v>
      </c>
      <c r="Y164" s="8">
        <f>(Table1[[#This Row],[2023 Market share (%)]]-Table1[[#This Row],[2019 Market share (%)]])*10000</f>
        <v>225.9127701927182</v>
      </c>
      <c r="Z164" s="10">
        <f t="shared" si="18"/>
        <v>6.9878522245317543E-2</v>
      </c>
      <c r="AA164" s="10">
        <f t="shared" si="19"/>
        <v>8.4038423113316663E-2</v>
      </c>
      <c r="AB164" s="5">
        <v>229000</v>
      </c>
      <c r="AC164" s="6">
        <f>Table1[[#This Row],[2022 U.S. Sales ($000)]]/SUMIF($E:$E, E164, $AB:$AB)</f>
        <v>4.3850326771103211E-2</v>
      </c>
      <c r="AD164" s="5">
        <v>28</v>
      </c>
      <c r="AE164" s="5">
        <f t="shared" si="20"/>
        <v>8178.5714285714284</v>
      </c>
      <c r="AF164" s="5">
        <v>156500</v>
      </c>
      <c r="AG164" s="6">
        <f>Table1[[#This Row],[2021 U.S. Sales ($000)]]/SUMIF($E:$E, E164, $AF:$AF)</f>
        <v>3.2505525939409696E-2</v>
      </c>
      <c r="AH164" s="5">
        <v>26</v>
      </c>
      <c r="AI164" s="12">
        <f t="shared" si="21"/>
        <v>6019.2307692307695</v>
      </c>
      <c r="AJ164" s="5">
        <v>104200</v>
      </c>
      <c r="AK164" s="6">
        <f>Table1[[#This Row],[2020 U.S. Sales ($000)]]/SUMIF($E:$E, E164, $AJ:$AJ)</f>
        <v>3.0587278686214737E-2</v>
      </c>
      <c r="AL164" s="5">
        <v>23</v>
      </c>
      <c r="AM164" s="5">
        <f t="shared" si="22"/>
        <v>4530.434782608696</v>
      </c>
      <c r="AN164" s="5">
        <v>143700</v>
      </c>
      <c r="AO164" s="6">
        <f>Table1[[#This Row],[2019 U.S. Sales ($000)]]/SUMIF($E:$E, E164, $AN:$AN)</f>
        <v>2.7937663820278194E-2</v>
      </c>
      <c r="AP164" s="5">
        <v>21</v>
      </c>
      <c r="AQ164" s="5">
        <f t="shared" si="23"/>
        <v>6842.8571428571431</v>
      </c>
    </row>
    <row r="165" spans="1:43" x14ac:dyDescent="0.25">
      <c r="A165" t="s">
        <v>230</v>
      </c>
      <c r="B165">
        <v>822</v>
      </c>
      <c r="C165" t="s">
        <v>44</v>
      </c>
      <c r="D165" t="s">
        <v>45</v>
      </c>
      <c r="E165" t="s">
        <v>128</v>
      </c>
      <c r="F165" s="5">
        <v>146</v>
      </c>
      <c r="G165" s="5">
        <v>268000</v>
      </c>
      <c r="H165" s="6">
        <f>Table1[[#This Row],[2024 U.S. Sales ($000)]]/SUMIF($E:$E, E165, $G:$G)</f>
        <v>6.1215166742804937E-2</v>
      </c>
      <c r="I165" s="5">
        <v>482</v>
      </c>
      <c r="J165" s="5">
        <f>Table1[[#This Row],[2024 U.S. Sales ($000)]]/Table1[[#This Row],[2024 U.S. Units]]</f>
        <v>556.01659751037346</v>
      </c>
      <c r="K165" s="6">
        <f>Table1[[#This Row],[2024 U.S. Units]]/Table1[[#This Row],[2023 U.S. Units]]-1</f>
        <v>-0.10575139146567714</v>
      </c>
      <c r="L165" s="8">
        <f>(Table1[[#This Row],[2024 Market share (%)]]-Table1[[#This Row],[2023 Market share (%)]])*10000</f>
        <v>38.008725845939253</v>
      </c>
      <c r="M165" s="6">
        <f>_xlfn.RRI(5,Table1[[#This Row],[2019 U.S. Sales ($000)]],Table1[[#This Row],[2024 U.S. Sales ($000)]])</f>
        <v>-7.7064094446629872E-2</v>
      </c>
      <c r="N165" s="9">
        <f>(Table1[[#This Row],[2024 Market share (%)]]-Table1[[#This Row],[2019 Market share (%)]])*10000</f>
        <v>-509.29369125372278</v>
      </c>
      <c r="O165" s="6">
        <f>IF(Table1[[#This Row],[2024 AUV]]=0,"",_xlfn.RRI(5,Table1[[#This Row],[2019 AUV]],Table1[[#This Row],[2024 AUV]]))</f>
        <v>7.1865088023479462E-3</v>
      </c>
      <c r="P165" s="6">
        <f>_xlfn.RRI(5,Table1[[#This Row],[2019 U.S. Units]],Table1[[#This Row],[2024 U.S. Units]])</f>
        <v>-8.3649455699283393E-2</v>
      </c>
      <c r="Q165" s="5">
        <v>298400</v>
      </c>
      <c r="R165" s="6">
        <f>Table1[[#This Row],[2023 U.S. Sales ($000)]]/SUMIF($E:$E, E165, $Q:$Q)</f>
        <v>5.7414294158211011E-2</v>
      </c>
      <c r="S165" s="8">
        <f>(Table1[[#This Row],[2023 Market share (%)]]-Table1[[#This Row],[2022 Market share (%)]])*10000</f>
        <v>-149.99551874783336</v>
      </c>
      <c r="T165" s="10">
        <v>-6.9825436408977551E-2</v>
      </c>
      <c r="U165" s="5">
        <v>539</v>
      </c>
      <c r="V165" s="5">
        <f t="shared" si="16"/>
        <v>553.61781076066791</v>
      </c>
      <c r="W165" s="10">
        <v>-8.1771720613287899E-2</v>
      </c>
      <c r="X165" s="10">
        <f t="shared" si="17"/>
        <v>-7.0754570644486758E-2</v>
      </c>
      <c r="Y165" s="8">
        <f>(Table1[[#This Row],[2023 Market share (%)]]-Table1[[#This Row],[2019 Market share (%)]])*10000</f>
        <v>-547.30241709966208</v>
      </c>
      <c r="Z165" s="10">
        <f t="shared" si="18"/>
        <v>7.9011696585384872E-3</v>
      </c>
      <c r="AA165" s="10">
        <f t="shared" si="19"/>
        <v>-7.8039139819306436E-2</v>
      </c>
      <c r="AB165" s="5">
        <v>320800</v>
      </c>
      <c r="AC165" s="6">
        <f>Table1[[#This Row],[2022 U.S. Sales ($000)]]/SUMIF($E:$E, E165, $AB:$AB)</f>
        <v>7.2413846032994347E-2</v>
      </c>
      <c r="AD165" s="5">
        <v>587</v>
      </c>
      <c r="AE165" s="5">
        <f t="shared" si="20"/>
        <v>546.50766609880748</v>
      </c>
      <c r="AF165" s="5">
        <v>334800</v>
      </c>
      <c r="AG165" s="6">
        <f>Table1[[#This Row],[2021 U.S. Sales ($000)]]/SUMIF($E:$E, E165, $AF:$AF)</f>
        <v>8.8739329016170279E-2</v>
      </c>
      <c r="AH165" s="5">
        <v>635</v>
      </c>
      <c r="AI165" s="12">
        <f t="shared" si="21"/>
        <v>527.24409448818892</v>
      </c>
      <c r="AJ165" s="5">
        <v>337500</v>
      </c>
      <c r="AK165" s="6">
        <f>Table1[[#This Row],[2020 U.S. Sales ($000)]]/SUMIF($E:$E, E165, $AJ:$AJ)</f>
        <v>0.1101368307351919</v>
      </c>
      <c r="AL165" s="5">
        <v>674</v>
      </c>
      <c r="AM165" s="5">
        <f t="shared" si="22"/>
        <v>500.74183976261128</v>
      </c>
      <c r="AN165" s="5">
        <v>400200</v>
      </c>
      <c r="AO165" s="6">
        <f>Table1[[#This Row],[2019 U.S. Sales ($000)]]/SUMIF($E:$E, E165, $AN:$AN)</f>
        <v>0.11214453586817721</v>
      </c>
      <c r="AP165" s="5">
        <v>746</v>
      </c>
      <c r="AQ165" s="5">
        <f t="shared" si="23"/>
        <v>536.46112600536196</v>
      </c>
    </row>
    <row r="166" spans="1:43" x14ac:dyDescent="0.25">
      <c r="A166" t="s">
        <v>231</v>
      </c>
      <c r="B166">
        <v>875</v>
      </c>
      <c r="C166" t="s">
        <v>44</v>
      </c>
      <c r="D166" t="s">
        <v>56</v>
      </c>
      <c r="E166" t="s">
        <v>59</v>
      </c>
      <c r="F166" s="5">
        <v>154</v>
      </c>
      <c r="G166" s="5">
        <v>266000</v>
      </c>
      <c r="H166" s="6">
        <f>Table1[[#This Row],[2024 U.S. Sales ($000)]]/SUMIF($E:$E, E166, $G:$G)</f>
        <v>7.6167568651032275E-3</v>
      </c>
      <c r="I166" s="5">
        <v>196</v>
      </c>
      <c r="J166" s="5">
        <f>Table1[[#This Row],[2024 U.S. Sales ($000)]]/Table1[[#This Row],[2024 U.S. Units]]</f>
        <v>1357.1428571428571</v>
      </c>
      <c r="K166" s="6">
        <f>Table1[[#This Row],[2024 U.S. Units]]/Table1[[#This Row],[2023 U.S. Units]]-1</f>
        <v>-5.3140096618357502E-2</v>
      </c>
      <c r="L166" s="8">
        <f>(Table1[[#This Row],[2024 Market share (%)]]-Table1[[#This Row],[2023 Market share (%)]])*10000</f>
        <v>-4.764083569031019E-3</v>
      </c>
      <c r="M166" s="6">
        <f>_xlfn.RRI(5,Table1[[#This Row],[2019 U.S. Sales ($000)]],Table1[[#This Row],[2024 U.S. Sales ($000)]])</f>
        <v>2.2129608938970424E-2</v>
      </c>
      <c r="N166" s="9">
        <f>(Table1[[#This Row],[2024 Market share (%)]]-Table1[[#This Row],[2019 Market share (%)]])*10000</f>
        <v>3.1764030847512488</v>
      </c>
      <c r="O166" s="6">
        <f>IF(Table1[[#This Row],[2024 AUV]]=0,"",_xlfn.RRI(5,Table1[[#This Row],[2019 AUV]],Table1[[#This Row],[2024 AUV]]))</f>
        <v>4.1219868685015371E-2</v>
      </c>
      <c r="P166" s="6">
        <f>_xlfn.RRI(5,Table1[[#This Row],[2019 U.S. Units]],Table1[[#This Row],[2024 U.S. Units]])</f>
        <v>-1.8334513506887418E-2</v>
      </c>
      <c r="Q166" s="5">
        <v>287710</v>
      </c>
      <c r="R166" s="6">
        <f>Table1[[#This Row],[2023 U.S. Sales ($000)]]/SUMIF($E:$E, E166, $Q:$Q)</f>
        <v>7.6172332734601306E-3</v>
      </c>
      <c r="S166" s="8">
        <f>(Table1[[#This Row],[2023 Market share (%)]]-Table1[[#This Row],[2022 Market share (%)]])*10000</f>
        <v>-4.8390898513893559</v>
      </c>
      <c r="T166" s="10">
        <v>-7.4447679633488344E-3</v>
      </c>
      <c r="U166" s="5">
        <v>207</v>
      </c>
      <c r="V166" s="5">
        <f t="shared" si="16"/>
        <v>1389.9033816425122</v>
      </c>
      <c r="W166" s="10">
        <v>-9.5693779904306216E-3</v>
      </c>
      <c r="X166" s="10">
        <f t="shared" si="17"/>
        <v>4.8095343339096708E-2</v>
      </c>
      <c r="Y166" s="8">
        <f>(Table1[[#This Row],[2023 Market share (%)]]-Table1[[#This Row],[2019 Market share (%)]])*10000</f>
        <v>3.1811671683202798</v>
      </c>
      <c r="Z166" s="10">
        <f t="shared" si="18"/>
        <v>5.807833035182286E-2</v>
      </c>
      <c r="AA166" s="10">
        <f t="shared" si="19"/>
        <v>-9.4350169797037253E-3</v>
      </c>
      <c r="AB166" s="5">
        <v>289868</v>
      </c>
      <c r="AC166" s="6">
        <f>Table1[[#This Row],[2022 U.S. Sales ($000)]]/SUMIF($E:$E, E166, $AB:$AB)</f>
        <v>8.1011422585990662E-3</v>
      </c>
      <c r="AD166" s="5">
        <v>209</v>
      </c>
      <c r="AE166" s="5">
        <f t="shared" si="20"/>
        <v>1386.9282296650717</v>
      </c>
      <c r="AF166" s="5">
        <v>295992</v>
      </c>
      <c r="AG166" s="6">
        <f>Table1[[#This Row],[2021 U.S. Sales ($000)]]/SUMIF($E:$E, E166, $AF:$AF)</f>
        <v>8.9212920043713097E-3</v>
      </c>
      <c r="AH166" s="5">
        <v>215</v>
      </c>
      <c r="AI166" s="12">
        <f t="shared" si="21"/>
        <v>1376.706976744186</v>
      </c>
      <c r="AJ166" s="5">
        <v>240430</v>
      </c>
      <c r="AK166" s="6">
        <f>Table1[[#This Row],[2020 U.S. Sales ($000)]]/SUMIF($E:$E, E166, $AJ:$AJ)</f>
        <v>8.442225862741199E-3</v>
      </c>
      <c r="AL166" s="5">
        <v>213</v>
      </c>
      <c r="AM166" s="5">
        <f t="shared" si="22"/>
        <v>1128.7793427230047</v>
      </c>
      <c r="AN166" s="5">
        <v>238425</v>
      </c>
      <c r="AO166" s="6">
        <f>Table1[[#This Row],[2019 U.S. Sales ($000)]]/SUMIF($E:$E, E166, $AN:$AN)</f>
        <v>7.2991165566281026E-3</v>
      </c>
      <c r="AP166" s="5">
        <v>215</v>
      </c>
      <c r="AQ166" s="5">
        <f t="shared" si="23"/>
        <v>1108.953488372093</v>
      </c>
    </row>
    <row r="167" spans="1:43" x14ac:dyDescent="0.25">
      <c r="A167" t="s">
        <v>232</v>
      </c>
      <c r="B167">
        <v>11624</v>
      </c>
      <c r="C167" t="s">
        <v>44</v>
      </c>
      <c r="D167" t="s">
        <v>56</v>
      </c>
      <c r="E167" t="s">
        <v>59</v>
      </c>
      <c r="F167" s="5">
        <v>187</v>
      </c>
      <c r="G167" s="5">
        <v>265000</v>
      </c>
      <c r="H167" s="6">
        <f>Table1[[#This Row],[2024 U.S. Sales ($000)]]/SUMIF($E:$E, E167, $G:$G)</f>
        <v>7.5881224407983276E-3</v>
      </c>
      <c r="I167" s="5">
        <v>75</v>
      </c>
      <c r="J167" s="5">
        <f>Table1[[#This Row],[2024 U.S. Sales ($000)]]/Table1[[#This Row],[2024 U.S. Units]]</f>
        <v>3533.3333333333335</v>
      </c>
      <c r="K167" s="6">
        <f>Table1[[#This Row],[2024 U.S. Units]]/Table1[[#This Row],[2023 U.S. Units]]-1</f>
        <v>0.171875</v>
      </c>
      <c r="L167" s="8">
        <f>(Table1[[#This Row],[2024 Market share (%)]]-Table1[[#This Row],[2023 Market share (%)]])*10000</f>
        <v>17.502998527827604</v>
      </c>
      <c r="M167" s="6">
        <f>_xlfn.RRI(5,Table1[[#This Row],[2019 U.S. Sales ($000)]],Table1[[#This Row],[2024 U.S. Sales ($000)]])</f>
        <v>0.2305975789570418</v>
      </c>
      <c r="N167" s="9">
        <f>(Table1[[#This Row],[2024 Market share (%)]]-Table1[[#This Row],[2019 Market share (%)]])*10000</f>
        <v>47.13478235419786</v>
      </c>
      <c r="O167" s="6">
        <f>IF(Table1[[#This Row],[2024 AUV]]=0,"",_xlfn.RRI(5,Table1[[#This Row],[2019 AUV]],Table1[[#This Row],[2024 AUV]]))</f>
        <v>3.7848111297682729E-2</v>
      </c>
      <c r="P167" s="6">
        <f>_xlfn.RRI(5,Table1[[#This Row],[2019 U.S. Units]],Table1[[#This Row],[2024 U.S. Units]])</f>
        <v>0.18572030488965585</v>
      </c>
      <c r="Q167" s="5">
        <v>220500</v>
      </c>
      <c r="R167" s="6">
        <f>Table1[[#This Row],[2023 U.S. Sales ($000)]]/SUMIF($E:$E, E167, $Q:$Q)</f>
        <v>5.8378225880155671E-3</v>
      </c>
      <c r="S167" s="8">
        <f>(Table1[[#This Row],[2023 Market share (%)]]-Table1[[#This Row],[2022 Market share (%)]])*10000</f>
        <v>8.0723760951558869</v>
      </c>
      <c r="T167" s="10">
        <v>0.22500000000000001</v>
      </c>
      <c r="U167" s="5">
        <v>64</v>
      </c>
      <c r="V167" s="5">
        <f t="shared" si="16"/>
        <v>3445.3125</v>
      </c>
      <c r="W167" s="10">
        <v>0.28000000000000003</v>
      </c>
      <c r="X167" s="10">
        <f t="shared" si="17"/>
        <v>0.23790053429328273</v>
      </c>
      <c r="Y167" s="8">
        <f>(Table1[[#This Row],[2023 Market share (%)]]-Table1[[#This Row],[2019 Market share (%)]])*10000</f>
        <v>29.631783826370253</v>
      </c>
      <c r="Z167" s="10">
        <f t="shared" si="18"/>
        <v>4.0946121727879259E-2</v>
      </c>
      <c r="AA167" s="10">
        <f t="shared" si="19"/>
        <v>0.18920711500272103</v>
      </c>
      <c r="AB167" s="5">
        <v>180000</v>
      </c>
      <c r="AC167" s="6">
        <f>Table1[[#This Row],[2022 U.S. Sales ($000)]]/SUMIF($E:$E, E167, $AB:$AB)</f>
        <v>5.0305849784999784E-3</v>
      </c>
      <c r="AD167" s="5">
        <v>50</v>
      </c>
      <c r="AE167" s="5">
        <f t="shared" si="20"/>
        <v>3600</v>
      </c>
      <c r="AF167" s="5">
        <v>129500</v>
      </c>
      <c r="AG167" s="6">
        <f>Table1[[#This Row],[2021 U.S. Sales ($000)]]/SUMIF($E:$E, E167, $AF:$AF)</f>
        <v>3.9031707430136108E-3</v>
      </c>
      <c r="AH167" s="5">
        <v>42</v>
      </c>
      <c r="AI167" s="12">
        <f t="shared" si="21"/>
        <v>3083.3333333333335</v>
      </c>
      <c r="AJ167" s="5">
        <v>91100</v>
      </c>
      <c r="AK167" s="6">
        <f>Table1[[#This Row],[2020 U.S. Sales ($000)]]/SUMIF($E:$E, E167, $AJ:$AJ)</f>
        <v>3.198797055674097E-3</v>
      </c>
      <c r="AL167" s="5">
        <v>36</v>
      </c>
      <c r="AM167" s="5">
        <f t="shared" si="22"/>
        <v>2530.5555555555557</v>
      </c>
      <c r="AN167" s="5">
        <v>93900</v>
      </c>
      <c r="AO167" s="6">
        <f>Table1[[#This Row],[2019 U.S. Sales ($000)]]/SUMIF($E:$E, E167, $AN:$AN)</f>
        <v>2.8746442053785418E-3</v>
      </c>
      <c r="AP167" s="5">
        <v>32</v>
      </c>
      <c r="AQ167" s="5">
        <f t="shared" si="23"/>
        <v>2934.375</v>
      </c>
    </row>
    <row r="168" spans="1:43" x14ac:dyDescent="0.25">
      <c r="A168" t="s">
        <v>233</v>
      </c>
      <c r="B168">
        <v>968</v>
      </c>
      <c r="C168" t="s">
        <v>68</v>
      </c>
      <c r="D168" t="s">
        <v>69</v>
      </c>
      <c r="E168" t="s">
        <v>79</v>
      </c>
      <c r="F168" s="5">
        <v>200</v>
      </c>
      <c r="G168" s="5">
        <v>265000</v>
      </c>
      <c r="H168" s="6">
        <f>Table1[[#This Row],[2024 U.S. Sales ($000)]]/SUMIF($E:$E, E168, $G:$G)</f>
        <v>1.2739772126340081E-2</v>
      </c>
      <c r="I168" s="5">
        <v>37</v>
      </c>
      <c r="J168" s="5">
        <f>Table1[[#This Row],[2024 U.S. Sales ($000)]]/Table1[[#This Row],[2024 U.S. Units]]</f>
        <v>7162.1621621621625</v>
      </c>
      <c r="K168" s="6">
        <f>Table1[[#This Row],[2024 U.S. Units]]/Table1[[#This Row],[2023 U.S. Units]]-1</f>
        <v>0</v>
      </c>
      <c r="L168" s="8">
        <f>(Table1[[#This Row],[2024 Market share (%)]]-Table1[[#This Row],[2023 Market share (%)]])*10000</f>
        <v>44.032212132286624</v>
      </c>
      <c r="M168" s="6">
        <f>_xlfn.RRI(5,Table1[[#This Row],[2019 U.S. Sales ($000)]],Table1[[#This Row],[2024 U.S. Sales ($000)]])</f>
        <v>4.623243119157161E-2</v>
      </c>
      <c r="N168" s="9">
        <f>(Table1[[#This Row],[2024 Market share (%)]]-Table1[[#This Row],[2019 Market share (%)]])*10000</f>
        <v>34.828101596674209</v>
      </c>
      <c r="O168" s="6">
        <f>IF(Table1[[#This Row],[2024 AUV]]=0,"",_xlfn.RRI(5,Table1[[#This Row],[2019 AUV]],Table1[[#This Row],[2024 AUV]]))</f>
        <v>2.8687865268741675E-2</v>
      </c>
      <c r="P168" s="6">
        <f>_xlfn.RRI(5,Table1[[#This Row],[2019 U.S. Units]],Table1[[#This Row],[2024 U.S. Units]])</f>
        <v>1.7055286171035355E-2</v>
      </c>
      <c r="Q168" s="5">
        <v>201100</v>
      </c>
      <c r="R168" s="6">
        <f>Table1[[#This Row],[2023 U.S. Sales ($000)]]/SUMIF($E:$E, E168, $Q:$Q)</f>
        <v>8.3365509131114179E-3</v>
      </c>
      <c r="S168" s="8">
        <f>(Table1[[#This Row],[2023 Market share (%)]]-Table1[[#This Row],[2022 Market share (%)]])*10000</f>
        <v>3.9754864456384431</v>
      </c>
      <c r="T168" s="10">
        <v>7.7129084092126404E-2</v>
      </c>
      <c r="U168" s="5">
        <v>37</v>
      </c>
      <c r="V168" s="5">
        <f t="shared" si="16"/>
        <v>5435.135135135135</v>
      </c>
      <c r="W168" s="10">
        <v>2.7777777777777776E-2</v>
      </c>
      <c r="X168" s="10">
        <f t="shared" si="17"/>
        <v>-1.2409799563750656E-2</v>
      </c>
      <c r="Y168" s="8">
        <f>(Table1[[#This Row],[2023 Market share (%)]]-Table1[[#This Row],[2019 Market share (%)]])*10000</f>
        <v>-9.2041105356124167</v>
      </c>
      <c r="Z168" s="10">
        <f t="shared" si="18"/>
        <v>-3.3067695020739363E-2</v>
      </c>
      <c r="AA168" s="10">
        <f t="shared" si="19"/>
        <v>2.1364365789218187E-2</v>
      </c>
      <c r="AB168" s="5">
        <v>186700</v>
      </c>
      <c r="AC168" s="6">
        <f>Table1[[#This Row],[2022 U.S. Sales ($000)]]/SUMIF($E:$E, E168, $AB:$AB)</f>
        <v>7.9390022685475736E-3</v>
      </c>
      <c r="AD168" s="5">
        <v>36</v>
      </c>
      <c r="AE168" s="5">
        <f t="shared" si="20"/>
        <v>5186.1111111111113</v>
      </c>
      <c r="AF168" s="5">
        <v>172500</v>
      </c>
      <c r="AG168" s="6">
        <f>Table1[[#This Row],[2021 U.S. Sales ($000)]]/SUMIF($E:$E, E168, $AF:$AF)</f>
        <v>7.9419505568688546E-3</v>
      </c>
      <c r="AH168" s="5">
        <v>35</v>
      </c>
      <c r="AI168" s="12">
        <f t="shared" si="21"/>
        <v>4928.5714285714284</v>
      </c>
      <c r="AJ168" s="5">
        <v>137000</v>
      </c>
      <c r="AK168" s="6">
        <f>Table1[[#This Row],[2020 U.S. Sales ($000)]]/SUMIF($E:$E, E168, $AJ:$AJ)</f>
        <v>8.4016622535453642E-3</v>
      </c>
      <c r="AL168" s="5">
        <v>34</v>
      </c>
      <c r="AM168" s="5">
        <f t="shared" si="22"/>
        <v>4029.4117647058824</v>
      </c>
      <c r="AN168" s="5">
        <v>211400</v>
      </c>
      <c r="AO168" s="6">
        <f>Table1[[#This Row],[2019 U.S. Sales ($000)]]/SUMIF($E:$E, E168, $AN:$AN)</f>
        <v>9.2569619666726596E-3</v>
      </c>
      <c r="AP168" s="5">
        <v>34</v>
      </c>
      <c r="AQ168" s="5">
        <f t="shared" si="23"/>
        <v>6217.6470588235297</v>
      </c>
    </row>
    <row r="169" spans="1:43" x14ac:dyDescent="0.25">
      <c r="A169" t="s">
        <v>234</v>
      </c>
      <c r="B169">
        <v>2791</v>
      </c>
      <c r="C169" t="s">
        <v>44</v>
      </c>
      <c r="D169" t="s">
        <v>56</v>
      </c>
      <c r="E169" t="s">
        <v>128</v>
      </c>
      <c r="F169" s="5">
        <v>139</v>
      </c>
      <c r="G169" s="5">
        <v>264000</v>
      </c>
      <c r="H169" s="6">
        <f>Table1[[#This Row],[2024 U.S. Sales ($000)]]/SUMIF($E:$E, E169, $G:$G)</f>
        <v>6.030150753768844E-2</v>
      </c>
      <c r="I169" s="5">
        <v>386</v>
      </c>
      <c r="J169" s="5">
        <f>Table1[[#This Row],[2024 U.S. Sales ($000)]]/Table1[[#This Row],[2024 U.S. Units]]</f>
        <v>683.93782383419693</v>
      </c>
      <c r="K169" s="6">
        <f>Table1[[#This Row],[2024 U.S. Units]]/Table1[[#This Row],[2023 U.S. Units]]-1</f>
        <v>-0.17697228144989341</v>
      </c>
      <c r="L169" s="8">
        <f>(Table1[[#This Row],[2024 Market share (%)]]-Table1[[#This Row],[2023 Market share (%)]])*10000</f>
        <v>-16.5359540783417</v>
      </c>
      <c r="M169" s="6">
        <f>_xlfn.RRI(5,Table1[[#This Row],[2019 U.S. Sales ($000)]],Table1[[#This Row],[2024 U.S. Sales ($000)]])</f>
        <v>-5.5105804948964443E-2</v>
      </c>
      <c r="N169" s="9">
        <f>(Table1[[#This Row],[2024 Market share (%)]]-Table1[[#This Row],[2019 Market share (%)]])*10000</f>
        <v>-379.16033246409796</v>
      </c>
      <c r="O169" s="6">
        <f>IF(Table1[[#This Row],[2024 AUV]]=0,"",_xlfn.RRI(5,Table1[[#This Row],[2019 AUV]],Table1[[#This Row],[2024 AUV]]))</f>
        <v>-2.5392313853129789E-3</v>
      </c>
      <c r="P169" s="6">
        <f>_xlfn.RRI(5,Table1[[#This Row],[2019 U.S. Units]],Table1[[#This Row],[2024 U.S. Units]])</f>
        <v>-5.2700392053171119E-2</v>
      </c>
      <c r="Q169" s="5">
        <v>322000</v>
      </c>
      <c r="R169" s="6">
        <f>Table1[[#This Row],[2023 U.S. Sales ($000)]]/SUMIF($E:$E, E169, $Q:$Q)</f>
        <v>6.195510294552261E-2</v>
      </c>
      <c r="S169" s="8">
        <f>(Table1[[#This Row],[2023 Market share (%)]]-Table1[[#This Row],[2022 Market share (%)]])*10000</f>
        <v>-146.79874386776586</v>
      </c>
      <c r="T169" s="10">
        <v>-5.1546391752577317E-2</v>
      </c>
      <c r="U169" s="5">
        <v>469</v>
      </c>
      <c r="V169" s="5">
        <f t="shared" si="16"/>
        <v>686.56716417910445</v>
      </c>
      <c r="W169" s="10">
        <v>-3.2989690721649485E-2</v>
      </c>
      <c r="X169" s="10">
        <f t="shared" si="17"/>
        <v>-2.0979101828485169E-2</v>
      </c>
      <c r="Y169" s="8">
        <f>(Table1[[#This Row],[2023 Market share (%)]]-Table1[[#This Row],[2019 Market share (%)]])*10000</f>
        <v>-362.62437838575624</v>
      </c>
      <c r="Z169" s="10">
        <f t="shared" si="18"/>
        <v>-2.2163552717912038E-3</v>
      </c>
      <c r="AA169" s="10">
        <f t="shared" si="19"/>
        <v>-1.880442384060621E-2</v>
      </c>
      <c r="AB169" s="5">
        <v>339500</v>
      </c>
      <c r="AC169" s="6">
        <f>Table1[[#This Row],[2022 U.S. Sales ($000)]]/SUMIF($E:$E, E169, $AB:$AB)</f>
        <v>7.6634977332299195E-2</v>
      </c>
      <c r="AD169" s="5">
        <v>485</v>
      </c>
      <c r="AE169" s="5">
        <f t="shared" si="20"/>
        <v>700</v>
      </c>
      <c r="AF169" s="5">
        <v>316200</v>
      </c>
      <c r="AG169" s="6">
        <f>Table1[[#This Row],[2021 U.S. Sales ($000)]]/SUMIF($E:$E, E169, $AF:$AF)</f>
        <v>8.3809366293049706E-2</v>
      </c>
      <c r="AH169" s="5">
        <v>485</v>
      </c>
      <c r="AI169" s="12">
        <f t="shared" si="21"/>
        <v>651.95876288659792</v>
      </c>
      <c r="AJ169" s="5">
        <v>266800</v>
      </c>
      <c r="AK169" s="6">
        <f>Table1[[#This Row],[2020 U.S. Sales ($000)]]/SUMIF($E:$E, E169, $AJ:$AJ)</f>
        <v>8.7065204267108731E-2</v>
      </c>
      <c r="AL169" s="5">
        <v>473</v>
      </c>
      <c r="AM169" s="5">
        <f t="shared" si="22"/>
        <v>564.05919661733617</v>
      </c>
      <c r="AN169" s="5">
        <v>350500</v>
      </c>
      <c r="AO169" s="6">
        <f>Table1[[#This Row],[2019 U.S. Sales ($000)]]/SUMIF($E:$E, E169, $AN:$AN)</f>
        <v>9.8217540784098237E-2</v>
      </c>
      <c r="AP169" s="5">
        <v>506</v>
      </c>
      <c r="AQ169" s="5">
        <f t="shared" si="23"/>
        <v>692.68774703557312</v>
      </c>
    </row>
    <row r="170" spans="1:43" x14ac:dyDescent="0.25">
      <c r="A170" t="s">
        <v>235</v>
      </c>
      <c r="B170">
        <v>9463</v>
      </c>
      <c r="C170" t="s">
        <v>44</v>
      </c>
      <c r="D170" t="s">
        <v>45</v>
      </c>
      <c r="E170" t="s">
        <v>112</v>
      </c>
      <c r="F170" s="5">
        <v>447</v>
      </c>
      <c r="G170" s="5">
        <v>263000</v>
      </c>
      <c r="H170" s="6">
        <f>Table1[[#This Row],[2024 U.S. Sales ($000)]]/SUMIF($E:$E, E170, $G:$G)</f>
        <v>3.2034104750304507E-2</v>
      </c>
      <c r="I170" s="5">
        <v>80</v>
      </c>
      <c r="J170" s="5">
        <f>Table1[[#This Row],[2024 U.S. Sales ($000)]]/Table1[[#This Row],[2024 U.S. Units]]</f>
        <v>3287.5</v>
      </c>
      <c r="K170" s="6">
        <f>Table1[[#This Row],[2024 U.S. Units]]/Table1[[#This Row],[2023 U.S. Units]]-1</f>
        <v>9.5890410958904049E-2</v>
      </c>
      <c r="L170" s="8">
        <f>(Table1[[#This Row],[2024 Market share (%)]]-Table1[[#This Row],[2023 Market share (%)]])*10000</f>
        <v>237.80658453111079</v>
      </c>
      <c r="M170" s="6">
        <f>_xlfn.RRI(5,Table1[[#This Row],[2019 U.S. Sales ($000)]],Table1[[#This Row],[2024 U.S. Sales ($000)]])</f>
        <v>0.3548981600808343</v>
      </c>
      <c r="N170" s="9">
        <f>(Table1[[#This Row],[2024 Market share (%)]]-Table1[[#This Row],[2019 Market share (%)]])*10000</f>
        <v>201.74314647999404</v>
      </c>
      <c r="O170" s="6">
        <f>IF(Table1[[#This Row],[2024 AUV]]=0,"",_xlfn.RRI(5,Table1[[#This Row],[2019 AUV]],Table1[[#This Row],[2024 AUV]]))</f>
        <v>0.30375937012774656</v>
      </c>
      <c r="P170" s="6">
        <f>_xlfn.RRI(5,Table1[[#This Row],[2019 U.S. Units]],Table1[[#This Row],[2024 U.S. Units]])</f>
        <v>3.9224101567206349E-2</v>
      </c>
      <c r="Q170" s="5">
        <v>68300</v>
      </c>
      <c r="R170" s="6">
        <f>Table1[[#This Row],[2023 U.S. Sales ($000)]]/SUMIF($E:$E, E170, $Q:$Q)</f>
        <v>8.2534462971934289E-3</v>
      </c>
      <c r="S170" s="8">
        <f>(Table1[[#This Row],[2023 Market share (%)]]-Table1[[#This Row],[2022 Market share (%)]])*10000</f>
        <v>-3.5039659907416985</v>
      </c>
      <c r="T170" s="10">
        <v>7.5590551181102361E-2</v>
      </c>
      <c r="U170" s="5">
        <v>73</v>
      </c>
      <c r="V170" s="5">
        <f t="shared" si="16"/>
        <v>935.61643835616439</v>
      </c>
      <c r="W170" s="10">
        <v>4.2857142857142858E-2</v>
      </c>
      <c r="X170" s="10">
        <f t="shared" si="17"/>
        <v>4.3517063643106813E-2</v>
      </c>
      <c r="Y170" s="8">
        <f>(Table1[[#This Row],[2023 Market share (%)]]-Table1[[#This Row],[2019 Market share (%)]])*10000</f>
        <v>-36.063438051116734</v>
      </c>
      <c r="Z170" s="10">
        <f t="shared" si="18"/>
        <v>1.7547809992389363E-2</v>
      </c>
      <c r="AA170" s="10">
        <f t="shared" si="19"/>
        <v>2.5521408818040214E-2</v>
      </c>
      <c r="AB170" s="5">
        <v>63500</v>
      </c>
      <c r="AC170" s="6">
        <f>Table1[[#This Row],[2022 U.S. Sales ($000)]]/SUMIF($E:$E, E170, $AB:$AB)</f>
        <v>8.6038428962675988E-3</v>
      </c>
      <c r="AD170" s="5">
        <v>70</v>
      </c>
      <c r="AE170" s="5">
        <f t="shared" si="20"/>
        <v>907.14285714285711</v>
      </c>
      <c r="AF170" s="5">
        <v>58700</v>
      </c>
      <c r="AG170" s="6">
        <f>Table1[[#This Row],[2021 U.S. Sales ($000)]]/SUMIF($E:$E, E170, $AF:$AF)</f>
        <v>9.3831723114893503E-3</v>
      </c>
      <c r="AH170" s="5">
        <v>68</v>
      </c>
      <c r="AI170" s="12">
        <f t="shared" si="21"/>
        <v>863.23529411764707</v>
      </c>
      <c r="AJ170" s="5">
        <v>51500</v>
      </c>
      <c r="AK170" s="6">
        <f>Table1[[#This Row],[2020 U.S. Sales ($000)]]/SUMIF($E:$E, E170, $AJ:$AJ)</f>
        <v>1.1158436362895751E-2</v>
      </c>
      <c r="AL170" s="5">
        <v>67</v>
      </c>
      <c r="AM170" s="5">
        <f t="shared" si="22"/>
        <v>768.6567164179105</v>
      </c>
      <c r="AN170" s="5">
        <v>57600</v>
      </c>
      <c r="AO170" s="6">
        <f>Table1[[#This Row],[2019 U.S. Sales ($000)]]/SUMIF($E:$E, E170, $AN:$AN)</f>
        <v>1.1859790102305102E-2</v>
      </c>
      <c r="AP170" s="5">
        <v>66</v>
      </c>
      <c r="AQ170" s="5">
        <f t="shared" si="23"/>
        <v>872.72727272727275</v>
      </c>
    </row>
    <row r="171" spans="1:43" x14ac:dyDescent="0.25">
      <c r="A171" t="s">
        <v>236</v>
      </c>
      <c r="B171">
        <v>813</v>
      </c>
      <c r="C171" t="s">
        <v>44</v>
      </c>
      <c r="D171" t="s">
        <v>45</v>
      </c>
      <c r="E171" t="s">
        <v>61</v>
      </c>
      <c r="F171" s="5">
        <v>159</v>
      </c>
      <c r="G171" s="5">
        <v>263000</v>
      </c>
      <c r="H171" s="6">
        <f>Table1[[#This Row],[2024 U.S. Sales ($000)]]/SUMIF($E:$E, E171, $G:$G)</f>
        <v>8.948621980265397E-3</v>
      </c>
      <c r="I171" s="5">
        <v>595</v>
      </c>
      <c r="J171" s="5">
        <f>Table1[[#This Row],[2024 U.S. Sales ($000)]]/Table1[[#This Row],[2024 U.S. Units]]</f>
        <v>442.01680672268907</v>
      </c>
      <c r="K171" s="6">
        <f>Table1[[#This Row],[2024 U.S. Units]]/Table1[[#This Row],[2023 U.S. Units]]-1</f>
        <v>-5.0167224080267525E-3</v>
      </c>
      <c r="L171" s="8">
        <f>(Table1[[#This Row],[2024 Market share (%)]]-Table1[[#This Row],[2023 Market share (%)]])*10000</f>
        <v>-0.34322439697469231</v>
      </c>
      <c r="M171" s="6">
        <f>_xlfn.RRI(5,Table1[[#This Row],[2019 U.S. Sales ($000)]],Table1[[#This Row],[2024 U.S. Sales ($000)]])</f>
        <v>1.1569684945877956E-2</v>
      </c>
      <c r="N171" s="9">
        <f>(Table1[[#This Row],[2024 Market share (%)]]-Table1[[#This Row],[2019 Market share (%)]])*10000</f>
        <v>-6.7218083795176149</v>
      </c>
      <c r="O171" s="6">
        <f>IF(Table1[[#This Row],[2024 AUV]]=0,"",_xlfn.RRI(5,Table1[[#This Row],[2019 AUV]],Table1[[#This Row],[2024 AUV]]))</f>
        <v>8.4907887327207998E-3</v>
      </c>
      <c r="P171" s="6">
        <f>_xlfn.RRI(5,Table1[[#This Row],[2019 U.S. Units]],Table1[[#This Row],[2024 U.S. Units]])</f>
        <v>3.0529740554459117E-3</v>
      </c>
      <c r="Q171" s="5">
        <v>274400</v>
      </c>
      <c r="R171" s="6">
        <f>Table1[[#This Row],[2023 U.S. Sales ($000)]]/SUMIF($E:$E, E171, $Q:$Q)</f>
        <v>8.9829444199628662E-3</v>
      </c>
      <c r="S171" s="8">
        <f>(Table1[[#This Row],[2023 Market share (%)]]-Table1[[#This Row],[2022 Market share (%)]])*10000</f>
        <v>-5.1046975135303487</v>
      </c>
      <c r="T171" s="10">
        <v>-2.6259758694109299E-2</v>
      </c>
      <c r="U171" s="5">
        <v>598</v>
      </c>
      <c r="V171" s="5">
        <f t="shared" si="16"/>
        <v>458.86287625418061</v>
      </c>
      <c r="W171" s="10">
        <v>-1.6447368421052631E-2</v>
      </c>
      <c r="X171" s="10">
        <f t="shared" si="17"/>
        <v>2.5302099960598845E-2</v>
      </c>
      <c r="Y171" s="8">
        <f>(Table1[[#This Row],[2023 Market share (%)]]-Table1[[#This Row],[2019 Market share (%)]])*10000</f>
        <v>-6.3785839825429225</v>
      </c>
      <c r="Z171" s="10">
        <f t="shared" si="18"/>
        <v>2.0119278067316282E-2</v>
      </c>
      <c r="AA171" s="10">
        <f t="shared" si="19"/>
        <v>5.0806038124304731E-3</v>
      </c>
      <c r="AB171" s="5">
        <v>281800</v>
      </c>
      <c r="AC171" s="6">
        <f>Table1[[#This Row],[2022 U.S. Sales ($000)]]/SUMIF($E:$E, E171, $AB:$AB)</f>
        <v>9.4934141713159011E-3</v>
      </c>
      <c r="AD171" s="5">
        <v>608</v>
      </c>
      <c r="AE171" s="5">
        <f t="shared" si="20"/>
        <v>463.48684210526318</v>
      </c>
      <c r="AF171" s="5">
        <v>275300</v>
      </c>
      <c r="AG171" s="6">
        <f>Table1[[#This Row],[2021 U.S. Sales ($000)]]/SUMIF($E:$E, E171, $AF:$AF)</f>
        <v>9.4707133755507662E-3</v>
      </c>
      <c r="AH171" s="5">
        <v>604</v>
      </c>
      <c r="AI171" s="12">
        <f t="shared" si="21"/>
        <v>455.79470198675494</v>
      </c>
      <c r="AJ171" s="5">
        <v>259400</v>
      </c>
      <c r="AK171" s="6">
        <f>Table1[[#This Row],[2020 U.S. Sales ($000)]]/SUMIF($E:$E, E171, $AJ:$AJ)</f>
        <v>9.5836544972111529E-3</v>
      </c>
      <c r="AL171" s="5">
        <v>593</v>
      </c>
      <c r="AM171" s="5">
        <f t="shared" si="22"/>
        <v>437.43676222596963</v>
      </c>
      <c r="AN171" s="5">
        <v>248300</v>
      </c>
      <c r="AO171" s="6">
        <f>Table1[[#This Row],[2019 U.S. Sales ($000)]]/SUMIF($E:$E, E171, $AN:$AN)</f>
        <v>9.6208028182171584E-3</v>
      </c>
      <c r="AP171" s="5">
        <v>586</v>
      </c>
      <c r="AQ171" s="5">
        <f t="shared" si="23"/>
        <v>423.72013651877131</v>
      </c>
    </row>
    <row r="172" spans="1:43" x14ac:dyDescent="0.25">
      <c r="A172" t="s">
        <v>237</v>
      </c>
      <c r="B172">
        <v>2778</v>
      </c>
      <c r="C172" t="s">
        <v>44</v>
      </c>
      <c r="D172" t="s">
        <v>56</v>
      </c>
      <c r="E172" t="s">
        <v>59</v>
      </c>
      <c r="F172" s="5">
        <v>161</v>
      </c>
      <c r="G172" s="5">
        <v>262000</v>
      </c>
      <c r="H172" s="6">
        <f>Table1[[#This Row],[2024 U.S. Sales ($000)]]/SUMIF($E:$E, E172, $G:$G)</f>
        <v>7.5022191678836298E-3</v>
      </c>
      <c r="I172" s="5">
        <v>322</v>
      </c>
      <c r="J172" s="5">
        <f>Table1[[#This Row],[2024 U.S. Sales ($000)]]/Table1[[#This Row],[2024 U.S. Units]]</f>
        <v>813.66459627329198</v>
      </c>
      <c r="K172" s="6">
        <f>Table1[[#This Row],[2024 U.S. Units]]/Table1[[#This Row],[2023 U.S. Units]]-1</f>
        <v>-3.0959752321981782E-3</v>
      </c>
      <c r="L172" s="8">
        <f>(Table1[[#This Row],[2024 Market share (%)]]-Table1[[#This Row],[2023 Market share (%)]])*10000</f>
        <v>4.2045057398184316</v>
      </c>
      <c r="M172" s="6">
        <f>_xlfn.RRI(5,Table1[[#This Row],[2019 U.S. Sales ($000)]],Table1[[#This Row],[2024 U.S. Sales ($000)]])</f>
        <v>5.3399224716830451E-2</v>
      </c>
      <c r="N172" s="9">
        <f>(Table1[[#This Row],[2024 Market share (%)]]-Table1[[#This Row],[2019 Market share (%)]])*10000</f>
        <v>13.184278262752397</v>
      </c>
      <c r="O172" s="6">
        <f>IF(Table1[[#This Row],[2024 AUV]]=0,"",_xlfn.RRI(5,Table1[[#This Row],[2019 AUV]],Table1[[#This Row],[2024 AUV]]))</f>
        <v>4.4752733079935103E-2</v>
      </c>
      <c r="P172" s="6">
        <f>_xlfn.RRI(5,Table1[[#This Row],[2019 U.S. Units]],Table1[[#This Row],[2024 U.S. Units]])</f>
        <v>8.2761129625432694E-3</v>
      </c>
      <c r="Q172" s="5">
        <v>267485</v>
      </c>
      <c r="R172" s="6">
        <f>Table1[[#This Row],[2023 U.S. Sales ($000)]]/SUMIF($E:$E, E172, $Q:$Q)</f>
        <v>7.0817685939017867E-3</v>
      </c>
      <c r="S172" s="8">
        <f>(Table1[[#This Row],[2023 Market share (%)]]-Table1[[#This Row],[2022 Market share (%)]])*10000</f>
        <v>-3.0352142225673151</v>
      </c>
      <c r="T172" s="10">
        <v>1.2226872630121019E-2</v>
      </c>
      <c r="U172" s="5">
        <v>323</v>
      </c>
      <c r="V172" s="5">
        <f t="shared" si="16"/>
        <v>828.12693498452018</v>
      </c>
      <c r="W172" s="10">
        <v>1.2539184952978056E-2</v>
      </c>
      <c r="X172" s="10">
        <f t="shared" si="17"/>
        <v>7.2730869579548107E-2</v>
      </c>
      <c r="Y172" s="8">
        <f>(Table1[[#This Row],[2023 Market share (%)]]-Table1[[#This Row],[2019 Market share (%)]])*10000</f>
        <v>8.9797725229339651</v>
      </c>
      <c r="Z172" s="10">
        <f t="shared" si="18"/>
        <v>6.0912991437851227E-2</v>
      </c>
      <c r="AA172" s="10">
        <f t="shared" si="19"/>
        <v>1.1139347182166359E-2</v>
      </c>
      <c r="AB172" s="5">
        <v>264254</v>
      </c>
      <c r="AC172" s="6">
        <f>Table1[[#This Row],[2022 U.S. Sales ($000)]]/SUMIF($E:$E, E172, $AB:$AB)</f>
        <v>7.3852900161585182E-3</v>
      </c>
      <c r="AD172" s="5">
        <v>319</v>
      </c>
      <c r="AE172" s="5">
        <f t="shared" si="20"/>
        <v>828.38244514106589</v>
      </c>
      <c r="AF172" s="5">
        <v>257621</v>
      </c>
      <c r="AG172" s="6">
        <f>Table1[[#This Row],[2021 U.S. Sales ($000)]]/SUMIF($E:$E, E172, $AF:$AF)</f>
        <v>7.764777992169185E-3</v>
      </c>
      <c r="AH172" s="5">
        <v>312</v>
      </c>
      <c r="AI172" s="12">
        <f t="shared" si="21"/>
        <v>825.70833333333337</v>
      </c>
      <c r="AJ172" s="5">
        <v>212540</v>
      </c>
      <c r="AK172" s="6">
        <f>Table1[[#This Row],[2020 U.S. Sales ($000)]]/SUMIF($E:$E, E172, $AJ:$AJ)</f>
        <v>7.4629234490995898E-3</v>
      </c>
      <c r="AL172" s="5">
        <v>310</v>
      </c>
      <c r="AM172" s="5">
        <f t="shared" si="22"/>
        <v>685.61290322580646</v>
      </c>
      <c r="AN172" s="5">
        <v>201993</v>
      </c>
      <c r="AO172" s="6">
        <f>Table1[[#This Row],[2019 U.S. Sales ($000)]]/SUMIF($E:$E, E172, $AN:$AN)</f>
        <v>6.1837913416083901E-3</v>
      </c>
      <c r="AP172" s="5">
        <v>309</v>
      </c>
      <c r="AQ172" s="5">
        <f t="shared" si="23"/>
        <v>653.69902912621365</v>
      </c>
    </row>
    <row r="173" spans="1:43" x14ac:dyDescent="0.25">
      <c r="A173" t="s">
        <v>238</v>
      </c>
      <c r="B173">
        <v>929</v>
      </c>
      <c r="C173" t="s">
        <v>44</v>
      </c>
      <c r="D173" t="s">
        <v>45</v>
      </c>
      <c r="E173" t="s">
        <v>46</v>
      </c>
      <c r="F173" s="5">
        <v>176</v>
      </c>
      <c r="G173" s="5">
        <v>261000</v>
      </c>
      <c r="H173" s="6">
        <f>Table1[[#This Row],[2024 U.S. Sales ($000)]]/SUMIF($E:$E, E173, $G:$G)</f>
        <v>2.3671823203006825E-3</v>
      </c>
      <c r="I173" s="5">
        <v>429</v>
      </c>
      <c r="J173" s="7">
        <f>Table1[[#This Row],[2024 U.S. Sales ($000)]]/Table1[[#This Row],[2024 U.S. Units]]</f>
        <v>608.39160839160843</v>
      </c>
      <c r="K173" s="6">
        <f>Table1[[#This Row],[2024 U.S. Units]]/Table1[[#This Row],[2023 U.S. Units]]-1</f>
        <v>-6.1269146608315062E-2</v>
      </c>
      <c r="L173" s="8">
        <f>(Table1[[#This Row],[2024 Market share (%)]]-Table1[[#This Row],[2023 Market share (%)]])*10000</f>
        <v>1.6410175054787715</v>
      </c>
      <c r="M173" s="6">
        <f>_xlfn.RRI(5,Table1[[#This Row],[2019 U.S. Sales ($000)]],Table1[[#This Row],[2024 U.S. Sales ($000)]])</f>
        <v>2.81850603133178E-2</v>
      </c>
      <c r="N173" s="9">
        <f>(Table1[[#This Row],[2024 Market share (%)]]-Table1[[#This Row],[2019 Market share (%)]])*10000</f>
        <v>-2.5840055655487402</v>
      </c>
      <c r="O173" s="6">
        <f>IF(Table1[[#This Row],[2024 AUV]]=0,"",_xlfn.RRI(5,Table1[[#This Row],[2019 AUV]],Table1[[#This Row],[2024 AUV]]))</f>
        <v>8.7550664074261375E-2</v>
      </c>
      <c r="P173" s="6">
        <f>_xlfn.RRI(5,Table1[[#This Row],[2019 U.S. Units]],Table1[[#This Row],[2024 U.S. Units]])</f>
        <v>-5.4586517871768825E-2</v>
      </c>
      <c r="Q173" s="5">
        <v>241200</v>
      </c>
      <c r="R173" s="6">
        <f>Table1[[#This Row],[2023 U.S. Sales ($000)]]/SUMIF($E:$E, E173, $Q:$Q)</f>
        <v>2.2030805697528053E-3</v>
      </c>
      <c r="S173" s="8">
        <f>(Table1[[#This Row],[2023 Market share (%)]]-Table1[[#This Row],[2022 Market share (%)]])*10000</f>
        <v>-2.7610571687244945</v>
      </c>
      <c r="T173" s="10">
        <v>-4.7769443347808922E-2</v>
      </c>
      <c r="U173" s="5">
        <v>457</v>
      </c>
      <c r="V173" s="5">
        <f t="shared" si="16"/>
        <v>527.78993435448581</v>
      </c>
      <c r="W173" s="10">
        <v>-6.5439672801635998E-2</v>
      </c>
      <c r="X173" s="10">
        <f t="shared" si="17"/>
        <v>1.5133851930008602E-2</v>
      </c>
      <c r="Y173" s="8">
        <f>(Table1[[#This Row],[2023 Market share (%)]]-Table1[[#This Row],[2019 Market share (%)]])*10000</f>
        <v>-4.2250230710275112</v>
      </c>
      <c r="Z173" s="10">
        <f t="shared" si="18"/>
        <v>7.1843415745955763E-2</v>
      </c>
      <c r="AA173" s="10">
        <f t="shared" si="19"/>
        <v>-5.2908440713310467E-2</v>
      </c>
      <c r="AB173" s="5">
        <v>253300</v>
      </c>
      <c r="AC173" s="6">
        <f>Table1[[#This Row],[2022 U.S. Sales ($000)]]/SUMIF($E:$E, E173, $AB:$AB)</f>
        <v>2.4791862866252548E-3</v>
      </c>
      <c r="AD173" s="5">
        <v>489</v>
      </c>
      <c r="AE173" s="5">
        <f t="shared" si="20"/>
        <v>517.99591002044986</v>
      </c>
      <c r="AF173" s="5">
        <v>251687</v>
      </c>
      <c r="AG173" s="6">
        <f>Table1[[#This Row],[2021 U.S. Sales ($000)]]/SUMIF($E:$E, E173, $AF:$AF)</f>
        <v>2.5868931623515222E-3</v>
      </c>
      <c r="AH173" s="5">
        <v>514</v>
      </c>
      <c r="AI173" s="12">
        <f t="shared" si="21"/>
        <v>489.6634241245136</v>
      </c>
      <c r="AJ173" s="5">
        <v>231134</v>
      </c>
      <c r="AK173" s="6">
        <f>Table1[[#This Row],[2020 U.S. Sales ($000)]]/SUMIF($E:$E, E173, $AJ:$AJ)</f>
        <v>2.645057516960753E-3</v>
      </c>
      <c r="AL173" s="5">
        <v>541</v>
      </c>
      <c r="AM173" s="5">
        <f t="shared" si="22"/>
        <v>427.23475046210723</v>
      </c>
      <c r="AN173" s="5">
        <v>227135</v>
      </c>
      <c r="AO173" s="6">
        <f>Table1[[#This Row],[2019 U.S. Sales ($000)]]/SUMIF($E:$E, E173, $AN:$AN)</f>
        <v>2.6255828768555565E-3</v>
      </c>
      <c r="AP173" s="5">
        <v>568</v>
      </c>
      <c r="AQ173" s="5">
        <f t="shared" si="23"/>
        <v>399.88556338028167</v>
      </c>
    </row>
    <row r="174" spans="1:43" x14ac:dyDescent="0.25">
      <c r="A174" t="s">
        <v>239</v>
      </c>
      <c r="B174">
        <v>338</v>
      </c>
      <c r="C174" t="s">
        <v>68</v>
      </c>
      <c r="D174" t="s">
        <v>133</v>
      </c>
      <c r="E174" t="s">
        <v>70</v>
      </c>
      <c r="F174" s="5">
        <v>172</v>
      </c>
      <c r="G174" s="5">
        <v>258000</v>
      </c>
      <c r="H174" s="6">
        <f>Table1[[#This Row],[2024 U.S. Sales ($000)]]/SUMIF($E:$E, E174, $G:$G)</f>
        <v>1.5892571146975485E-2</v>
      </c>
      <c r="I174" s="5">
        <v>54</v>
      </c>
      <c r="J174" s="5">
        <f>Table1[[#This Row],[2024 U.S. Sales ($000)]]/Table1[[#This Row],[2024 U.S. Units]]</f>
        <v>4777.7777777777774</v>
      </c>
      <c r="K174" s="6">
        <f>Table1[[#This Row],[2024 U.S. Units]]/Table1[[#This Row],[2023 U.S. Units]]-1</f>
        <v>-3.5714285714285698E-2</v>
      </c>
      <c r="L174" s="8">
        <f>(Table1[[#This Row],[2024 Market share (%)]]-Table1[[#This Row],[2023 Market share (%)]])*10000</f>
        <v>3.5248941779595331</v>
      </c>
      <c r="M174" s="6">
        <f>_xlfn.RRI(5,Table1[[#This Row],[2019 U.S. Sales ($000)]],Table1[[#This Row],[2024 U.S. Sales ($000)]])</f>
        <v>-5.8643905061784851E-3</v>
      </c>
      <c r="N174" s="9">
        <f>(Table1[[#This Row],[2024 Market share (%)]]-Table1[[#This Row],[2019 Market share (%)]])*10000</f>
        <v>-52.974735674481899</v>
      </c>
      <c r="O174" s="6">
        <f>IF(Table1[[#This Row],[2024 AUV]]=0,"",_xlfn.RRI(5,Table1[[#This Row],[2019 AUV]],Table1[[#This Row],[2024 AUV]]))</f>
        <v>2.5262300107314006E-2</v>
      </c>
      <c r="P174" s="6">
        <f>_xlfn.RRI(5,Table1[[#This Row],[2019 U.S. Units]],Table1[[#This Row],[2024 U.S. Units]])</f>
        <v>-3.0359733904420927E-2</v>
      </c>
      <c r="Q174" s="5">
        <v>248100</v>
      </c>
      <c r="R174" s="6">
        <f>Table1[[#This Row],[2023 U.S. Sales ($000)]]/SUMIF($E:$E, E174, $Q:$Q)</f>
        <v>1.5540081729179532E-2</v>
      </c>
      <c r="S174" s="8">
        <f>(Table1[[#This Row],[2023 Market share (%)]]-Table1[[#This Row],[2022 Market share (%)]])*10000</f>
        <v>-1.384008452191051</v>
      </c>
      <c r="T174" s="10">
        <v>8.1517000871839579E-2</v>
      </c>
      <c r="U174" s="5">
        <v>56</v>
      </c>
      <c r="V174" s="5">
        <f t="shared" si="16"/>
        <v>4430.3571428571431</v>
      </c>
      <c r="W174" s="10">
        <v>0</v>
      </c>
      <c r="X174" s="10">
        <f t="shared" si="17"/>
        <v>-1.6988038470662326E-2</v>
      </c>
      <c r="Y174" s="8">
        <f>(Table1[[#This Row],[2023 Market share (%)]]-Table1[[#This Row],[2019 Market share (%)]])*10000</f>
        <v>-56.49962985244143</v>
      </c>
      <c r="Z174" s="10">
        <f t="shared" si="18"/>
        <v>1.2387870212908769E-2</v>
      </c>
      <c r="AA174" s="10">
        <f t="shared" si="19"/>
        <v>-2.9016456585353123E-2</v>
      </c>
      <c r="AB174" s="5">
        <v>229400</v>
      </c>
      <c r="AC174" s="6">
        <f>Table1[[#This Row],[2022 U.S. Sales ($000)]]/SUMIF($E:$E, E174, $AB:$AB)</f>
        <v>1.5678482574398637E-2</v>
      </c>
      <c r="AD174" s="5">
        <v>56</v>
      </c>
      <c r="AE174" s="5">
        <f t="shared" si="20"/>
        <v>4096.4285714285716</v>
      </c>
      <c r="AF174" s="5">
        <v>193800</v>
      </c>
      <c r="AG174" s="6">
        <f>Table1[[#This Row],[2021 U.S. Sales ($000)]]/SUMIF($E:$E, E174, $AF:$AF)</f>
        <v>1.4910611346605932E-2</v>
      </c>
      <c r="AH174" s="5">
        <v>56</v>
      </c>
      <c r="AI174" s="12">
        <f t="shared" si="21"/>
        <v>3460.7142857142858</v>
      </c>
      <c r="AJ174" s="5">
        <v>130700</v>
      </c>
      <c r="AK174" s="6">
        <f>Table1[[#This Row],[2020 U.S. Sales ($000)]]/SUMIF($E:$E, E174, $AJ:$AJ)</f>
        <v>1.3916836731760265E-2</v>
      </c>
      <c r="AL174" s="5">
        <v>58</v>
      </c>
      <c r="AM174" s="5">
        <f t="shared" si="22"/>
        <v>2253.4482758620688</v>
      </c>
      <c r="AN174" s="5">
        <v>265700</v>
      </c>
      <c r="AO174" s="6">
        <f>Table1[[#This Row],[2019 U.S. Sales ($000)]]/SUMIF($E:$E, E174, $AN:$AN)</f>
        <v>2.1190044714423675E-2</v>
      </c>
      <c r="AP174" s="5">
        <v>63</v>
      </c>
      <c r="AQ174" s="5">
        <f t="shared" si="23"/>
        <v>4217.4603174603171</v>
      </c>
    </row>
    <row r="175" spans="1:43" x14ac:dyDescent="0.25">
      <c r="A175" t="s">
        <v>240</v>
      </c>
      <c r="B175">
        <v>840</v>
      </c>
      <c r="C175" t="s">
        <v>44</v>
      </c>
      <c r="D175" t="s">
        <v>45</v>
      </c>
      <c r="E175" t="s">
        <v>61</v>
      </c>
      <c r="F175" s="5">
        <v>168</v>
      </c>
      <c r="G175" s="5">
        <v>257000</v>
      </c>
      <c r="H175" s="6">
        <f>Table1[[#This Row],[2024 U.S. Sales ($000)]]/SUMIF($E:$E, E175, $G:$G)</f>
        <v>8.7444709084722686E-3</v>
      </c>
      <c r="I175" s="5">
        <v>375</v>
      </c>
      <c r="J175" s="5">
        <f>Table1[[#This Row],[2024 U.S. Sales ($000)]]/Table1[[#This Row],[2024 U.S. Units]]</f>
        <v>685.33333333333337</v>
      </c>
      <c r="K175" s="6">
        <f>Table1[[#This Row],[2024 U.S. Units]]/Table1[[#This Row],[2023 U.S. Units]]-1</f>
        <v>1.6260162601626105E-2</v>
      </c>
      <c r="L175" s="8">
        <f>(Table1[[#This Row],[2024 Market share (%)]]-Table1[[#This Row],[2023 Market share (%)]])*10000</f>
        <v>3.3945980042640254</v>
      </c>
      <c r="M175" s="6">
        <f>_xlfn.RRI(5,Table1[[#This Row],[2019 U.S. Sales ($000)]],Table1[[#This Row],[2024 U.S. Sales ($000)]])</f>
        <v>2.4504849654639171E-2</v>
      </c>
      <c r="N175" s="9">
        <f>(Table1[[#This Row],[2024 Market share (%)]]-Table1[[#This Row],[2019 Market share (%)]])*10000</f>
        <v>-0.78150121362797331</v>
      </c>
      <c r="O175" s="6">
        <f>IF(Table1[[#This Row],[2024 AUV]]=0,"",_xlfn.RRI(5,Table1[[#This Row],[2019 AUV]],Table1[[#This Row],[2024 AUV]]))</f>
        <v>-1.4402800328617738E-2</v>
      </c>
      <c r="P175" s="6">
        <f>_xlfn.RRI(5,Table1[[#This Row],[2019 U.S. Units]],Table1[[#This Row],[2024 U.S. Units]])</f>
        <v>3.9476218069845803E-2</v>
      </c>
      <c r="Q175" s="5">
        <v>256746</v>
      </c>
      <c r="R175" s="6">
        <f>Table1[[#This Row],[2023 U.S. Sales ($000)]]/SUMIF($E:$E, E175, $Q:$Q)</f>
        <v>8.4050111080458661E-3</v>
      </c>
      <c r="S175" s="8">
        <f>(Table1[[#This Row],[2023 Market share (%)]]-Table1[[#This Row],[2022 Market share (%)]])*10000</f>
        <v>8.0071224216186803</v>
      </c>
      <c r="T175" s="10">
        <v>0.13743332565433894</v>
      </c>
      <c r="U175" s="5">
        <v>369</v>
      </c>
      <c r="V175" s="5">
        <f t="shared" si="16"/>
        <v>695.78861788617883</v>
      </c>
      <c r="W175" s="10">
        <v>6.6473988439306353E-2</v>
      </c>
      <c r="X175" s="10">
        <f t="shared" si="17"/>
        <v>3.0469551974378506E-2</v>
      </c>
      <c r="Y175" s="8">
        <f>(Table1[[#This Row],[2023 Market share (%)]]-Table1[[#This Row],[2019 Market share (%)]])*10000</f>
        <v>-4.1760992178919984</v>
      </c>
      <c r="Z175" s="10">
        <f t="shared" si="18"/>
        <v>-1.4246807639738734E-2</v>
      </c>
      <c r="AA175" s="10">
        <f t="shared" si="19"/>
        <v>4.5362632310679718E-2</v>
      </c>
      <c r="AB175" s="5">
        <v>225724</v>
      </c>
      <c r="AC175" s="6">
        <f>Table1[[#This Row],[2022 U.S. Sales ($000)]]/SUMIF($E:$E, E175, $AB:$AB)</f>
        <v>7.604298865883998E-3</v>
      </c>
      <c r="AD175" s="5">
        <v>346</v>
      </c>
      <c r="AE175" s="5">
        <f t="shared" si="20"/>
        <v>652.38150289017346</v>
      </c>
      <c r="AF175" s="5">
        <v>186338</v>
      </c>
      <c r="AG175" s="6">
        <f>Table1[[#This Row],[2021 U.S. Sales ($000)]]/SUMIF($E:$E, E175, $AF:$AF)</f>
        <v>6.4102934579490694E-3</v>
      </c>
      <c r="AH175" s="5">
        <v>309</v>
      </c>
      <c r="AI175" s="12">
        <f t="shared" si="21"/>
        <v>603.03559870550157</v>
      </c>
      <c r="AJ175" s="5">
        <v>159200</v>
      </c>
      <c r="AK175" s="6">
        <f>Table1[[#This Row],[2020 U.S. Sales ($000)]]/SUMIF($E:$E, E175, $AJ:$AJ)</f>
        <v>5.8817185657517946E-3</v>
      </c>
      <c r="AL175" s="5">
        <v>303</v>
      </c>
      <c r="AM175" s="5">
        <f t="shared" si="22"/>
        <v>525.41254125412536</v>
      </c>
      <c r="AN175" s="5">
        <v>227700</v>
      </c>
      <c r="AO175" s="6">
        <f>Table1[[#This Row],[2019 U.S. Sales ($000)]]/SUMIF($E:$E, E175, $AN:$AN)</f>
        <v>8.822621029835066E-3</v>
      </c>
      <c r="AP175" s="5">
        <v>309</v>
      </c>
      <c r="AQ175" s="5">
        <f t="shared" si="23"/>
        <v>736.89320388349518</v>
      </c>
    </row>
    <row r="176" spans="1:43" x14ac:dyDescent="0.25">
      <c r="A176" t="s">
        <v>241</v>
      </c>
      <c r="B176">
        <v>562779</v>
      </c>
      <c r="C176" t="s">
        <v>44</v>
      </c>
      <c r="D176" t="s">
        <v>45</v>
      </c>
      <c r="E176" t="s">
        <v>128</v>
      </c>
      <c r="F176" s="5">
        <v>195</v>
      </c>
      <c r="G176" s="5">
        <v>256000</v>
      </c>
      <c r="H176" s="6">
        <f>Table1[[#This Row],[2024 U.S. Sales ($000)]]/SUMIF($E:$E, E176, $G:$G)</f>
        <v>5.8474189127455459E-2</v>
      </c>
      <c r="I176" s="5">
        <v>146</v>
      </c>
      <c r="J176" s="5">
        <f>Table1[[#This Row],[2024 U.S. Sales ($000)]]/Table1[[#This Row],[2024 U.S. Units]]</f>
        <v>1753.4246575342465</v>
      </c>
      <c r="K176" s="6">
        <f>Table1[[#This Row],[2024 U.S. Units]]/Table1[[#This Row],[2023 U.S. Units]]-1</f>
        <v>7.3529411764705843E-2</v>
      </c>
      <c r="L176" s="8">
        <f>(Table1[[#This Row],[2024 Market share (%)]]-Table1[[#This Row],[2023 Market share (%)]])*10000</f>
        <v>187.80593668879951</v>
      </c>
      <c r="M176" s="6">
        <f>_xlfn.RRI(5,Table1[[#This Row],[2019 U.S. Sales ($000)]],Table1[[#This Row],[2024 U.S. Sales ($000)]])</f>
        <v>0.4569178748043452</v>
      </c>
      <c r="N176" s="9">
        <f>(Table1[[#This Row],[2024 Market share (%)]]-Table1[[#This Row],[2019 Market share (%)]])*10000</f>
        <v>475.45561194274768</v>
      </c>
      <c r="O176" s="6">
        <f>IF(Table1[[#This Row],[2024 AUV]]=0,"",_xlfn.RRI(5,Table1[[#This Row],[2019 AUV]],Table1[[#This Row],[2024 AUV]]))</f>
        <v>1.5328902015141477E-2</v>
      </c>
      <c r="P176" s="6">
        <f>_xlfn.RRI(5,Table1[[#This Row],[2019 U.S. Units]],Table1[[#This Row],[2024 U.S. Units]])</f>
        <v>0.43492209461660591</v>
      </c>
      <c r="Q176" s="5">
        <v>206300</v>
      </c>
      <c r="R176" s="6">
        <f>Table1[[#This Row],[2023 U.S. Sales ($000)]]/SUMIF($E:$E, E176, $Q:$Q)</f>
        <v>3.9693595458575509E-2</v>
      </c>
      <c r="S176" s="8">
        <f>(Table1[[#This Row],[2023 Market share (%)]]-Table1[[#This Row],[2022 Market share (%)]])*10000</f>
        <v>118.83789251390647</v>
      </c>
      <c r="T176" s="10">
        <v>0.67451298701298701</v>
      </c>
      <c r="U176" s="5">
        <v>136</v>
      </c>
      <c r="V176" s="5">
        <f t="shared" si="16"/>
        <v>1516.9117647058824</v>
      </c>
      <c r="W176" s="10">
        <v>0.65853658536585369</v>
      </c>
      <c r="X176" s="10">
        <f t="shared" si="17"/>
        <v>0.51655671109406187</v>
      </c>
      <c r="Y176" s="8">
        <f>(Table1[[#This Row],[2023 Market share (%)]]-Table1[[#This Row],[2019 Market share (%)]])*10000</f>
        <v>287.6496752539482</v>
      </c>
      <c r="Z176" s="10">
        <f t="shared" si="18"/>
        <v>-1.7060611410523174E-2</v>
      </c>
      <c r="AA176" s="10">
        <f t="shared" si="19"/>
        <v>0.54287917312005241</v>
      </c>
      <c r="AB176" s="5">
        <v>123200</v>
      </c>
      <c r="AC176" s="6">
        <f>Table1[[#This Row],[2022 U.S. Sales ($000)]]/SUMIF($E:$E, E176, $AB:$AB)</f>
        <v>2.7809806207184862E-2</v>
      </c>
      <c r="AD176" s="5">
        <v>82</v>
      </c>
      <c r="AE176" s="5">
        <f t="shared" si="20"/>
        <v>1502.439024390244</v>
      </c>
      <c r="AF176" s="5">
        <v>70000</v>
      </c>
      <c r="AG176" s="6">
        <f>Table1[[#This Row],[2021 U.S. Sales ($000)]]/SUMIF($E:$E, E176, $AF:$AF)</f>
        <v>1.8553623151529031E-2</v>
      </c>
      <c r="AH176" s="5">
        <v>44</v>
      </c>
      <c r="AI176" s="12">
        <f t="shared" si="21"/>
        <v>1590.909090909091</v>
      </c>
      <c r="AJ176" s="5">
        <v>42500</v>
      </c>
      <c r="AK176" s="6">
        <f>Table1[[#This Row],[2020 U.S. Sales ($000)]]/SUMIF($E:$E, E176, $AJ:$AJ)</f>
        <v>1.3869082388876018E-2</v>
      </c>
      <c r="AL176" s="5">
        <v>30</v>
      </c>
      <c r="AM176" s="5">
        <f t="shared" si="22"/>
        <v>1416.6666666666667</v>
      </c>
      <c r="AN176" s="5">
        <v>39000</v>
      </c>
      <c r="AO176" s="6">
        <f>Table1[[#This Row],[2019 U.S. Sales ($000)]]/SUMIF($E:$E, E176, $AN:$AN)</f>
        <v>1.0928627933180687E-2</v>
      </c>
      <c r="AP176" s="5">
        <v>24</v>
      </c>
      <c r="AQ176" s="5">
        <f t="shared" si="23"/>
        <v>1625</v>
      </c>
    </row>
    <row r="177" spans="1:43" x14ac:dyDescent="0.25">
      <c r="A177" t="s">
        <v>242</v>
      </c>
      <c r="B177">
        <v>870</v>
      </c>
      <c r="C177" t="s">
        <v>44</v>
      </c>
      <c r="D177" t="s">
        <v>45</v>
      </c>
      <c r="E177" t="s">
        <v>61</v>
      </c>
      <c r="F177" s="5">
        <v>163</v>
      </c>
      <c r="G177" s="5">
        <v>254000</v>
      </c>
      <c r="H177" s="6">
        <f>Table1[[#This Row],[2024 U.S. Sales ($000)]]/SUMIF($E:$E, E177, $G:$G)</f>
        <v>8.6423953725757053E-3</v>
      </c>
      <c r="I177" s="5">
        <v>269</v>
      </c>
      <c r="J177" s="5">
        <f>Table1[[#This Row],[2024 U.S. Sales ($000)]]/Table1[[#This Row],[2024 U.S. Units]]</f>
        <v>944.23791821561338</v>
      </c>
      <c r="K177" s="6">
        <f>Table1[[#This Row],[2024 U.S. Units]]/Table1[[#This Row],[2023 U.S. Units]]-1</f>
        <v>-3.2374100719424481E-2</v>
      </c>
      <c r="L177" s="8">
        <f>(Table1[[#This Row],[2024 Market share (%)]]-Table1[[#This Row],[2023 Market share (%)]])*10000</f>
        <v>-0.62287285106968693</v>
      </c>
      <c r="M177" s="6">
        <f>_xlfn.RRI(5,Table1[[#This Row],[2019 U.S. Sales ($000)]],Table1[[#This Row],[2024 U.S. Sales ($000)]])</f>
        <v>-8.3313271996643512E-2</v>
      </c>
      <c r="N177" s="9">
        <f>(Table1[[#This Row],[2024 Market share (%)]]-Table1[[#This Row],[2019 Market share (%)]])*10000</f>
        <v>-65.618052954404575</v>
      </c>
      <c r="O177" s="6">
        <f>IF(Table1[[#This Row],[2024 AUV]]=0,"",_xlfn.RRI(5,Table1[[#This Row],[2019 AUV]],Table1[[#This Row],[2024 AUV]]))</f>
        <v>-1.363686403660469E-2</v>
      </c>
      <c r="P177" s="6">
        <f>_xlfn.RRI(5,Table1[[#This Row],[2019 U.S. Units]],Table1[[#This Row],[2024 U.S. Units]])</f>
        <v>-7.0639712109663244E-2</v>
      </c>
      <c r="Q177" s="5">
        <v>265900</v>
      </c>
      <c r="R177" s="6">
        <f>Table1[[#This Row],[2023 U.S. Sales ($000)]]/SUMIF($E:$E, E177, $Q:$Q)</f>
        <v>8.704682657682674E-3</v>
      </c>
      <c r="S177" s="8">
        <f>(Table1[[#This Row],[2023 Market share (%)]]-Table1[[#This Row],[2022 Market share (%)]])*10000</f>
        <v>-3.1709276842945693</v>
      </c>
      <c r="T177" s="10">
        <v>-7.0948469006721438E-3</v>
      </c>
      <c r="U177" s="5">
        <v>278</v>
      </c>
      <c r="V177" s="5">
        <f t="shared" si="16"/>
        <v>956.47482014388493</v>
      </c>
      <c r="W177" s="10">
        <v>1.8315018315018316E-2</v>
      </c>
      <c r="X177" s="10">
        <f t="shared" si="17"/>
        <v>-9.2707471180087486E-2</v>
      </c>
      <c r="Y177" s="8">
        <f>(Table1[[#This Row],[2023 Market share (%)]]-Table1[[#This Row],[2019 Market share (%)]])*10000</f>
        <v>-64.995180103334889</v>
      </c>
      <c r="Z177" s="10">
        <f t="shared" si="18"/>
        <v>-1.3847529439464878E-2</v>
      </c>
      <c r="AA177" s="10">
        <f t="shared" si="19"/>
        <v>-7.9967291159143028E-2</v>
      </c>
      <c r="AB177" s="5">
        <v>267800</v>
      </c>
      <c r="AC177" s="6">
        <f>Table1[[#This Row],[2022 U.S. Sales ($000)]]/SUMIF($E:$E, E177, $AB:$AB)</f>
        <v>9.0217754261121309E-3</v>
      </c>
      <c r="AD177" s="5">
        <v>273</v>
      </c>
      <c r="AE177" s="5">
        <f t="shared" si="20"/>
        <v>980.95238095238096</v>
      </c>
      <c r="AF177" s="5">
        <v>276400</v>
      </c>
      <c r="AG177" s="6">
        <f>Table1[[#This Row],[2021 U.S. Sales ($000)]]/SUMIF($E:$E, E177, $AF:$AF)</f>
        <v>9.5085549473382918E-3</v>
      </c>
      <c r="AH177" s="5">
        <v>285</v>
      </c>
      <c r="AI177" s="12">
        <f t="shared" si="21"/>
        <v>969.82456140350882</v>
      </c>
      <c r="AJ177" s="5">
        <v>245300</v>
      </c>
      <c r="AK177" s="6">
        <f>Table1[[#This Row],[2020 U.S. Sales ($000)]]/SUMIF($E:$E, E177, $AJ:$AJ)</f>
        <v>9.0627233930836385E-3</v>
      </c>
      <c r="AL177" s="5">
        <v>303</v>
      </c>
      <c r="AM177" s="5">
        <f t="shared" si="22"/>
        <v>809.57095709570956</v>
      </c>
      <c r="AN177" s="5">
        <v>392400</v>
      </c>
      <c r="AO177" s="6">
        <f>Table1[[#This Row],[2019 U.S. Sales ($000)]]/SUMIF($E:$E, E177, $AN:$AN)</f>
        <v>1.5204200668016163E-2</v>
      </c>
      <c r="AP177" s="5">
        <v>388</v>
      </c>
      <c r="AQ177" s="5">
        <f t="shared" si="23"/>
        <v>1011.340206185567</v>
      </c>
    </row>
    <row r="178" spans="1:43" x14ac:dyDescent="0.25">
      <c r="A178" t="s">
        <v>243</v>
      </c>
      <c r="B178">
        <v>1602</v>
      </c>
      <c r="C178" t="s">
        <v>68</v>
      </c>
      <c r="D178" t="s">
        <v>69</v>
      </c>
      <c r="E178" t="s">
        <v>79</v>
      </c>
      <c r="F178" s="5">
        <v>162</v>
      </c>
      <c r="G178" s="5">
        <v>247000</v>
      </c>
      <c r="H178" s="6">
        <f>Table1[[#This Row],[2024 U.S. Sales ($000)]]/SUMIF($E:$E, E178, $G:$G)</f>
        <v>1.1874429113984905E-2</v>
      </c>
      <c r="I178" s="5">
        <v>44</v>
      </c>
      <c r="J178" s="5">
        <f>Table1[[#This Row],[2024 U.S. Sales ($000)]]/Table1[[#This Row],[2024 U.S. Units]]</f>
        <v>5613.636363636364</v>
      </c>
      <c r="K178" s="6">
        <f>Table1[[#This Row],[2024 U.S. Units]]/Table1[[#This Row],[2023 U.S. Units]]-1</f>
        <v>2.3255813953488413E-2</v>
      </c>
      <c r="L178" s="8">
        <f>(Table1[[#This Row],[2024 Market share (%)]]-Table1[[#This Row],[2023 Market share (%)]])*10000</f>
        <v>7.9771899969663735</v>
      </c>
      <c r="M178" s="6">
        <f>_xlfn.RRI(5,Table1[[#This Row],[2019 U.S. Sales ($000)]],Table1[[#This Row],[2024 U.S. Sales ($000)]])</f>
        <v>-1.4712295262298669E-2</v>
      </c>
      <c r="N178" s="9">
        <f>(Table1[[#This Row],[2024 Market share (%)]]-Table1[[#This Row],[2019 Market share (%)]])*10000</f>
        <v>2.2659617578751901</v>
      </c>
      <c r="O178" s="6">
        <f>IF(Table1[[#This Row],[2024 AUV]]=0,"",_xlfn.RRI(5,Table1[[#This Row],[2019 AUV]],Table1[[#This Row],[2024 AUV]]))</f>
        <v>-1.9232154290324099E-2</v>
      </c>
      <c r="P178" s="6">
        <f>_xlfn.RRI(5,Table1[[#This Row],[2019 U.S. Units]],Table1[[#This Row],[2024 U.S. Units]])</f>
        <v>4.6084902230403291E-3</v>
      </c>
      <c r="Q178" s="5">
        <v>267200</v>
      </c>
      <c r="R178" s="6">
        <f>Table1[[#This Row],[2023 U.S. Sales ($000)]]/SUMIF($E:$E, E178, $Q:$Q)</f>
        <v>1.1076710114288268E-2</v>
      </c>
      <c r="S178" s="8">
        <f>(Table1[[#This Row],[2023 Market share (%)]]-Table1[[#This Row],[2022 Market share (%)]])*10000</f>
        <v>-5.7878277167257819</v>
      </c>
      <c r="T178" s="10">
        <v>-2.5173294418095585E-2</v>
      </c>
      <c r="U178" s="5">
        <v>43</v>
      </c>
      <c r="V178" s="5">
        <f t="shared" si="16"/>
        <v>6213.9534883720926</v>
      </c>
      <c r="W178" s="10">
        <v>0</v>
      </c>
      <c r="X178" s="10">
        <f t="shared" si="17"/>
        <v>1.1259165889114797E-3</v>
      </c>
      <c r="Y178" s="8">
        <f>(Table1[[#This Row],[2023 Market share (%)]]-Table1[[#This Row],[2019 Market share (%)]])*10000</f>
        <v>-5.7112282390911835</v>
      </c>
      <c r="Z178" s="10">
        <f t="shared" si="18"/>
        <v>1.1259165889114797E-3</v>
      </c>
      <c r="AA178" s="10">
        <f t="shared" si="19"/>
        <v>0</v>
      </c>
      <c r="AB178" s="5">
        <v>274100</v>
      </c>
      <c r="AC178" s="6">
        <f>Table1[[#This Row],[2022 U.S. Sales ($000)]]/SUMIF($E:$E, E178, $AB:$AB)</f>
        <v>1.1655492885960846E-2</v>
      </c>
      <c r="AD178" s="5">
        <v>43</v>
      </c>
      <c r="AE178" s="5">
        <f t="shared" si="20"/>
        <v>6374.4186046511632</v>
      </c>
      <c r="AF178" s="5">
        <v>240400</v>
      </c>
      <c r="AG178" s="6">
        <f>Table1[[#This Row],[2021 U.S. Sales ($000)]]/SUMIF($E:$E, E178, $AF:$AF)</f>
        <v>1.106808645722477E-2</v>
      </c>
      <c r="AH178" s="5">
        <v>43</v>
      </c>
      <c r="AI178" s="12">
        <f t="shared" si="21"/>
        <v>5590.6976744186049</v>
      </c>
      <c r="AJ178" s="5">
        <v>176800</v>
      </c>
      <c r="AK178" s="6">
        <f>Table1[[#This Row],[2020 U.S. Sales ($000)]]/SUMIF($E:$E, E178, $AJ:$AJ)</f>
        <v>1.0842437127203067E-2</v>
      </c>
      <c r="AL178" s="5">
        <v>42</v>
      </c>
      <c r="AM178" s="5">
        <f t="shared" si="22"/>
        <v>4209.5238095238092</v>
      </c>
      <c r="AN178" s="5">
        <v>266000</v>
      </c>
      <c r="AO178" s="6">
        <f>Table1[[#This Row],[2019 U.S. Sales ($000)]]/SUMIF($E:$E, E178, $AN:$AN)</f>
        <v>1.1647832938197386E-2</v>
      </c>
      <c r="AP178" s="5">
        <v>43</v>
      </c>
      <c r="AQ178" s="5">
        <f t="shared" si="23"/>
        <v>6186.0465116279074</v>
      </c>
    </row>
    <row r="179" spans="1:43" x14ac:dyDescent="0.25">
      <c r="A179" t="s">
        <v>244</v>
      </c>
      <c r="B179">
        <v>61759</v>
      </c>
      <c r="C179" t="s">
        <v>44</v>
      </c>
      <c r="D179" t="s">
        <v>45</v>
      </c>
      <c r="E179" t="s">
        <v>112</v>
      </c>
      <c r="F179" s="5">
        <v>185</v>
      </c>
      <c r="G179" s="5">
        <v>245000</v>
      </c>
      <c r="H179" s="6">
        <f>Table1[[#This Row],[2024 U.S. Sales ($000)]]/SUMIF($E:$E, E179, $G:$G)</f>
        <v>2.9841656516443361E-2</v>
      </c>
      <c r="I179" s="5">
        <v>302</v>
      </c>
      <c r="J179" s="5">
        <f>Table1[[#This Row],[2024 U.S. Sales ($000)]]/Table1[[#This Row],[2024 U.S. Units]]</f>
        <v>811.25827814569539</v>
      </c>
      <c r="K179" s="6">
        <f>Table1[[#This Row],[2024 U.S. Units]]/Table1[[#This Row],[2023 U.S. Units]]-1</f>
        <v>0.13962264150943393</v>
      </c>
      <c r="L179" s="8">
        <f>(Table1[[#This Row],[2024 Market share (%)]]-Table1[[#This Row],[2023 Market share (%)]])*10000</f>
        <v>31.720284375181819</v>
      </c>
      <c r="M179" s="6">
        <f>_xlfn.RRI(5,Table1[[#This Row],[2019 U.S. Sales ($000)]],Table1[[#This Row],[2024 U.S. Sales ($000)]])</f>
        <v>0.12894276648065572</v>
      </c>
      <c r="N179" s="9">
        <f>(Table1[[#This Row],[2024 Market share (%)]]-Table1[[#This Row],[2019 Market share (%)]])*10000</f>
        <v>23.335322513745801</v>
      </c>
      <c r="O179" s="6">
        <f>IF(Table1[[#This Row],[2024 AUV]]=0,"",_xlfn.RRI(5,Table1[[#This Row],[2019 AUV]],Table1[[#This Row],[2024 AUV]]))</f>
        <v>3.9969488733111458E-3</v>
      </c>
      <c r="P179" s="6">
        <f>_xlfn.RRI(5,Table1[[#This Row],[2019 U.S. Units]],Table1[[#This Row],[2024 U.S. Units]])</f>
        <v>0.12444840370038901</v>
      </c>
      <c r="Q179" s="5">
        <v>220700</v>
      </c>
      <c r="R179" s="6">
        <f>Table1[[#This Row],[2023 U.S. Sales ($000)]]/SUMIF($E:$E, E179, $Q:$Q)</f>
        <v>2.666962807892518E-2</v>
      </c>
      <c r="S179" s="8">
        <f>(Table1[[#This Row],[2023 Market share (%)]]-Table1[[#This Row],[2022 Market share (%)]])*10000</f>
        <v>12.645801568751843</v>
      </c>
      <c r="T179" s="10">
        <v>0.17706666666666668</v>
      </c>
      <c r="U179" s="5">
        <v>265</v>
      </c>
      <c r="V179" s="5">
        <f t="shared" si="16"/>
        <v>832.83018867924534</v>
      </c>
      <c r="W179" s="10">
        <v>0.1471861471861472</v>
      </c>
      <c r="X179" s="10">
        <f t="shared" si="17"/>
        <v>0.13370214609456732</v>
      </c>
      <c r="Y179" s="8">
        <f>(Table1[[#This Row],[2023 Market share (%)]]-Table1[[#This Row],[2019 Market share (%)]])*10000</f>
        <v>-8.3849618614360164</v>
      </c>
      <c r="Z179" s="10">
        <f t="shared" si="18"/>
        <v>1.1613975937900367E-2</v>
      </c>
      <c r="AA179" s="10">
        <f t="shared" si="19"/>
        <v>0.12068651981945488</v>
      </c>
      <c r="AB179" s="5">
        <v>187500</v>
      </c>
      <c r="AC179" s="6">
        <f>Table1[[#This Row],[2022 U.S. Sales ($000)]]/SUMIF($E:$E, E179, $AB:$AB)</f>
        <v>2.5405047922049995E-2</v>
      </c>
      <c r="AD179" s="5">
        <v>231</v>
      </c>
      <c r="AE179" s="5">
        <f t="shared" si="20"/>
        <v>811.68831168831173</v>
      </c>
      <c r="AF179" s="5">
        <v>157600</v>
      </c>
      <c r="AG179" s="6">
        <f>Table1[[#This Row],[2021 U.S. Sales ($000)]]/SUMIF($E:$E, E179, $AF:$AF)</f>
        <v>2.5192299085020811E-2</v>
      </c>
      <c r="AH179" s="5">
        <v>210</v>
      </c>
      <c r="AI179" s="12">
        <f t="shared" si="21"/>
        <v>750.47619047619048</v>
      </c>
      <c r="AJ179" s="5">
        <v>127600</v>
      </c>
      <c r="AK179" s="6">
        <f>Table1[[#This Row],[2020 U.S. Sales ($000)]]/SUMIF($E:$E, E179, $AJ:$AJ)</f>
        <v>2.764692193991258E-2</v>
      </c>
      <c r="AL179" s="5">
        <v>184</v>
      </c>
      <c r="AM179" s="5">
        <f t="shared" si="22"/>
        <v>693.47826086956525</v>
      </c>
      <c r="AN179" s="5">
        <v>133600</v>
      </c>
      <c r="AO179" s="6">
        <f>Table1[[#This Row],[2019 U.S. Sales ($000)]]/SUMIF($E:$E, E179, $AN:$AN)</f>
        <v>2.7508124265068781E-2</v>
      </c>
      <c r="AP179" s="5">
        <v>168</v>
      </c>
      <c r="AQ179" s="5">
        <f t="shared" si="23"/>
        <v>795.23809523809518</v>
      </c>
    </row>
    <row r="180" spans="1:43" x14ac:dyDescent="0.25">
      <c r="A180" t="s">
        <v>245</v>
      </c>
      <c r="B180">
        <v>562909</v>
      </c>
      <c r="C180" t="s">
        <v>44</v>
      </c>
      <c r="D180" t="s">
        <v>45</v>
      </c>
      <c r="E180" t="s">
        <v>50</v>
      </c>
      <c r="F180" s="5">
        <v>223</v>
      </c>
      <c r="G180" s="5">
        <v>242000</v>
      </c>
      <c r="H180" s="6">
        <f>Table1[[#This Row],[2024 U.S. Sales ($000)]]/SUMIF($E:$E, E180, $G:$G)</f>
        <v>4.6072421277081827E-3</v>
      </c>
      <c r="I180" s="5">
        <v>216</v>
      </c>
      <c r="J180" s="5">
        <f>Table1[[#This Row],[2024 U.S. Sales ($000)]]/Table1[[#This Row],[2024 U.S. Units]]</f>
        <v>1120.3703703703704</v>
      </c>
      <c r="K180" s="6">
        <f>Table1[[#This Row],[2024 U.S. Units]]/Table1[[#This Row],[2023 U.S. Units]]-1</f>
        <v>0.32515337423312873</v>
      </c>
      <c r="L180" s="8">
        <f>(Table1[[#This Row],[2024 Market share (%)]]-Table1[[#This Row],[2023 Market share (%)]])*10000</f>
        <v>9.2022730394871601</v>
      </c>
      <c r="M180" s="6">
        <f>_xlfn.RRI(5,Table1[[#This Row],[2019 U.S. Sales ($000)]],Table1[[#This Row],[2024 U.S. Sales ($000)]])</f>
        <v>0.47046448741063407</v>
      </c>
      <c r="N180" s="9">
        <f>(Table1[[#This Row],[2024 Market share (%)]]-Table1[[#This Row],[2019 Market share (%)]])*10000</f>
        <v>34.60649213893435</v>
      </c>
      <c r="O180" s="6">
        <f>IF(Table1[[#This Row],[2024 AUV]]=0,"",_xlfn.RRI(5,Table1[[#This Row],[2019 AUV]],Table1[[#This Row],[2024 AUV]]))</f>
        <v>2.1827059213242572E-2</v>
      </c>
      <c r="P180" s="6">
        <f>_xlfn.RRI(5,Table1[[#This Row],[2019 U.S. Units]],Table1[[#This Row],[2024 U.S. Units]])</f>
        <v>0.43905416689867316</v>
      </c>
      <c r="Q180" s="5">
        <v>180600</v>
      </c>
      <c r="R180" s="6">
        <f>Table1[[#This Row],[2023 U.S. Sales ($000)]]/SUMIF($E:$E, E180, $Q:$Q)</f>
        <v>3.6870148237594666E-3</v>
      </c>
      <c r="S180" s="8">
        <f>(Table1[[#This Row],[2023 Market share (%)]]-Table1[[#This Row],[2022 Market share (%)]])*10000</f>
        <v>4.0186409832964918</v>
      </c>
      <c r="T180" s="10">
        <v>0.25996776826639317</v>
      </c>
      <c r="U180" s="5">
        <v>163</v>
      </c>
      <c r="V180" s="5">
        <f t="shared" si="16"/>
        <v>1107.9754601226994</v>
      </c>
      <c r="W180" s="10">
        <v>0.29365079365079366</v>
      </c>
      <c r="X180" s="10">
        <f t="shared" si="17"/>
        <v>0.5050251960086809</v>
      </c>
      <c r="Y180" s="8">
        <f>(Table1[[#This Row],[2023 Market share (%)]]-Table1[[#This Row],[2019 Market share (%)]])*10000</f>
        <v>25.404219099447193</v>
      </c>
      <c r="Z180" s="10">
        <f t="shared" si="18"/>
        <v>2.4504524272223271E-2</v>
      </c>
      <c r="AA180" s="10">
        <f t="shared" si="19"/>
        <v>0.46902737894476854</v>
      </c>
      <c r="AB180" s="5">
        <v>143337</v>
      </c>
      <c r="AC180" s="6">
        <f>Table1[[#This Row],[2022 U.S. Sales ($000)]]/SUMIF($E:$E, E180, $AB:$AB)</f>
        <v>3.2851507254298175E-3</v>
      </c>
      <c r="AD180" s="5">
        <v>126</v>
      </c>
      <c r="AE180" s="5">
        <f t="shared" si="20"/>
        <v>1137.5952380952381</v>
      </c>
      <c r="AF180" s="5">
        <v>78688</v>
      </c>
      <c r="AG180" s="6">
        <f>Table1[[#This Row],[2021 U.S. Sales ($000)]]/SUMIF($E:$E, E180, $AF:$AF)</f>
        <v>2.0014820347732578E-3</v>
      </c>
      <c r="AH180" s="5">
        <v>88</v>
      </c>
      <c r="AI180" s="12">
        <f t="shared" si="21"/>
        <v>894.18181818181813</v>
      </c>
      <c r="AJ180" s="5">
        <v>38300</v>
      </c>
      <c r="AK180" s="6">
        <f>Table1[[#This Row],[2020 U.S. Sales ($000)]]/SUMIF($E:$E, E180, $AJ:$AJ)</f>
        <v>1.1324887332894709E-3</v>
      </c>
      <c r="AL180" s="5">
        <v>55</v>
      </c>
      <c r="AM180" s="5">
        <f t="shared" si="22"/>
        <v>696.36363636363637</v>
      </c>
      <c r="AN180" s="5">
        <v>35200</v>
      </c>
      <c r="AO180" s="6">
        <f>Table1[[#This Row],[2019 U.S. Sales ($000)]]/SUMIF($E:$E, E180, $AN:$AN)</f>
        <v>1.1465929138147475E-3</v>
      </c>
      <c r="AP180" s="5">
        <v>35</v>
      </c>
      <c r="AQ180" s="5">
        <f t="shared" si="23"/>
        <v>1005.7142857142857</v>
      </c>
    </row>
    <row r="181" spans="1:43" x14ac:dyDescent="0.25">
      <c r="A181" t="s">
        <v>246</v>
      </c>
      <c r="B181">
        <v>8443</v>
      </c>
      <c r="C181" t="s">
        <v>44</v>
      </c>
      <c r="D181" t="s">
        <v>56</v>
      </c>
      <c r="E181" t="s">
        <v>63</v>
      </c>
      <c r="F181" s="5">
        <v>178</v>
      </c>
      <c r="G181" s="5">
        <v>242000</v>
      </c>
      <c r="H181" s="6">
        <f>Table1[[#This Row],[2024 U.S. Sales ($000)]]/SUMIF($E:$E, E181, $G:$G)</f>
        <v>3.0946291560102302E-2</v>
      </c>
      <c r="I181" s="5">
        <v>114</v>
      </c>
      <c r="J181" s="5">
        <f>Table1[[#This Row],[2024 U.S. Sales ($000)]]/Table1[[#This Row],[2024 U.S. Units]]</f>
        <v>2122.8070175438597</v>
      </c>
      <c r="K181" s="6">
        <f>Table1[[#This Row],[2024 U.S. Units]]/Table1[[#This Row],[2023 U.S. Units]]-1</f>
        <v>5.555555555555558E-2</v>
      </c>
      <c r="L181" s="8">
        <f>(Table1[[#This Row],[2024 Market share (%)]]-Table1[[#This Row],[2023 Market share (%)]])*10000</f>
        <v>34.589871831305111</v>
      </c>
      <c r="M181" s="6">
        <f>_xlfn.RRI(5,Table1[[#This Row],[2019 U.S. Sales ($000)]],Table1[[#This Row],[2024 U.S. Sales ($000)]])</f>
        <v>0.1486983549970351</v>
      </c>
      <c r="N181" s="9">
        <f>(Table1[[#This Row],[2024 Market share (%)]]-Table1[[#This Row],[2019 Market share (%)]])*10000</f>
        <v>102.09821250100639</v>
      </c>
      <c r="O181" s="6">
        <f>IF(Table1[[#This Row],[2024 AUV]]=0,"",_xlfn.RRI(5,Table1[[#This Row],[2019 AUV]],Table1[[#This Row],[2024 AUV]]))</f>
        <v>9.3208576524066222E-2</v>
      </c>
      <c r="P181" s="6">
        <f>_xlfn.RRI(5,Table1[[#This Row],[2019 U.S. Units]],Table1[[#This Row],[2024 U.S. Units]])</f>
        <v>5.0758638071979334E-2</v>
      </c>
      <c r="Q181" s="5">
        <v>227000</v>
      </c>
      <c r="R181" s="6">
        <f>Table1[[#This Row],[2023 U.S. Sales ($000)]]/SUMIF($E:$E, E181, $Q:$Q)</f>
        <v>2.7487304376971791E-2</v>
      </c>
      <c r="S181" s="8">
        <f>(Table1[[#This Row],[2023 Market share (%)]]-Table1[[#This Row],[2022 Market share (%)]])*10000</f>
        <v>6.6207782872885685</v>
      </c>
      <c r="T181" s="10">
        <v>0.11274509803921569</v>
      </c>
      <c r="U181" s="5">
        <v>108</v>
      </c>
      <c r="V181" s="5">
        <f t="shared" si="16"/>
        <v>2101.8518518518517</v>
      </c>
      <c r="W181" s="10">
        <v>5.8823529411764705E-2</v>
      </c>
      <c r="X181" s="10">
        <f t="shared" si="17"/>
        <v>0.17033480731406558</v>
      </c>
      <c r="Y181" s="8">
        <f>(Table1[[#This Row],[2023 Market share (%)]]-Table1[[#This Row],[2019 Market share (%)]])*10000</f>
        <v>67.508340669701283</v>
      </c>
      <c r="Z181" s="10">
        <f t="shared" si="18"/>
        <v>0.11506885193857297</v>
      </c>
      <c r="AA181" s="10">
        <f t="shared" si="19"/>
        <v>4.956281872586743E-2</v>
      </c>
      <c r="AB181" s="5">
        <v>204000</v>
      </c>
      <c r="AC181" s="6">
        <f>Table1[[#This Row],[2022 U.S. Sales ($000)]]/SUMIF($E:$E, E181, $AB:$AB)</f>
        <v>2.6825226548242934E-2</v>
      </c>
      <c r="AD181" s="5">
        <v>102</v>
      </c>
      <c r="AE181" s="5">
        <f t="shared" si="20"/>
        <v>2000</v>
      </c>
      <c r="AF181" s="5">
        <v>186100</v>
      </c>
      <c r="AG181" s="6">
        <f>Table1[[#This Row],[2021 U.S. Sales ($000)]]/SUMIF($E:$E, E181, $AF:$AF)</f>
        <v>2.8090489716405299E-2</v>
      </c>
      <c r="AH181" s="5">
        <v>99</v>
      </c>
      <c r="AI181" s="12">
        <f t="shared" si="21"/>
        <v>1879.7979797979799</v>
      </c>
      <c r="AJ181" s="5">
        <v>146000</v>
      </c>
      <c r="AK181" s="6">
        <f>Table1[[#This Row],[2020 U.S. Sales ($000)]]/SUMIF($E:$E, E181, $AJ:$AJ)</f>
        <v>2.6618393784131025E-2</v>
      </c>
      <c r="AL181" s="5">
        <v>96</v>
      </c>
      <c r="AM181" s="5">
        <f t="shared" si="22"/>
        <v>1520.8333333333333</v>
      </c>
      <c r="AN181" s="5">
        <v>121000</v>
      </c>
      <c r="AO181" s="6">
        <f>Table1[[#This Row],[2019 U.S. Sales ($000)]]/SUMIF($E:$E, E181, $AN:$AN)</f>
        <v>2.0736470310001663E-2</v>
      </c>
      <c r="AP181" s="5">
        <v>89</v>
      </c>
      <c r="AQ181" s="5">
        <f t="shared" si="23"/>
        <v>1359.5505617977528</v>
      </c>
    </row>
    <row r="182" spans="1:43" x14ac:dyDescent="0.25">
      <c r="A182" t="s">
        <v>247</v>
      </c>
      <c r="B182">
        <v>2798</v>
      </c>
      <c r="C182" t="s">
        <v>44</v>
      </c>
      <c r="D182" t="s">
        <v>56</v>
      </c>
      <c r="E182" t="s">
        <v>46</v>
      </c>
      <c r="F182" s="5">
        <v>169</v>
      </c>
      <c r="G182" s="5">
        <v>241000</v>
      </c>
      <c r="H182" s="6">
        <f>Table1[[#This Row],[2024 U.S. Sales ($000)]]/SUMIF($E:$E, E182, $G:$G)</f>
        <v>2.185789039051588E-3</v>
      </c>
      <c r="I182" s="5">
        <v>102</v>
      </c>
      <c r="J182" s="7">
        <f>Table1[[#This Row],[2024 U.S. Sales ($000)]]/Table1[[#This Row],[2024 U.S. Units]]</f>
        <v>2362.7450980392155</v>
      </c>
      <c r="K182" s="6">
        <f>Table1[[#This Row],[2024 U.S. Units]]/Table1[[#This Row],[2023 U.S. Units]]-1</f>
        <v>9.9009900990099098E-3</v>
      </c>
      <c r="L182" s="8">
        <f>(Table1[[#This Row],[2024 Market share (%)]]-Table1[[#This Row],[2023 Market share (%)]])*10000</f>
        <v>-1.5701177728292843</v>
      </c>
      <c r="M182" s="6">
        <f>_xlfn.RRI(5,Table1[[#This Row],[2019 U.S. Sales ($000)]],Table1[[#This Row],[2024 U.S. Sales ($000)]])</f>
        <v>6.0421018146897154E-2</v>
      </c>
      <c r="N182" s="9">
        <f>(Table1[[#This Row],[2024 Market share (%)]]-Table1[[#This Row],[2019 Market share (%)]])*10000</f>
        <v>1.0816444740783908</v>
      </c>
      <c r="O182" s="6">
        <f>IF(Table1[[#This Row],[2024 AUV]]=0,"",_xlfn.RRI(5,Table1[[#This Row],[2019 AUV]],Table1[[#This Row],[2024 AUV]]))</f>
        <v>4.1009954649786184E-2</v>
      </c>
      <c r="P182" s="6">
        <f>_xlfn.RRI(5,Table1[[#This Row],[2019 U.S. Units]],Table1[[#This Row],[2024 U.S. Units]])</f>
        <v>1.8646376444729773E-2</v>
      </c>
      <c r="Q182" s="5">
        <v>256497</v>
      </c>
      <c r="R182" s="6">
        <f>Table1[[#This Row],[2023 U.S. Sales ($000)]]/SUMIF($E:$E, E182, $Q:$Q)</f>
        <v>2.3428008163345164E-3</v>
      </c>
      <c r="S182" s="8">
        <f>(Table1[[#This Row],[2023 Market share (%)]]-Table1[[#This Row],[2022 Market share (%)]])*10000</f>
        <v>-1.4164138436858218</v>
      </c>
      <c r="T182" s="10">
        <v>1.0479165763856333E-2</v>
      </c>
      <c r="U182" s="5">
        <v>101</v>
      </c>
      <c r="V182" s="5">
        <f t="shared" si="16"/>
        <v>2539.5742574257424</v>
      </c>
      <c r="W182" s="10">
        <v>0</v>
      </c>
      <c r="X182" s="10">
        <f t="shared" si="17"/>
        <v>9.2985047685630873E-2</v>
      </c>
      <c r="Y182" s="8">
        <f>(Table1[[#This Row],[2023 Market share (%)]]-Table1[[#This Row],[2019 Market share (%)]])*10000</f>
        <v>2.6517622469076749</v>
      </c>
      <c r="Z182" s="10">
        <f t="shared" si="18"/>
        <v>7.0667486470430863E-2</v>
      </c>
      <c r="AA182" s="10">
        <f t="shared" si="19"/>
        <v>2.0844530628993052E-2</v>
      </c>
      <c r="AB182" s="5">
        <v>253837</v>
      </c>
      <c r="AC182" s="6">
        <f>Table1[[#This Row],[2022 U.S. Sales ($000)]]/SUMIF($E:$E, E182, $AB:$AB)</f>
        <v>2.4844422007030986E-3</v>
      </c>
      <c r="AD182" s="5">
        <v>101</v>
      </c>
      <c r="AE182" s="5">
        <f t="shared" si="20"/>
        <v>2513.2376237623762</v>
      </c>
      <c r="AF182" s="5">
        <v>248253</v>
      </c>
      <c r="AG182" s="6">
        <f>Table1[[#This Row],[2021 U.S. Sales ($000)]]/SUMIF($E:$E, E182, $AF:$AF)</f>
        <v>2.5515977711731337E-3</v>
      </c>
      <c r="AH182" s="5">
        <v>101</v>
      </c>
      <c r="AI182" s="12">
        <f t="shared" si="21"/>
        <v>2457.9504950495048</v>
      </c>
      <c r="AJ182" s="5">
        <v>186714</v>
      </c>
      <c r="AK182" s="6">
        <f>Table1[[#This Row],[2020 U.S. Sales ($000)]]/SUMIF($E:$E, E182, $AJ:$AJ)</f>
        <v>2.136722720248038E-3</v>
      </c>
      <c r="AL182" s="5">
        <v>98</v>
      </c>
      <c r="AM182" s="5">
        <f t="shared" si="22"/>
        <v>1905.2448979591836</v>
      </c>
      <c r="AN182" s="5">
        <v>179732</v>
      </c>
      <c r="AO182" s="6">
        <f>Table1[[#This Row],[2019 U.S. Sales ($000)]]/SUMIF($E:$E, E182, $AN:$AN)</f>
        <v>2.0776245916437489E-3</v>
      </c>
      <c r="AP182" s="5">
        <v>93</v>
      </c>
      <c r="AQ182" s="5">
        <f t="shared" si="23"/>
        <v>1932.6021505376343</v>
      </c>
    </row>
    <row r="183" spans="1:43" x14ac:dyDescent="0.25">
      <c r="A183" t="s">
        <v>248</v>
      </c>
      <c r="B183">
        <v>33417</v>
      </c>
      <c r="C183" t="s">
        <v>68</v>
      </c>
      <c r="D183" t="s">
        <v>69</v>
      </c>
      <c r="E183" t="s">
        <v>125</v>
      </c>
      <c r="F183" s="5">
        <v>212</v>
      </c>
      <c r="G183" s="5">
        <v>238000</v>
      </c>
      <c r="H183" s="6">
        <f>Table1[[#This Row],[2024 U.S. Sales ($000)]]/SUMIF($E:$E, E183, $G:$G)</f>
        <v>7.093889716840536E-2</v>
      </c>
      <c r="I183" s="5">
        <v>64</v>
      </c>
      <c r="J183" s="5">
        <f>Table1[[#This Row],[2024 U.S. Sales ($000)]]/Table1[[#This Row],[2024 U.S. Units]]</f>
        <v>3718.75</v>
      </c>
      <c r="K183" s="6">
        <f>Table1[[#This Row],[2024 U.S. Units]]/Table1[[#This Row],[2023 U.S. Units]]-1</f>
        <v>0.28000000000000003</v>
      </c>
      <c r="L183" s="8">
        <f>(Table1[[#This Row],[2024 Market share (%)]]-Table1[[#This Row],[2023 Market share (%)]])*10000</f>
        <v>180.36279938368773</v>
      </c>
      <c r="M183" s="6">
        <f>_xlfn.RRI(5,Table1[[#This Row],[2019 U.S. Sales ($000)]],Table1[[#This Row],[2024 U.S. Sales ($000)]])</f>
        <v>0.29941394955346912</v>
      </c>
      <c r="N183" s="9">
        <f>(Table1[[#This Row],[2024 Market share (%)]]-Table1[[#This Row],[2019 Market share (%)]])*10000</f>
        <v>467.39689608172893</v>
      </c>
      <c r="O183" s="6">
        <f>IF(Table1[[#This Row],[2024 AUV]]=0,"",_xlfn.RRI(5,Table1[[#This Row],[2019 AUV]],Table1[[#This Row],[2024 AUV]]))</f>
        <v>5.8905239287969868E-2</v>
      </c>
      <c r="P183" s="6">
        <f>_xlfn.RRI(5,Table1[[#This Row],[2019 U.S. Units]],Table1[[#This Row],[2024 U.S. Units]])</f>
        <v>0.22712958756084944</v>
      </c>
      <c r="Q183" s="5">
        <v>187429</v>
      </c>
      <c r="R183" s="6">
        <f>Table1[[#This Row],[2023 U.S. Sales ($000)]]/SUMIF($E:$E, E183, $Q:$Q)</f>
        <v>5.2902617230036586E-2</v>
      </c>
      <c r="S183" s="8">
        <f>(Table1[[#This Row],[2023 Market share (%)]]-Table1[[#This Row],[2022 Market share (%)]])*10000</f>
        <v>80.870772543805288</v>
      </c>
      <c r="T183" s="10">
        <v>0.32844516581732097</v>
      </c>
      <c r="U183" s="5">
        <v>50</v>
      </c>
      <c r="V183" s="5">
        <f t="shared" si="16"/>
        <v>3748.58</v>
      </c>
      <c r="W183" s="10">
        <v>0.25</v>
      </c>
      <c r="X183" s="10">
        <f t="shared" si="17"/>
        <v>0.3069210820394408</v>
      </c>
      <c r="Y183" s="8">
        <f>(Table1[[#This Row],[2023 Market share (%)]]-Table1[[#This Row],[2019 Market share (%)]])*10000</f>
        <v>287.0340966980412</v>
      </c>
      <c r="Z183" s="10">
        <f t="shared" si="18"/>
        <v>7.6313584241461951E-2</v>
      </c>
      <c r="AA183" s="10">
        <f t="shared" si="19"/>
        <v>0.21425679390686181</v>
      </c>
      <c r="AB183" s="5">
        <v>141089</v>
      </c>
      <c r="AC183" s="6">
        <f>Table1[[#This Row],[2022 U.S. Sales ($000)]]/SUMIF($E:$E, E183, $AB:$AB)</f>
        <v>4.4815539975656057E-2</v>
      </c>
      <c r="AD183" s="5">
        <v>40</v>
      </c>
      <c r="AE183" s="5">
        <f t="shared" si="20"/>
        <v>3527.2249999999999</v>
      </c>
      <c r="AF183" s="5">
        <v>64891</v>
      </c>
      <c r="AG183" s="6">
        <f>Table1[[#This Row],[2021 U.S. Sales ($000)]]/SUMIF($E:$E, E183, $AF:$AF)</f>
        <v>2.4401020397419527E-2</v>
      </c>
      <c r="AH183" s="5">
        <v>32</v>
      </c>
      <c r="AI183" s="12">
        <f t="shared" si="21"/>
        <v>2027.84375</v>
      </c>
      <c r="AJ183" s="5">
        <v>45168</v>
      </c>
      <c r="AK183" s="6">
        <f>Table1[[#This Row],[2020 U.S. Sales ($000)]]/SUMIF($E:$E, E183, $AJ:$AJ)</f>
        <v>2.3835494559599026E-2</v>
      </c>
      <c r="AL183" s="5">
        <v>25</v>
      </c>
      <c r="AM183" s="5">
        <f t="shared" si="22"/>
        <v>1806.72</v>
      </c>
      <c r="AN183" s="5">
        <v>64245</v>
      </c>
      <c r="AO183" s="6">
        <f>Table1[[#This Row],[2019 U.S. Sales ($000)]]/SUMIF($E:$E, E183, $AN:$AN)</f>
        <v>2.4199207560232465E-2</v>
      </c>
      <c r="AP183" s="5">
        <v>23</v>
      </c>
      <c r="AQ183" s="5">
        <f t="shared" si="23"/>
        <v>2793.2608695652175</v>
      </c>
    </row>
    <row r="184" spans="1:43" x14ac:dyDescent="0.25">
      <c r="A184" t="s">
        <v>249</v>
      </c>
      <c r="B184">
        <v>2437</v>
      </c>
      <c r="C184" t="s">
        <v>44</v>
      </c>
      <c r="D184" t="s">
        <v>45</v>
      </c>
      <c r="E184" t="s">
        <v>63</v>
      </c>
      <c r="F184" s="5">
        <v>186</v>
      </c>
      <c r="G184" s="5">
        <v>237000</v>
      </c>
      <c r="H184" s="6">
        <f>Table1[[#This Row],[2024 U.S. Sales ($000)]]/SUMIF($E:$E, E184, $G:$G)</f>
        <v>3.030690537084399E-2</v>
      </c>
      <c r="I184" s="5">
        <v>227</v>
      </c>
      <c r="J184" s="5">
        <f>Table1[[#This Row],[2024 U.S. Sales ($000)]]/Table1[[#This Row],[2024 U.S. Units]]</f>
        <v>1044.0528634361233</v>
      </c>
      <c r="K184" s="6">
        <f>Table1[[#This Row],[2024 U.S. Units]]/Table1[[#This Row],[2023 U.S. Units]]-1</f>
        <v>0</v>
      </c>
      <c r="L184" s="8">
        <f>(Table1[[#This Row],[2024 Market share (%)]]-Table1[[#This Row],[2023 Market share (%)]])*10000</f>
        <v>35.945734520775702</v>
      </c>
      <c r="M184" s="6">
        <f>_xlfn.RRI(5,Table1[[#This Row],[2019 U.S. Sales ($000)]],Table1[[#This Row],[2024 U.S. Sales ($000)]])</f>
        <v>0.11002520061968846</v>
      </c>
      <c r="N184" s="9">
        <f>(Table1[[#This Row],[2024 Market share (%)]]-Table1[[#This Row],[2019 Market share (%)]])*10000</f>
        <v>62.059855969914778</v>
      </c>
      <c r="O184" s="6">
        <f>IF(Table1[[#This Row],[2024 AUV]]=0,"",_xlfn.RRI(5,Table1[[#This Row],[2019 AUV]],Table1[[#This Row],[2024 AUV]]))</f>
        <v>8.2265130827525068E-2</v>
      </c>
      <c r="P184" s="6">
        <f>_xlfn.RRI(5,Table1[[#This Row],[2019 U.S. Units]],Table1[[#This Row],[2024 U.S. Units]])</f>
        <v>2.5649971528637794E-2</v>
      </c>
      <c r="Q184" s="5">
        <v>220600</v>
      </c>
      <c r="R184" s="6">
        <f>Table1[[#This Row],[2023 U.S. Sales ($000)]]/SUMIF($E:$E, E184, $Q:$Q)</f>
        <v>2.6712331918766419E-2</v>
      </c>
      <c r="S184" s="8">
        <f>(Table1[[#This Row],[2023 Market share (%)]]-Table1[[#This Row],[2022 Market share (%)]])*10000</f>
        <v>4.7883830908766747</v>
      </c>
      <c r="T184" s="10">
        <v>0.10576441102756892</v>
      </c>
      <c r="U184" s="5">
        <v>227</v>
      </c>
      <c r="V184" s="5">
        <f t="shared" si="16"/>
        <v>971.80616740088101</v>
      </c>
      <c r="W184" s="10">
        <v>6.0747663551401869E-2</v>
      </c>
      <c r="X184" s="10">
        <f t="shared" si="17"/>
        <v>0.11912948698206893</v>
      </c>
      <c r="Y184" s="8">
        <f>(Table1[[#This Row],[2023 Market share (%)]]-Table1[[#This Row],[2019 Market share (%)]])*10000</f>
        <v>26.114121449139077</v>
      </c>
      <c r="Z184" s="10">
        <f t="shared" si="18"/>
        <v>8.4254849713391922E-2</v>
      </c>
      <c r="AA184" s="10">
        <f t="shared" si="19"/>
        <v>3.2164612662692438E-2</v>
      </c>
      <c r="AB184" s="5">
        <v>199500</v>
      </c>
      <c r="AC184" s="6">
        <f>Table1[[#This Row],[2022 U.S. Sales ($000)]]/SUMIF($E:$E, E184, $AB:$AB)</f>
        <v>2.6233493609678752E-2</v>
      </c>
      <c r="AD184" s="5">
        <v>214</v>
      </c>
      <c r="AE184" s="5">
        <f t="shared" si="20"/>
        <v>932.24299065420564</v>
      </c>
      <c r="AF184" s="5">
        <v>173200</v>
      </c>
      <c r="AG184" s="6">
        <f>Table1[[#This Row],[2021 U.S. Sales ($000)]]/SUMIF($E:$E, E184, $AF:$AF)</f>
        <v>2.6143325195493807E-2</v>
      </c>
      <c r="AH184" s="5">
        <v>209</v>
      </c>
      <c r="AI184" s="12">
        <f t="shared" si="21"/>
        <v>828.70813397129189</v>
      </c>
      <c r="AJ184" s="5">
        <v>140500</v>
      </c>
      <c r="AK184" s="6">
        <f>Table1[[#This Row],[2020 U.S. Sales ($000)]]/SUMIF($E:$E, E184, $AJ:$AJ)</f>
        <v>2.5615646073084992E-2</v>
      </c>
      <c r="AL184" s="5">
        <v>205</v>
      </c>
      <c r="AM184" s="5">
        <f t="shared" si="22"/>
        <v>685.36585365853659</v>
      </c>
      <c r="AN184" s="5">
        <v>140632</v>
      </c>
      <c r="AO184" s="6">
        <f>Table1[[#This Row],[2019 U.S. Sales ($000)]]/SUMIF($E:$E, E184, $AN:$AN)</f>
        <v>2.4100919773852512E-2</v>
      </c>
      <c r="AP184" s="5">
        <v>200</v>
      </c>
      <c r="AQ184" s="5">
        <f t="shared" si="23"/>
        <v>703.16</v>
      </c>
    </row>
    <row r="185" spans="1:43" x14ac:dyDescent="0.25">
      <c r="A185" t="s">
        <v>250</v>
      </c>
      <c r="B185">
        <v>1208</v>
      </c>
      <c r="C185" t="s">
        <v>68</v>
      </c>
      <c r="D185" t="s">
        <v>133</v>
      </c>
      <c r="E185" t="s">
        <v>70</v>
      </c>
      <c r="F185" s="5">
        <v>184</v>
      </c>
      <c r="G185" s="5">
        <v>235000</v>
      </c>
      <c r="H185" s="6">
        <f>Table1[[#This Row],[2024 U.S. Sales ($000)]]/SUMIF($E:$E, E185, $G:$G)</f>
        <v>1.4475791548601701E-2</v>
      </c>
      <c r="I185" s="5">
        <v>17</v>
      </c>
      <c r="J185" s="5">
        <f>Table1[[#This Row],[2024 U.S. Sales ($000)]]/Table1[[#This Row],[2024 U.S. Units]]</f>
        <v>13823.529411764706</v>
      </c>
      <c r="K185" s="6">
        <f>Table1[[#This Row],[2024 U.S. Units]]/Table1[[#This Row],[2023 U.S. Units]]-1</f>
        <v>0</v>
      </c>
      <c r="L185" s="8">
        <f>(Table1[[#This Row],[2024 Market share (%)]]-Table1[[#This Row],[2023 Market share (%)]])*10000</f>
        <v>6.1436435526260151</v>
      </c>
      <c r="M185" s="6">
        <f>_xlfn.RRI(5,Table1[[#This Row],[2019 U.S. Sales ($000)]],Table1[[#This Row],[2024 U.S. Sales ($000)]])</f>
        <v>2.5697987419108559E-2</v>
      </c>
      <c r="N185" s="9">
        <f>(Table1[[#This Row],[2024 Market share (%)]]-Table1[[#This Row],[2019 Market share (%)]])*10000</f>
        <v>-20.328243937607382</v>
      </c>
      <c r="O185" s="6">
        <f>IF(Table1[[#This Row],[2024 AUV]]=0,"",_xlfn.RRI(5,Table1[[#This Row],[2019 AUV]],Table1[[#This Row],[2024 AUV]]))</f>
        <v>1.3336568975115481E-2</v>
      </c>
      <c r="P185" s="6">
        <f>_xlfn.RRI(5,Table1[[#This Row],[2019 U.S. Units]],Table1[[#This Row],[2024 U.S. Units]])</f>
        <v>1.2198729249942586E-2</v>
      </c>
      <c r="Q185" s="5">
        <v>221300</v>
      </c>
      <c r="R185" s="6">
        <f>Table1[[#This Row],[2023 U.S. Sales ($000)]]/SUMIF($E:$E, E185, $Q:$Q)</f>
        <v>1.3861427193339099E-2</v>
      </c>
      <c r="S185" s="8">
        <f>(Table1[[#This Row],[2023 Market share (%)]]-Table1[[#This Row],[2022 Market share (%)]])*10000</f>
        <v>2.9482391950244082</v>
      </c>
      <c r="T185" s="10">
        <v>0.11486146095717883</v>
      </c>
      <c r="U185" s="5">
        <v>17</v>
      </c>
      <c r="V185" s="5">
        <f t="shared" si="16"/>
        <v>13017.64705882353</v>
      </c>
      <c r="W185" s="10">
        <v>0</v>
      </c>
      <c r="X185" s="10">
        <f t="shared" si="17"/>
        <v>1.6840339853909425E-2</v>
      </c>
      <c r="Y185" s="8">
        <f>(Table1[[#This Row],[2023 Market share (%)]]-Table1[[#This Row],[2019 Market share (%)]])*10000</f>
        <v>-26.471887490233399</v>
      </c>
      <c r="Z185" s="10">
        <f t="shared" si="18"/>
        <v>1.5451505105963381E-3</v>
      </c>
      <c r="AA185" s="10">
        <f t="shared" si="19"/>
        <v>1.5271592434465298E-2</v>
      </c>
      <c r="AB185" s="5">
        <v>198500</v>
      </c>
      <c r="AC185" s="6">
        <f>Table1[[#This Row],[2022 U.S. Sales ($000)]]/SUMIF($E:$E, E185, $AB:$AB)</f>
        <v>1.3566603273836658E-2</v>
      </c>
      <c r="AD185" s="5">
        <v>17</v>
      </c>
      <c r="AE185" s="5">
        <f t="shared" si="20"/>
        <v>11676.470588235294</v>
      </c>
      <c r="AF185" s="5">
        <v>158400</v>
      </c>
      <c r="AG185" s="6">
        <f>Table1[[#This Row],[2021 U.S. Sales ($000)]]/SUMIF($E:$E, E185, $AF:$AF)</f>
        <v>1.2187001224470483E-2</v>
      </c>
      <c r="AH185" s="5">
        <v>16</v>
      </c>
      <c r="AI185" s="12">
        <f t="shared" si="21"/>
        <v>9900</v>
      </c>
      <c r="AJ185" s="5">
        <v>102500</v>
      </c>
      <c r="AK185" s="6">
        <f>Table1[[#This Row],[2020 U.S. Sales ($000)]]/SUMIF($E:$E, E185, $AJ:$AJ)</f>
        <v>1.0914122150003269E-2</v>
      </c>
      <c r="AL185" s="5">
        <v>16</v>
      </c>
      <c r="AM185" s="5">
        <f t="shared" si="22"/>
        <v>6406.25</v>
      </c>
      <c r="AN185" s="5">
        <v>207000</v>
      </c>
      <c r="AO185" s="6">
        <f>Table1[[#This Row],[2019 U.S. Sales ($000)]]/SUMIF($E:$E, E185, $AN:$AN)</f>
        <v>1.6508615942362439E-2</v>
      </c>
      <c r="AP185" s="5">
        <v>16</v>
      </c>
      <c r="AQ185" s="5">
        <f t="shared" si="23"/>
        <v>12937.5</v>
      </c>
    </row>
    <row r="186" spans="1:43" x14ac:dyDescent="0.25">
      <c r="A186" t="s">
        <v>251</v>
      </c>
      <c r="B186">
        <v>9164</v>
      </c>
      <c r="C186" t="s">
        <v>44</v>
      </c>
      <c r="D186" t="s">
        <v>56</v>
      </c>
      <c r="E186" t="s">
        <v>128</v>
      </c>
      <c r="F186" s="5">
        <v>198</v>
      </c>
      <c r="G186" s="5">
        <v>233000</v>
      </c>
      <c r="H186" s="6">
        <f>Table1[[#This Row],[2024 U.S. Sales ($000)]]/SUMIF($E:$E, E186, $G:$G)</f>
        <v>5.3220648698035632E-2</v>
      </c>
      <c r="I186" s="5">
        <v>75</v>
      </c>
      <c r="J186" s="5">
        <f>Table1[[#This Row],[2024 U.S. Sales ($000)]]/Table1[[#This Row],[2024 U.S. Units]]</f>
        <v>3106.6666666666665</v>
      </c>
      <c r="K186" s="6">
        <f>Table1[[#This Row],[2024 U.S. Units]]/Table1[[#This Row],[2023 U.S. Units]]-1</f>
        <v>0.10294117647058831</v>
      </c>
      <c r="L186" s="8">
        <f>(Table1[[#This Row],[2024 Market share (%)]]-Table1[[#This Row],[2023 Market share (%)]])*10000</f>
        <v>143.54403993080453</v>
      </c>
      <c r="M186" s="6">
        <f>_xlfn.RRI(5,Table1[[#This Row],[2019 U.S. Sales ($000)]],Table1[[#This Row],[2024 U.S. Sales ($000)]])</f>
        <v>0.10318228453758627</v>
      </c>
      <c r="N186" s="9">
        <f>(Table1[[#This Row],[2024 Market share (%)]]-Table1[[#This Row],[2019 Market share (%)]])*10000</f>
        <v>132.61101434662143</v>
      </c>
      <c r="O186" s="6">
        <f>IF(Table1[[#This Row],[2024 AUV]]=0,"",_xlfn.RRI(5,Table1[[#This Row],[2019 AUV]],Table1[[#This Row],[2024 AUV]]))</f>
        <v>8.9816638315347586E-3</v>
      </c>
      <c r="P186" s="6">
        <f>_xlfn.RRI(5,Table1[[#This Row],[2019 U.S. Units]],Table1[[#This Row],[2024 U.S. Units]])</f>
        <v>9.3362073943278112E-2</v>
      </c>
      <c r="Q186" s="5">
        <v>202000</v>
      </c>
      <c r="R186" s="6">
        <f>Table1[[#This Row],[2023 U.S. Sales ($000)]]/SUMIF($E:$E, E186, $Q:$Q)</f>
        <v>3.8866244704955179E-2</v>
      </c>
      <c r="S186" s="8">
        <f>(Table1[[#This Row],[2023 Market share (%)]]-Table1[[#This Row],[2022 Market share (%)]])*10000</f>
        <v>-13.360806643599524</v>
      </c>
      <c r="T186" s="10">
        <v>0.13419427288040428</v>
      </c>
      <c r="U186" s="5">
        <v>68</v>
      </c>
      <c r="V186" s="5">
        <f t="shared" si="16"/>
        <v>2970.5882352941176</v>
      </c>
      <c r="W186" s="10">
        <v>0.13333333333333333</v>
      </c>
      <c r="X186" s="10">
        <f t="shared" si="17"/>
        <v>9.0957823305481744E-2</v>
      </c>
      <c r="Y186" s="8">
        <f>(Table1[[#This Row],[2023 Market share (%)]]-Table1[[#This Row],[2019 Market share (%)]])*10000</f>
        <v>-10.93302558418309</v>
      </c>
      <c r="Z186" s="10">
        <f t="shared" si="18"/>
        <v>-2.0625999082812818E-5</v>
      </c>
      <c r="AA186" s="10">
        <f t="shared" si="19"/>
        <v>9.0980325864682188E-2</v>
      </c>
      <c r="AB186" s="5">
        <v>178100</v>
      </c>
      <c r="AC186" s="6">
        <f>Table1[[#This Row],[2022 U.S. Sales ($000)]]/SUMIF($E:$E, E186, $AB:$AB)</f>
        <v>4.0202325369315131E-2</v>
      </c>
      <c r="AD186" s="5">
        <v>60</v>
      </c>
      <c r="AE186" s="5">
        <f t="shared" si="20"/>
        <v>2968.3333333333335</v>
      </c>
      <c r="AF186" s="5">
        <v>150900</v>
      </c>
      <c r="AG186" s="6">
        <f>Table1[[#This Row],[2021 U.S. Sales ($000)]]/SUMIF($E:$E, E186, $AF:$AF)</f>
        <v>3.9996310479510438E-2</v>
      </c>
      <c r="AH186" s="5">
        <v>56</v>
      </c>
      <c r="AI186" s="12">
        <f t="shared" si="21"/>
        <v>2694.6428571428573</v>
      </c>
      <c r="AJ186" s="5">
        <v>123300</v>
      </c>
      <c r="AK186" s="6">
        <f>Table1[[#This Row],[2020 U.S. Sales ($000)]]/SUMIF($E:$E, E186, $AJ:$AJ)</f>
        <v>4.0236655495256776E-2</v>
      </c>
      <c r="AL186" s="5">
        <v>51</v>
      </c>
      <c r="AM186" s="5">
        <f t="shared" si="22"/>
        <v>2417.6470588235293</v>
      </c>
      <c r="AN186" s="5">
        <v>142600</v>
      </c>
      <c r="AO186" s="6">
        <f>Table1[[#This Row],[2019 U.S. Sales ($000)]]/SUMIF($E:$E, E186, $AN:$AN)</f>
        <v>3.9959547263373488E-2</v>
      </c>
      <c r="AP186" s="5">
        <v>48</v>
      </c>
      <c r="AQ186" s="5">
        <f t="shared" si="23"/>
        <v>2970.8333333333335</v>
      </c>
    </row>
    <row r="187" spans="1:43" x14ac:dyDescent="0.25">
      <c r="A187" t="s">
        <v>252</v>
      </c>
      <c r="B187">
        <v>2248</v>
      </c>
      <c r="C187" t="s">
        <v>68</v>
      </c>
      <c r="D187" t="s">
        <v>133</v>
      </c>
      <c r="E187" t="s">
        <v>125</v>
      </c>
      <c r="F187" s="5">
        <v>210</v>
      </c>
      <c r="G187" s="5">
        <v>233000</v>
      </c>
      <c r="H187" s="6">
        <f>Table1[[#This Row],[2024 U.S. Sales ($000)]]/SUMIF($E:$E, E187, $G:$G)</f>
        <v>6.9448584202682559E-2</v>
      </c>
      <c r="I187" s="5">
        <v>24</v>
      </c>
      <c r="J187" s="5">
        <f>Table1[[#This Row],[2024 U.S. Sales ($000)]]/Table1[[#This Row],[2024 U.S. Units]]</f>
        <v>9708.3333333333339</v>
      </c>
      <c r="K187" s="6">
        <f>Table1[[#This Row],[2024 U.S. Units]]/Table1[[#This Row],[2023 U.S. Units]]-1</f>
        <v>0.14285714285714279</v>
      </c>
      <c r="L187" s="8">
        <f>(Table1[[#This Row],[2024 Market share (%)]]-Table1[[#This Row],[2023 Market share (%)]])*10000</f>
        <v>159.89643999357941</v>
      </c>
      <c r="M187" s="6">
        <f>_xlfn.RRI(5,Table1[[#This Row],[2019 U.S. Sales ($000)]],Table1[[#This Row],[2024 U.S. Sales ($000)]])</f>
        <v>0.1088383148395986</v>
      </c>
      <c r="N187" s="9">
        <f>(Table1[[#This Row],[2024 Market share (%)]]-Table1[[#This Row],[2019 Market share (%)]])*10000</f>
        <v>170.91360280629283</v>
      </c>
      <c r="O187" s="6">
        <f>IF(Table1[[#This Row],[2024 AUV]]=0,"",_xlfn.RRI(5,Table1[[#This Row],[2019 AUV]],Table1[[#This Row],[2024 AUV]]))</f>
        <v>3.4941400074196105E-2</v>
      </c>
      <c r="P187" s="6">
        <f>_xlfn.RRI(5,Table1[[#This Row],[2019 U.S. Units]],Table1[[#This Row],[2024 U.S. Units]])</f>
        <v>7.1402027941007029E-2</v>
      </c>
      <c r="Q187" s="5">
        <v>189400</v>
      </c>
      <c r="R187" s="6">
        <f>Table1[[#This Row],[2023 U.S. Sales ($000)]]/SUMIF($E:$E, E187, $Q:$Q)</f>
        <v>5.3458940203324617E-2</v>
      </c>
      <c r="S187" s="8">
        <f>(Table1[[#This Row],[2023 Market share (%)]]-Table1[[#This Row],[2022 Market share (%)]])*10000</f>
        <v>7.6242890930921376</v>
      </c>
      <c r="T187" s="10">
        <v>0.14165159734779989</v>
      </c>
      <c r="U187" s="5">
        <v>21</v>
      </c>
      <c r="V187" s="5">
        <f t="shared" si="16"/>
        <v>9019.0476190476184</v>
      </c>
      <c r="W187" s="10">
        <v>0.05</v>
      </c>
      <c r="X187" s="10">
        <f t="shared" si="17"/>
        <v>8.0416712803370149E-2</v>
      </c>
      <c r="Y187" s="8">
        <f>(Table1[[#This Row],[2023 Market share (%)]]-Table1[[#This Row],[2019 Market share (%)]])*10000</f>
        <v>11.017162812713421</v>
      </c>
      <c r="Z187" s="10">
        <f t="shared" si="18"/>
        <v>2.482261439647182E-2</v>
      </c>
      <c r="AA187" s="10">
        <f t="shared" si="19"/>
        <v>5.4247532817802036E-2</v>
      </c>
      <c r="AB187" s="5">
        <v>165900</v>
      </c>
      <c r="AC187" s="6">
        <f>Table1[[#This Row],[2022 U.S. Sales ($000)]]/SUMIF($E:$E, E187, $AB:$AB)</f>
        <v>5.2696511294015404E-2</v>
      </c>
      <c r="AD187" s="5">
        <v>20</v>
      </c>
      <c r="AE187" s="5">
        <f t="shared" si="20"/>
        <v>8295</v>
      </c>
      <c r="AF187" s="5">
        <v>129600</v>
      </c>
      <c r="AG187" s="6">
        <f>Table1[[#This Row],[2021 U.S. Sales ($000)]]/SUMIF($E:$E, E187, $AF:$AF)</f>
        <v>4.8733603173099049E-2</v>
      </c>
      <c r="AH187" s="5">
        <v>19</v>
      </c>
      <c r="AI187" s="12">
        <f t="shared" si="21"/>
        <v>6821.0526315789475</v>
      </c>
      <c r="AJ187" s="5">
        <v>82000</v>
      </c>
      <c r="AK187" s="6">
        <f>Table1[[#This Row],[2020 U.S. Sales ($000)]]/SUMIF($E:$E, E187, $AJ:$AJ)</f>
        <v>4.3272018993250096E-2</v>
      </c>
      <c r="AL187" s="5">
        <v>18</v>
      </c>
      <c r="AM187" s="5">
        <f t="shared" si="22"/>
        <v>4555.5555555555557</v>
      </c>
      <c r="AN187" s="5">
        <v>139000</v>
      </c>
      <c r="AO187" s="6">
        <f>Table1[[#This Row],[2019 U.S. Sales ($000)]]/SUMIF($E:$E, E187, $AN:$AN)</f>
        <v>5.2357223922053275E-2</v>
      </c>
      <c r="AP187" s="5">
        <v>17</v>
      </c>
      <c r="AQ187" s="5">
        <f t="shared" si="23"/>
        <v>8176.4705882352937</v>
      </c>
    </row>
    <row r="188" spans="1:43" x14ac:dyDescent="0.25">
      <c r="A188" t="s">
        <v>253</v>
      </c>
      <c r="B188">
        <v>6497</v>
      </c>
      <c r="C188" t="s">
        <v>44</v>
      </c>
      <c r="D188" t="s">
        <v>56</v>
      </c>
      <c r="E188" t="s">
        <v>46</v>
      </c>
      <c r="F188" s="5">
        <v>171</v>
      </c>
      <c r="G188" s="5">
        <v>233000</v>
      </c>
      <c r="H188" s="6">
        <f>Table1[[#This Row],[2024 U.S. Sales ($000)]]/SUMIF($E:$E, E188, $G:$G)</f>
        <v>2.1132317265519503E-3</v>
      </c>
      <c r="I188" s="5">
        <v>194</v>
      </c>
      <c r="J188" s="7">
        <f>Table1[[#This Row],[2024 U.S. Sales ($000)]]/Table1[[#This Row],[2024 U.S. Units]]</f>
        <v>1201.0309278350514</v>
      </c>
      <c r="K188" s="6">
        <f>Table1[[#This Row],[2024 U.S. Units]]/Table1[[#This Row],[2023 U.S. Units]]-1</f>
        <v>-7.6190476190476142E-2</v>
      </c>
      <c r="L188" s="8">
        <f>(Table1[[#This Row],[2024 Market share (%)]]-Table1[[#This Row],[2023 Market share (%)]])*10000</f>
        <v>-1.5743920893953982</v>
      </c>
      <c r="M188" s="6">
        <f>_xlfn.RRI(5,Table1[[#This Row],[2019 U.S. Sales ($000)]],Table1[[#This Row],[2024 U.S. Sales ($000)]])</f>
        <v>-4.9292470997508553E-2</v>
      </c>
      <c r="N188" s="9">
        <f>(Table1[[#This Row],[2024 Market share (%)]]-Table1[[#This Row],[2019 Market share (%)]])*10000</f>
        <v>-13.546392006792864</v>
      </c>
      <c r="O188" s="6">
        <f>IF(Table1[[#This Row],[2024 AUV]]=0,"",_xlfn.RRI(5,Table1[[#This Row],[2019 AUV]],Table1[[#This Row],[2024 AUV]]))</f>
        <v>2.0898442121947802E-2</v>
      </c>
      <c r="P188" s="6">
        <f>_xlfn.RRI(5,Table1[[#This Row],[2019 U.S. Units]],Table1[[#This Row],[2024 U.S. Units]])</f>
        <v>-6.875406036820253E-2</v>
      </c>
      <c r="Q188" s="5">
        <v>248600</v>
      </c>
      <c r="R188" s="6">
        <f>Table1[[#This Row],[2023 U.S. Sales ($000)]]/SUMIF($E:$E, E188, $Q:$Q)</f>
        <v>2.2706709354914901E-3</v>
      </c>
      <c r="S188" s="8">
        <f>(Table1[[#This Row],[2023 Market share (%)]]-Table1[[#This Row],[2022 Market share (%)]])*10000</f>
        <v>-2.9275678962165879</v>
      </c>
      <c r="T188" s="10">
        <v>-5.0808111276140003E-2</v>
      </c>
      <c r="U188" s="5">
        <v>210</v>
      </c>
      <c r="V188" s="5">
        <f t="shared" si="16"/>
        <v>1183.8095238095239</v>
      </c>
      <c r="W188" s="10">
        <v>-3.2258064516129031E-2</v>
      </c>
      <c r="X188" s="10">
        <f t="shared" si="17"/>
        <v>-4.5897645918077878E-2</v>
      </c>
      <c r="Y188" s="8">
        <f>(Table1[[#This Row],[2023 Market share (%)]]-Table1[[#This Row],[2019 Market share (%)]])*10000</f>
        <v>-11.971999917397467</v>
      </c>
      <c r="Z188" s="10">
        <f t="shared" si="18"/>
        <v>2.2492393689391044E-2</v>
      </c>
      <c r="AA188" s="10">
        <f t="shared" si="19"/>
        <v>-6.6885621868248535E-2</v>
      </c>
      <c r="AB188" s="5">
        <v>261907</v>
      </c>
      <c r="AC188" s="6">
        <f>Table1[[#This Row],[2022 U.S. Sales ($000)]]/SUMIF($E:$E, E188, $AB:$AB)</f>
        <v>2.5634277251131488E-3</v>
      </c>
      <c r="AD188" s="5">
        <v>217</v>
      </c>
      <c r="AE188" s="5">
        <f t="shared" si="20"/>
        <v>1206.9447004608294</v>
      </c>
      <c r="AF188" s="5">
        <v>241351</v>
      </c>
      <c r="AG188" s="6">
        <f>Table1[[#This Row],[2021 U.S. Sales ($000)]]/SUMIF($E:$E, E188, $AF:$AF)</f>
        <v>2.4806575294977584E-3</v>
      </c>
      <c r="AH188" s="5">
        <v>219</v>
      </c>
      <c r="AI188" s="12">
        <f t="shared" si="21"/>
        <v>1102.0593607305937</v>
      </c>
      <c r="AJ188" s="5">
        <v>230939</v>
      </c>
      <c r="AK188" s="6">
        <f>Table1[[#This Row],[2020 U.S. Sales ($000)]]/SUMIF($E:$E, E188, $AJ:$AJ)</f>
        <v>2.6428259706897271E-3</v>
      </c>
      <c r="AL188" s="5">
        <v>213</v>
      </c>
      <c r="AM188" s="5">
        <f t="shared" si="22"/>
        <v>1084.2206572769953</v>
      </c>
      <c r="AN188" s="5">
        <v>300000</v>
      </c>
      <c r="AO188" s="6">
        <f>Table1[[#This Row],[2019 U.S. Sales ($000)]]/SUMIF($E:$E, E188, $AN:$AN)</f>
        <v>3.4678709272312367E-3</v>
      </c>
      <c r="AP188" s="5">
        <v>277</v>
      </c>
      <c r="AQ188" s="5">
        <f t="shared" si="23"/>
        <v>1083.0324909747292</v>
      </c>
    </row>
    <row r="189" spans="1:43" x14ac:dyDescent="0.25">
      <c r="A189" t="s">
        <v>254</v>
      </c>
      <c r="B189">
        <v>520</v>
      </c>
      <c r="C189" t="s">
        <v>44</v>
      </c>
      <c r="D189" t="s">
        <v>45</v>
      </c>
      <c r="E189" t="s">
        <v>50</v>
      </c>
      <c r="F189" s="5">
        <v>182</v>
      </c>
      <c r="G189" s="5">
        <v>230000</v>
      </c>
      <c r="H189" s="6">
        <f>Table1[[#This Row],[2024 U.S. Sales ($000)]]/SUMIF($E:$E, E189, $G:$G)</f>
        <v>4.3787838403838101E-3</v>
      </c>
      <c r="I189" s="5">
        <v>126</v>
      </c>
      <c r="J189" s="5">
        <f>Table1[[#This Row],[2024 U.S. Sales ($000)]]/Table1[[#This Row],[2024 U.S. Units]]</f>
        <v>1825.3968253968253</v>
      </c>
      <c r="K189" s="6">
        <f>Table1[[#This Row],[2024 U.S. Units]]/Table1[[#This Row],[2023 U.S. Units]]-1</f>
        <v>2.4390243902439046E-2</v>
      </c>
      <c r="L189" s="8">
        <f>(Table1[[#This Row],[2024 Market share (%)]]-Table1[[#This Row],[2023 Market share (%)]])*10000</f>
        <v>-1.8717367001638927</v>
      </c>
      <c r="M189" s="6">
        <f>_xlfn.RRI(5,Table1[[#This Row],[2019 U.S. Sales ($000)]],Table1[[#This Row],[2024 U.S. Sales ($000)]])</f>
        <v>2.0508105643110897E-2</v>
      </c>
      <c r="N189" s="9">
        <f>(Table1[[#This Row],[2024 Market share (%)]]-Table1[[#This Row],[2019 Market share (%)]])*10000</f>
        <v>-23.900231906021148</v>
      </c>
      <c r="O189" s="6">
        <f>IF(Table1[[#This Row],[2024 AUV]]=0,"",_xlfn.RRI(5,Table1[[#This Row],[2019 AUV]],Table1[[#This Row],[2024 AUV]]))</f>
        <v>2.3727438088645636E-2</v>
      </c>
      <c r="P189" s="6">
        <f>_xlfn.RRI(5,Table1[[#This Row],[2019 U.S. Units]],Table1[[#This Row],[2024 U.S. Units]])</f>
        <v>-3.1447163822682089E-3</v>
      </c>
      <c r="Q189" s="5">
        <v>223653</v>
      </c>
      <c r="R189" s="6">
        <f>Table1[[#This Row],[2023 U.S. Sales ($000)]]/SUMIF($E:$E, E189, $Q:$Q)</f>
        <v>4.5659575104001994E-3</v>
      </c>
      <c r="S189" s="8">
        <f>(Table1[[#This Row],[2023 Market share (%)]]-Table1[[#This Row],[2022 Market share (%)]])*10000</f>
        <v>-1.9605224267249186</v>
      </c>
      <c r="T189" s="10">
        <v>7.6419203465286967E-2</v>
      </c>
      <c r="U189" s="5">
        <v>123</v>
      </c>
      <c r="V189" s="5">
        <f t="shared" si="16"/>
        <v>1818.3170731707316</v>
      </c>
      <c r="W189" s="10">
        <v>-1.6E-2</v>
      </c>
      <c r="X189" s="10">
        <f t="shared" si="17"/>
        <v>1.8549866522667102E-2</v>
      </c>
      <c r="Y189" s="8">
        <f>(Table1[[#This Row],[2023 Market share (%)]]-Table1[[#This Row],[2019 Market share (%)]])*10000</f>
        <v>-22.028495205857254</v>
      </c>
      <c r="Z189" s="10">
        <f t="shared" si="18"/>
        <v>2.8746831827961339E-2</v>
      </c>
      <c r="AA189" s="10">
        <f t="shared" si="19"/>
        <v>-9.9120259618933337E-3</v>
      </c>
      <c r="AB189" s="5">
        <v>207775</v>
      </c>
      <c r="AC189" s="6">
        <f>Table1[[#This Row],[2022 U.S. Sales ($000)]]/SUMIF($E:$E, E189, $AB:$AB)</f>
        <v>4.7620097530726912E-3</v>
      </c>
      <c r="AD189" s="5">
        <v>126</v>
      </c>
      <c r="AE189" s="5">
        <f t="shared" si="20"/>
        <v>1649.0079365079366</v>
      </c>
      <c r="AF189" s="5">
        <v>205732</v>
      </c>
      <c r="AG189" s="6">
        <f>Table1[[#This Row],[2021 U.S. Sales ($000)]]/SUMIF($E:$E, E189, $AF:$AF)</f>
        <v>5.2329313488457176E-3</v>
      </c>
      <c r="AH189" s="5">
        <v>128</v>
      </c>
      <c r="AI189" s="12">
        <f t="shared" si="21"/>
        <v>1607.28125</v>
      </c>
      <c r="AJ189" s="5">
        <v>197500</v>
      </c>
      <c r="AK189" s="6">
        <f>Table1[[#This Row],[2020 U.S. Sales ($000)]]/SUMIF($E:$E, E189, $AJ:$AJ)</f>
        <v>5.8398570450305613E-3</v>
      </c>
      <c r="AL189" s="5">
        <v>127</v>
      </c>
      <c r="AM189" s="5">
        <f t="shared" si="22"/>
        <v>1555.1181102362204</v>
      </c>
      <c r="AN189" s="5">
        <v>207800</v>
      </c>
      <c r="AO189" s="6">
        <f>Table1[[#This Row],[2019 U.S. Sales ($000)]]/SUMIF($E:$E, E189, $AN:$AN)</f>
        <v>6.7688070309859247E-3</v>
      </c>
      <c r="AP189" s="5">
        <v>128</v>
      </c>
      <c r="AQ189" s="5">
        <f t="shared" si="23"/>
        <v>1623.4375</v>
      </c>
    </row>
    <row r="190" spans="1:43" x14ac:dyDescent="0.25">
      <c r="A190" t="s">
        <v>255</v>
      </c>
      <c r="B190">
        <v>6712</v>
      </c>
      <c r="C190" t="s">
        <v>68</v>
      </c>
      <c r="D190" t="s">
        <v>133</v>
      </c>
      <c r="E190" t="s">
        <v>107</v>
      </c>
      <c r="F190" s="5">
        <v>177</v>
      </c>
      <c r="G190" s="5">
        <v>228000</v>
      </c>
      <c r="H190" s="6">
        <f>Table1[[#This Row],[2024 U.S. Sales ($000)]]/SUMIF($E:$E, E190, $G:$G)</f>
        <v>6.5217391304347824E-2</v>
      </c>
      <c r="I190" s="5">
        <v>19</v>
      </c>
      <c r="J190" s="5">
        <f>Table1[[#This Row],[2024 U.S. Sales ($000)]]/Table1[[#This Row],[2024 U.S. Units]]</f>
        <v>12000</v>
      </c>
      <c r="K190" s="6">
        <f>Table1[[#This Row],[2024 U.S. Units]]/Table1[[#This Row],[2023 U.S. Units]]-1</f>
        <v>5.555555555555558E-2</v>
      </c>
      <c r="L190" s="8">
        <f>(Table1[[#This Row],[2024 Market share (%)]]-Table1[[#This Row],[2023 Market share (%)]])*10000</f>
        <v>202.66068165163526</v>
      </c>
      <c r="M190" s="6">
        <f>_xlfn.RRI(5,Table1[[#This Row],[2019 U.S. Sales ($000)]],Table1[[#This Row],[2024 U.S. Sales ($000)]])</f>
        <v>9.6262279352954172E-2</v>
      </c>
      <c r="N190" s="9">
        <f>(Table1[[#This Row],[2024 Market share (%)]]-Table1[[#This Row],[2019 Market share (%)]])*10000</f>
        <v>372.2140250740934</v>
      </c>
      <c r="O190" s="6">
        <f>IF(Table1[[#This Row],[2024 AUV]]=0,"",_xlfn.RRI(5,Table1[[#This Row],[2019 AUV]],Table1[[#This Row],[2024 AUV]]))</f>
        <v>5.9223841048812176E-2</v>
      </c>
      <c r="P190" s="6">
        <f>_xlfn.RRI(5,Table1[[#This Row],[2019 U.S. Units]],Table1[[#This Row],[2024 U.S. Units]])</f>
        <v>3.4967527040806967E-2</v>
      </c>
      <c r="Q190" s="5">
        <v>231300</v>
      </c>
      <c r="R190" s="6">
        <f>Table1[[#This Row],[2023 U.S. Sales ($000)]]/SUMIF($E:$E, E190, $Q:$Q)</f>
        <v>4.4951323139184297E-2</v>
      </c>
      <c r="S190" s="8">
        <f>(Table1[[#This Row],[2023 Market share (%)]]-Table1[[#This Row],[2022 Market share (%)]])*10000</f>
        <v>34.467016211204502</v>
      </c>
      <c r="T190" s="10">
        <v>6.7128027681660901E-2</v>
      </c>
      <c r="U190" s="5">
        <v>18</v>
      </c>
      <c r="V190" s="5">
        <f t="shared" si="16"/>
        <v>12850</v>
      </c>
      <c r="W190" s="10">
        <v>5.8823529411764705E-2</v>
      </c>
      <c r="X190" s="10">
        <f t="shared" si="17"/>
        <v>0.12577936806625556</v>
      </c>
      <c r="Y190" s="8">
        <f>(Table1[[#This Row],[2023 Market share (%)]]-Table1[[#This Row],[2019 Market share (%)]])*10000</f>
        <v>169.55334342245814</v>
      </c>
      <c r="Z190" s="10">
        <f t="shared" si="18"/>
        <v>9.3113239908074741E-2</v>
      </c>
      <c r="AA190" s="10">
        <f t="shared" si="19"/>
        <v>2.9883571953558841E-2</v>
      </c>
      <c r="AB190" s="5">
        <v>216750</v>
      </c>
      <c r="AC190" s="6">
        <f>Table1[[#This Row],[2022 U.S. Sales ($000)]]/SUMIF($E:$E, E190, $AB:$AB)</f>
        <v>4.1504621518063847E-2</v>
      </c>
      <c r="AD190" s="5">
        <v>17</v>
      </c>
      <c r="AE190" s="5">
        <f t="shared" si="20"/>
        <v>12750</v>
      </c>
      <c r="AF190" s="5">
        <v>204000</v>
      </c>
      <c r="AG190" s="6">
        <f>Table1[[#This Row],[2021 U.S. Sales ($000)]]/SUMIF($E:$E, E190, $AF:$AF)</f>
        <v>4.2371420393863123E-2</v>
      </c>
      <c r="AH190" s="5">
        <v>17</v>
      </c>
      <c r="AI190" s="12">
        <f t="shared" si="21"/>
        <v>12000</v>
      </c>
      <c r="AJ190" s="5">
        <v>96000</v>
      </c>
      <c r="AK190" s="6">
        <f>Table1[[#This Row],[2020 U.S. Sales ($000)]]/SUMIF($E:$E, E190, $AJ:$AJ)</f>
        <v>2.8180218367337952E-2</v>
      </c>
      <c r="AL190" s="5">
        <v>16</v>
      </c>
      <c r="AM190" s="5">
        <f t="shared" si="22"/>
        <v>6000</v>
      </c>
      <c r="AN190" s="5">
        <v>144000</v>
      </c>
      <c r="AO190" s="6">
        <f>Table1[[#This Row],[2019 U.S. Sales ($000)]]/SUMIF($E:$E, E190, $AN:$AN)</f>
        <v>2.7995988796938483E-2</v>
      </c>
      <c r="AP190" s="5">
        <v>16</v>
      </c>
      <c r="AQ190" s="5">
        <f t="shared" si="23"/>
        <v>9000</v>
      </c>
    </row>
    <row r="191" spans="1:43" x14ac:dyDescent="0.25">
      <c r="A191" t="s">
        <v>256</v>
      </c>
      <c r="B191">
        <v>873</v>
      </c>
      <c r="C191" t="s">
        <v>44</v>
      </c>
      <c r="D191" t="s">
        <v>56</v>
      </c>
      <c r="E191" t="s">
        <v>61</v>
      </c>
      <c r="F191" s="5">
        <v>190</v>
      </c>
      <c r="G191" s="5">
        <v>227000</v>
      </c>
      <c r="H191" s="6">
        <f>Table1[[#This Row],[2024 U.S. Sales ($000)]]/SUMIF($E:$E, E191, $G:$G)</f>
        <v>7.7237155495066346E-3</v>
      </c>
      <c r="I191" s="5">
        <v>176</v>
      </c>
      <c r="J191" s="5">
        <f>Table1[[#This Row],[2024 U.S. Sales ($000)]]/Table1[[#This Row],[2024 U.S. Units]]</f>
        <v>1289.7727272727273</v>
      </c>
      <c r="K191" s="6">
        <f>Table1[[#This Row],[2024 U.S. Units]]/Table1[[#This Row],[2023 U.S. Units]]-1</f>
        <v>-1.1235955056179803E-2</v>
      </c>
      <c r="L191" s="8">
        <f>(Table1[[#This Row],[2024 Market share (%)]]-Table1[[#This Row],[2023 Market share (%)]])*10000</f>
        <v>7.4752948575267446</v>
      </c>
      <c r="M191" s="6">
        <f>_xlfn.RRI(5,Table1[[#This Row],[2019 U.S. Sales ($000)]],Table1[[#This Row],[2024 U.S. Sales ($000)]])</f>
        <v>4.9491196920300684E-2</v>
      </c>
      <c r="N191" s="9">
        <f>(Table1[[#This Row],[2024 Market share (%)]]-Table1[[#This Row],[2019 Market share (%)]])*10000</f>
        <v>8.1549091774838374</v>
      </c>
      <c r="O191" s="6">
        <f>IF(Table1[[#This Row],[2024 AUV]]=0,"",_xlfn.RRI(5,Table1[[#This Row],[2019 AUV]],Table1[[#This Row],[2024 AUV]]))</f>
        <v>2.9675224400402156E-2</v>
      </c>
      <c r="P191" s="6">
        <f>_xlfn.RRI(5,Table1[[#This Row],[2019 U.S. Units]],Table1[[#This Row],[2024 U.S. Units]])</f>
        <v>1.9244876491456564E-2</v>
      </c>
      <c r="Q191" s="5">
        <v>213100</v>
      </c>
      <c r="R191" s="6">
        <f>Table1[[#This Row],[2023 U.S. Sales ($000)]]/SUMIF($E:$E, E191, $Q:$Q)</f>
        <v>6.9761860637539601E-3</v>
      </c>
      <c r="S191" s="8">
        <f>(Table1[[#This Row],[2023 Market share (%)]]-Table1[[#This Row],[2022 Market share (%)]])*10000</f>
        <v>2.6703310982050324E-2</v>
      </c>
      <c r="T191" s="10">
        <v>2.9468599033816423E-2</v>
      </c>
      <c r="U191" s="5">
        <v>178</v>
      </c>
      <c r="V191" s="5">
        <f t="shared" si="16"/>
        <v>1197.1910112359551</v>
      </c>
      <c r="W191" s="10">
        <v>2.8901734104046242E-2</v>
      </c>
      <c r="X191" s="10">
        <f t="shared" si="17"/>
        <v>4.5593556543900515E-2</v>
      </c>
      <c r="Y191" s="8">
        <f>(Table1[[#This Row],[2023 Market share (%)]]-Table1[[#This Row],[2019 Market share (%)]])*10000</f>
        <v>0.67961431995709232</v>
      </c>
      <c r="Z191" s="10">
        <f t="shared" si="18"/>
        <v>1.8094035951892184E-2</v>
      </c>
      <c r="AA191" s="10">
        <f t="shared" si="19"/>
        <v>2.7010786450877289E-2</v>
      </c>
      <c r="AB191" s="5">
        <v>207000</v>
      </c>
      <c r="AC191" s="6">
        <f>Table1[[#This Row],[2022 U.S. Sales ($000)]]/SUMIF($E:$E, E191, $AB:$AB)</f>
        <v>6.9735157326557551E-3</v>
      </c>
      <c r="AD191" s="5">
        <v>173</v>
      </c>
      <c r="AE191" s="5">
        <f t="shared" si="20"/>
        <v>1196.5317919075144</v>
      </c>
      <c r="AF191" s="5">
        <v>216200</v>
      </c>
      <c r="AG191" s="6">
        <f>Table1[[#This Row],[2021 U.S. Sales ($000)]]/SUMIF($E:$E, E191, $AF:$AF)</f>
        <v>7.4375889276937007E-3</v>
      </c>
      <c r="AH191" s="5">
        <v>169</v>
      </c>
      <c r="AI191" s="12">
        <f t="shared" si="21"/>
        <v>1279.2899408284025</v>
      </c>
      <c r="AJ191" s="5">
        <v>203834</v>
      </c>
      <c r="AK191" s="6">
        <f>Table1[[#This Row],[2020 U.S. Sales ($000)]]/SUMIF($E:$E, E191, $AJ:$AJ)</f>
        <v>7.530742601328212E-3</v>
      </c>
      <c r="AL191" s="5">
        <v>168</v>
      </c>
      <c r="AM191" s="5">
        <f t="shared" si="22"/>
        <v>1213.297619047619</v>
      </c>
      <c r="AN191" s="5">
        <v>178292</v>
      </c>
      <c r="AO191" s="6">
        <f>Table1[[#This Row],[2019 U.S. Sales ($000)]]/SUMIF($E:$E, E191, $AN:$AN)</f>
        <v>6.9082246317582509E-3</v>
      </c>
      <c r="AP191" s="5">
        <v>160</v>
      </c>
      <c r="AQ191" s="5">
        <f t="shared" si="23"/>
        <v>1114.325</v>
      </c>
    </row>
    <row r="192" spans="1:43" x14ac:dyDescent="0.25">
      <c r="A192" t="s">
        <v>257</v>
      </c>
      <c r="B192">
        <v>312</v>
      </c>
      <c r="C192" t="s">
        <v>68</v>
      </c>
      <c r="D192" t="s">
        <v>69</v>
      </c>
      <c r="E192" t="s">
        <v>52</v>
      </c>
      <c r="F192" s="5">
        <v>153</v>
      </c>
      <c r="G192" s="5">
        <v>225000</v>
      </c>
      <c r="H192" s="6">
        <f>Table1[[#This Row],[2024 U.S. Sales ($000)]]/SUMIF($E:$E, E192, $G:$G)</f>
        <v>6.6829036473803017E-3</v>
      </c>
      <c r="I192" s="5">
        <v>98</v>
      </c>
      <c r="J192" s="5">
        <f>Table1[[#This Row],[2024 U.S. Sales ($000)]]/Table1[[#This Row],[2024 U.S. Units]]</f>
        <v>2295.9183673469388</v>
      </c>
      <c r="K192" s="6">
        <f>Table1[[#This Row],[2024 U.S. Units]]/Table1[[#This Row],[2023 U.S. Units]]-1</f>
        <v>-0.18333333333333335</v>
      </c>
      <c r="L192" s="8">
        <f>(Table1[[#This Row],[2024 Market share (%)]]-Table1[[#This Row],[2023 Market share (%)]])*10000</f>
        <v>-21.401304846069028</v>
      </c>
      <c r="M192" s="6">
        <f>_xlfn.RRI(5,Table1[[#This Row],[2019 U.S. Sales ($000)]],Table1[[#This Row],[2024 U.S. Sales ($000)]])</f>
        <v>-7.3454528271456709E-2</v>
      </c>
      <c r="N192" s="9">
        <f>(Table1[[#This Row],[2024 Market share (%)]]-Table1[[#This Row],[2019 Market share (%)]])*10000</f>
        <v>-69.085544350194212</v>
      </c>
      <c r="O192" s="6">
        <f>IF(Table1[[#This Row],[2024 AUV]]=0,"",_xlfn.RRI(5,Table1[[#This Row],[2019 AUV]],Table1[[#This Row],[2024 AUV]]))</f>
        <v>-1.2156204515166191E-2</v>
      </c>
      <c r="P192" s="6">
        <f>_xlfn.RRI(5,Table1[[#This Row],[2019 U.S. Units]],Table1[[#This Row],[2024 U.S. Units]])</f>
        <v>-6.2052648441452529E-2</v>
      </c>
      <c r="Q192" s="5">
        <v>291944</v>
      </c>
      <c r="R192" s="6">
        <f>Table1[[#This Row],[2023 U.S. Sales ($000)]]/SUMIF($E:$E, E192, $Q:$Q)</f>
        <v>8.8230341319872046E-3</v>
      </c>
      <c r="S192" s="8">
        <f>(Table1[[#This Row],[2023 Market share (%)]]-Table1[[#This Row],[2022 Market share (%)]])*10000</f>
        <v>-10.994852472473466</v>
      </c>
      <c r="T192" s="10">
        <v>-2.8595385608475469E-2</v>
      </c>
      <c r="U192" s="5">
        <v>120</v>
      </c>
      <c r="V192" s="5">
        <f t="shared" si="16"/>
        <v>2432.8666666666668</v>
      </c>
      <c r="W192" s="10">
        <v>-3.2258064516129031E-2</v>
      </c>
      <c r="X192" s="10">
        <f t="shared" si="17"/>
        <v>-2.9796847713801089E-2</v>
      </c>
      <c r="Y192" s="8">
        <f>(Table1[[#This Row],[2023 Market share (%)]]-Table1[[#This Row],[2019 Market share (%)]])*10000</f>
        <v>-47.684239504125188</v>
      </c>
      <c r="Z192" s="10">
        <f t="shared" si="18"/>
        <v>-8.0371200288675837E-4</v>
      </c>
      <c r="AA192" s="10">
        <f t="shared" si="19"/>
        <v>-2.9016456585353123E-2</v>
      </c>
      <c r="AB192" s="5">
        <v>300538</v>
      </c>
      <c r="AC192" s="6">
        <f>Table1[[#This Row],[2022 U.S. Sales ($000)]]/SUMIF($E:$E, E192, $AB:$AB)</f>
        <v>9.9225193792345512E-3</v>
      </c>
      <c r="AD192" s="5">
        <v>124</v>
      </c>
      <c r="AE192" s="5">
        <f t="shared" si="20"/>
        <v>2423.6935483870966</v>
      </c>
      <c r="AF192" s="5">
        <v>287114</v>
      </c>
      <c r="AG192" s="6">
        <f>Table1[[#This Row],[2021 U.S. Sales ($000)]]/SUMIF($E:$E, E192, $AF:$AF)</f>
        <v>1.0475074551458092E-2</v>
      </c>
      <c r="AH192" s="5">
        <v>125</v>
      </c>
      <c r="AI192" s="12">
        <f t="shared" si="21"/>
        <v>2296.9119999999998</v>
      </c>
      <c r="AJ192" s="5">
        <v>232585</v>
      </c>
      <c r="AK192" s="6">
        <f>Table1[[#This Row],[2020 U.S. Sales ($000)]]/SUMIF($E:$E, E192, $AJ:$AJ)</f>
        <v>9.8671551746703032E-3</v>
      </c>
      <c r="AL192" s="5">
        <v>129</v>
      </c>
      <c r="AM192" s="5">
        <f t="shared" si="22"/>
        <v>1802.984496124031</v>
      </c>
      <c r="AN192" s="5">
        <v>329495</v>
      </c>
      <c r="AO192" s="6">
        <f>Table1[[#This Row],[2019 U.S. Sales ($000)]]/SUMIF($E:$E, E192, $AN:$AN)</f>
        <v>1.3591458082399723E-2</v>
      </c>
      <c r="AP192" s="5">
        <v>135</v>
      </c>
      <c r="AQ192" s="5">
        <f t="shared" si="23"/>
        <v>2440.7037037037039</v>
      </c>
    </row>
    <row r="193" spans="1:43" x14ac:dyDescent="0.25">
      <c r="A193" t="s">
        <v>258</v>
      </c>
      <c r="B193">
        <v>2790</v>
      </c>
      <c r="C193" t="s">
        <v>44</v>
      </c>
      <c r="D193" t="s">
        <v>45</v>
      </c>
      <c r="E193" t="s">
        <v>48</v>
      </c>
      <c r="F193" s="5">
        <v>179</v>
      </c>
      <c r="G193" s="5">
        <v>224000</v>
      </c>
      <c r="H193" s="6">
        <f>Table1[[#This Row],[2024 U.S. Sales ($000)]]/SUMIF($E:$E, E193, $G:$G)</f>
        <v>4.4329209608609489E-3</v>
      </c>
      <c r="I193" s="5">
        <v>196</v>
      </c>
      <c r="J193" s="5">
        <f>Table1[[#This Row],[2024 U.S. Sales ($000)]]/Table1[[#This Row],[2024 U.S. Units]]</f>
        <v>1142.8571428571429</v>
      </c>
      <c r="K193" s="6">
        <f>Table1[[#This Row],[2024 U.S. Units]]/Table1[[#This Row],[2023 U.S. Units]]-1</f>
        <v>-2.0000000000000018E-2</v>
      </c>
      <c r="L193" s="8">
        <f>(Table1[[#This Row],[2024 Market share (%)]]-Table1[[#This Row],[2023 Market share (%)]])*10000</f>
        <v>-1.8832287358792192</v>
      </c>
      <c r="M193" s="6">
        <f>_xlfn.RRI(5,Table1[[#This Row],[2019 U.S. Sales ($000)]],Table1[[#This Row],[2024 U.S. Sales ($000)]])</f>
        <v>-1.7602336308843447E-2</v>
      </c>
      <c r="N193" s="9">
        <f>(Table1[[#This Row],[2024 Market share (%)]]-Table1[[#This Row],[2019 Market share (%)]])*10000</f>
        <v>-25.642351867952812</v>
      </c>
      <c r="O193" s="6">
        <f>IF(Table1[[#This Row],[2024 AUV]]=0,"",_xlfn.RRI(5,Table1[[#This Row],[2019 AUV]],Table1[[#This Row],[2024 AUV]]))</f>
        <v>5.3577795070411938E-3</v>
      </c>
      <c r="P193" s="6">
        <f>_xlfn.RRI(5,Table1[[#This Row],[2019 U.S. Units]],Table1[[#This Row],[2024 U.S. Units]])</f>
        <v>-2.2837756153976096E-2</v>
      </c>
      <c r="Q193" s="5">
        <v>226550</v>
      </c>
      <c r="R193" s="6">
        <f>Table1[[#This Row],[2023 U.S. Sales ($000)]]/SUMIF($E:$E, E193, $Q:$Q)</f>
        <v>4.6212438344488708E-3</v>
      </c>
      <c r="S193" s="8">
        <f>(Table1[[#This Row],[2023 Market share (%)]]-Table1[[#This Row],[2022 Market share (%)]])*10000</f>
        <v>-3.7212999949498995</v>
      </c>
      <c r="T193" s="10">
        <v>3.1108481441867876E-2</v>
      </c>
      <c r="U193" s="5">
        <v>200</v>
      </c>
      <c r="V193" s="5">
        <f t="shared" si="16"/>
        <v>1132.75</v>
      </c>
      <c r="W193" s="10">
        <v>-1.4778325123152709E-2</v>
      </c>
      <c r="X193" s="10">
        <f t="shared" si="17"/>
        <v>-1.9182596609907621E-2</v>
      </c>
      <c r="Y193" s="8">
        <f>(Table1[[#This Row],[2023 Market share (%)]]-Table1[[#This Row],[2019 Market share (%)]])*10000</f>
        <v>-23.759123132073594</v>
      </c>
      <c r="Z193" s="10">
        <f t="shared" si="18"/>
        <v>4.4685293040538365E-3</v>
      </c>
      <c r="AA193" s="10">
        <f t="shared" si="19"/>
        <v>-2.3545910323689467E-2</v>
      </c>
      <c r="AB193" s="5">
        <v>219715</v>
      </c>
      <c r="AC193" s="6">
        <f>Table1[[#This Row],[2022 U.S. Sales ($000)]]/SUMIF($E:$E, E193, $AB:$AB)</f>
        <v>4.9933738339438608E-3</v>
      </c>
      <c r="AD193" s="5">
        <v>203</v>
      </c>
      <c r="AE193" s="5">
        <f t="shared" si="20"/>
        <v>1082.3399014778324</v>
      </c>
      <c r="AF193" s="5">
        <v>210600</v>
      </c>
      <c r="AG193" s="6">
        <f>Table1[[#This Row],[2021 U.S. Sales ($000)]]/SUMIF($E:$E, E193, $AF:$AF)</f>
        <v>5.4264240414393277E-3</v>
      </c>
      <c r="AH193" s="5">
        <v>205</v>
      </c>
      <c r="AI193" s="12">
        <f t="shared" si="21"/>
        <v>1027.3170731707316</v>
      </c>
      <c r="AJ193" s="5">
        <v>200000</v>
      </c>
      <c r="AK193" s="6">
        <f>Table1[[#This Row],[2020 U.S. Sales ($000)]]/SUMIF($E:$E, E193, $AJ:$AJ)</f>
        <v>6.4498350374066248E-3</v>
      </c>
      <c r="AL193" s="5">
        <v>210</v>
      </c>
      <c r="AM193" s="5">
        <f t="shared" si="22"/>
        <v>952.38095238095241</v>
      </c>
      <c r="AN193" s="5">
        <v>244800</v>
      </c>
      <c r="AO193" s="6">
        <f>Table1[[#This Row],[2019 U.S. Sales ($000)]]/SUMIF($E:$E, E193, $AN:$AN)</f>
        <v>6.9971561476562302E-3</v>
      </c>
      <c r="AP193" s="5">
        <v>220</v>
      </c>
      <c r="AQ193" s="5">
        <f t="shared" si="23"/>
        <v>1112.7272727272727</v>
      </c>
    </row>
    <row r="194" spans="1:43" x14ac:dyDescent="0.25">
      <c r="A194" t="s">
        <v>259</v>
      </c>
      <c r="B194">
        <v>562910</v>
      </c>
      <c r="C194" t="s">
        <v>68</v>
      </c>
      <c r="D194" t="s">
        <v>69</v>
      </c>
      <c r="E194" t="s">
        <v>107</v>
      </c>
      <c r="F194" s="5">
        <v>199</v>
      </c>
      <c r="G194" s="5">
        <v>222000</v>
      </c>
      <c r="H194" s="6">
        <f>Table1[[#This Row],[2024 U.S. Sales ($000)]]/SUMIF($E:$E, E194, $G:$G)</f>
        <v>6.3501144164759729E-2</v>
      </c>
      <c r="I194" s="5">
        <v>68</v>
      </c>
      <c r="J194" s="5">
        <f>Table1[[#This Row],[2024 U.S. Sales ($000)]]/Table1[[#This Row],[2024 U.S. Units]]</f>
        <v>3264.705882352941</v>
      </c>
      <c r="K194" s="6">
        <f>Table1[[#This Row],[2024 U.S. Units]]/Table1[[#This Row],[2023 U.S. Units]]-1</f>
        <v>0</v>
      </c>
      <c r="L194" s="8">
        <f>(Table1[[#This Row],[2024 Market share (%)]]-Table1[[#This Row],[2023 Market share (%)]])*10000</f>
        <v>242.63478182047626</v>
      </c>
      <c r="M194" s="6">
        <f>_xlfn.RRI(5,Table1[[#This Row],[2019 U.S. Sales ($000)]],Table1[[#This Row],[2024 U.S. Sales ($000)]])</f>
        <v>0.28770708951506596</v>
      </c>
      <c r="N194" s="9">
        <f>(Table1[[#This Row],[2024 Market share (%)]]-Table1[[#This Row],[2019 Market share (%)]])*10000</f>
        <v>513.11224042759432</v>
      </c>
      <c r="O194" s="6">
        <f>IF(Table1[[#This Row],[2024 AUV]]=0,"",_xlfn.RRI(5,Table1[[#This Row],[2019 AUV]],Table1[[#This Row],[2024 AUV]]))</f>
        <v>3.6718554660170266E-2</v>
      </c>
      <c r="P194" s="6">
        <f>_xlfn.RRI(5,Table1[[#This Row],[2019 U.S. Units]],Table1[[#This Row],[2024 U.S. Units]])</f>
        <v>0.24209900915409777</v>
      </c>
      <c r="Q194" s="5">
        <v>201900</v>
      </c>
      <c r="R194" s="6">
        <f>Table1[[#This Row],[2023 U.S. Sales ($000)]]/SUMIF($E:$E, E194, $Q:$Q)</f>
        <v>3.9237665982712104E-2</v>
      </c>
      <c r="S194" s="8">
        <f>(Table1[[#This Row],[2023 Market share (%)]]-Table1[[#This Row],[2022 Market share (%)]])*10000</f>
        <v>-11.659102124965266</v>
      </c>
      <c r="T194" s="10">
        <v>-4.3127962085308058E-2</v>
      </c>
      <c r="U194" s="5">
        <v>68</v>
      </c>
      <c r="V194" s="5">
        <f t="shared" ref="V194:V257" si="24">Q194/U194</f>
        <v>2969.1176470588234</v>
      </c>
      <c r="W194" s="10">
        <v>1.4925373134328358E-2</v>
      </c>
      <c r="X194" s="10">
        <f t="shared" ref="X194:X257" si="25">_xlfn.RRI(4,AN194,Q194)</f>
        <v>0.33957549556710132</v>
      </c>
      <c r="Y194" s="8">
        <f>(Table1[[#This Row],[2023 Market share (%)]]-Table1[[#This Row],[2019 Market share (%)]])*10000</f>
        <v>270.47745860711808</v>
      </c>
      <c r="Z194" s="10">
        <f t="shared" ref="Z194:Z257" si="26">_xlfn.RRI(4,AQ194,V194)</f>
        <v>2.1578926011048161E-2</v>
      </c>
      <c r="AA194" s="10">
        <f t="shared" ref="AA194:AA257" si="27">_xlfn.RRI(4,AP194,U194)</f>
        <v>0.31127949242035746</v>
      </c>
      <c r="AB194" s="5">
        <v>211000</v>
      </c>
      <c r="AC194" s="6">
        <f>Table1[[#This Row],[2022 U.S. Sales ($000)]]/SUMIF($E:$E, E194, $AB:$AB)</f>
        <v>4.0403576195208631E-2</v>
      </c>
      <c r="AD194" s="5">
        <v>67</v>
      </c>
      <c r="AE194" s="5">
        <f t="shared" ref="AE194:AE257" si="28">AB194/AD194</f>
        <v>3149.2537313432836</v>
      </c>
      <c r="AF194" s="5">
        <v>137900</v>
      </c>
      <c r="AG194" s="6">
        <f>Table1[[#This Row],[2021 U.S. Sales ($000)]]/SUMIF($E:$E, E194, $AF:$AF)</f>
        <v>2.8642249374086885E-2</v>
      </c>
      <c r="AH194" s="5">
        <v>63</v>
      </c>
      <c r="AI194" s="12">
        <f t="shared" ref="AI194:AI257" si="29">AF194/AH194</f>
        <v>2188.8888888888887</v>
      </c>
      <c r="AJ194" s="5">
        <v>50000</v>
      </c>
      <c r="AK194" s="6">
        <f>Table1[[#This Row],[2020 U.S. Sales ($000)]]/SUMIF($E:$E, E194, $AJ:$AJ)</f>
        <v>1.467719706632185E-2</v>
      </c>
      <c r="AL194" s="5">
        <v>36</v>
      </c>
      <c r="AM194" s="5">
        <f t="shared" ref="AM194:AM257" si="30">AJ194/AL194</f>
        <v>1388.8888888888889</v>
      </c>
      <c r="AN194" s="5">
        <v>62700</v>
      </c>
      <c r="AO194" s="6">
        <f>Table1[[#This Row],[2019 U.S. Sales ($000)]]/SUMIF($E:$E, E194, $AN:$AN)</f>
        <v>1.2189920122000299E-2</v>
      </c>
      <c r="AP194" s="5">
        <v>23</v>
      </c>
      <c r="AQ194" s="5">
        <f t="shared" ref="AQ194:AQ257" si="31">AN194/AP194</f>
        <v>2726.086956521739</v>
      </c>
    </row>
    <row r="195" spans="1:43" x14ac:dyDescent="0.25">
      <c r="A195" t="s">
        <v>260</v>
      </c>
      <c r="B195">
        <v>5501</v>
      </c>
      <c r="C195" t="s">
        <v>68</v>
      </c>
      <c r="D195" t="s">
        <v>69</v>
      </c>
      <c r="E195" t="s">
        <v>107</v>
      </c>
      <c r="F195" s="5">
        <v>175</v>
      </c>
      <c r="G195" s="5">
        <v>221000</v>
      </c>
      <c r="H195" s="6">
        <f>Table1[[#This Row],[2024 U.S. Sales ($000)]]/SUMIF($E:$E, E195, $G:$G)</f>
        <v>6.321510297482838E-2</v>
      </c>
      <c r="I195" s="5">
        <v>38</v>
      </c>
      <c r="J195" s="5">
        <f>Table1[[#This Row],[2024 U.S. Sales ($000)]]/Table1[[#This Row],[2024 U.S. Units]]</f>
        <v>5815.7894736842109</v>
      </c>
      <c r="K195" s="6">
        <f>Table1[[#This Row],[2024 U.S. Units]]/Table1[[#This Row],[2023 U.S. Units]]-1</f>
        <v>-2.5641025641025661E-2</v>
      </c>
      <c r="L195" s="8">
        <f>(Table1[[#This Row],[2024 Market share (%)]]-Table1[[#This Row],[2023 Market share (%)]])*10000</f>
        <v>157.76201209696998</v>
      </c>
      <c r="M195" s="6">
        <f>_xlfn.RRI(5,Table1[[#This Row],[2019 U.S. Sales ($000)]],Table1[[#This Row],[2024 U.S. Sales ($000)]])</f>
        <v>-3.897546102474414E-2</v>
      </c>
      <c r="N195" s="9">
        <f>(Table1[[#This Row],[2024 Market share (%)]]-Table1[[#This Row],[2019 Market share (%)]])*10000</f>
        <v>108.00390616115776</v>
      </c>
      <c r="O195" s="6">
        <f>IF(Table1[[#This Row],[2024 AUV]]=0,"",_xlfn.RRI(5,Table1[[#This Row],[2019 AUV]],Table1[[#This Row],[2024 AUV]]))</f>
        <v>-2.9065895587562451E-2</v>
      </c>
      <c r="P195" s="6">
        <f>_xlfn.RRI(5,Table1[[#This Row],[2019 U.S. Units]],Table1[[#This Row],[2024 U.S. Units]])</f>
        <v>-1.0206218313011495E-2</v>
      </c>
      <c r="Q195" s="5">
        <v>244100</v>
      </c>
      <c r="R195" s="6">
        <f>Table1[[#This Row],[2023 U.S. Sales ($000)]]/SUMIF($E:$E, E195, $Q:$Q)</f>
        <v>4.743890176513138E-2</v>
      </c>
      <c r="S195" s="8">
        <f>(Table1[[#This Row],[2023 Market share (%)]]-Table1[[#This Row],[2022 Market share (%)]])*10000</f>
        <v>14.822274198703772</v>
      </c>
      <c r="T195" s="10">
        <v>1.7083333333333332E-2</v>
      </c>
      <c r="U195" s="5">
        <v>39</v>
      </c>
      <c r="V195" s="5">
        <f t="shared" si="24"/>
        <v>6258.9743589743593</v>
      </c>
      <c r="W195" s="10">
        <v>-2.5000000000000001E-2</v>
      </c>
      <c r="X195" s="10">
        <f t="shared" si="25"/>
        <v>-2.4534367713896277E-2</v>
      </c>
      <c r="Y195" s="8">
        <f>(Table1[[#This Row],[2023 Market share (%)]]-Table1[[#This Row],[2019 Market share (%)]])*10000</f>
        <v>-49.758105935812232</v>
      </c>
      <c r="Z195" s="10">
        <f t="shared" si="26"/>
        <v>-1.8340623996535688E-2</v>
      </c>
      <c r="AA195" s="10">
        <f t="shared" si="27"/>
        <v>-6.3094632097098202E-3</v>
      </c>
      <c r="AB195" s="5">
        <v>240000</v>
      </c>
      <c r="AC195" s="6">
        <f>Table1[[#This Row],[2022 U.S. Sales ($000)]]/SUMIF($E:$E, E195, $AB:$AB)</f>
        <v>4.5956674345261003E-2</v>
      </c>
      <c r="AD195" s="5">
        <v>40</v>
      </c>
      <c r="AE195" s="5">
        <f t="shared" si="28"/>
        <v>6000</v>
      </c>
      <c r="AF195" s="5">
        <v>221000</v>
      </c>
      <c r="AG195" s="6">
        <f>Table1[[#This Row],[2021 U.S. Sales ($000)]]/SUMIF($E:$E, E195, $AF:$AF)</f>
        <v>4.5902372093351719E-2</v>
      </c>
      <c r="AH195" s="5">
        <v>40</v>
      </c>
      <c r="AI195" s="12">
        <f t="shared" si="29"/>
        <v>5525</v>
      </c>
      <c r="AJ195" s="5">
        <v>143000</v>
      </c>
      <c r="AK195" s="6">
        <f>Table1[[#This Row],[2020 U.S. Sales ($000)]]/SUMIF($E:$E, E195, $AJ:$AJ)</f>
        <v>4.197678360968049E-2</v>
      </c>
      <c r="AL195" s="5">
        <v>40</v>
      </c>
      <c r="AM195" s="5">
        <f t="shared" si="30"/>
        <v>3575</v>
      </c>
      <c r="AN195" s="5">
        <v>269600</v>
      </c>
      <c r="AO195" s="6">
        <f>Table1[[#This Row],[2019 U.S. Sales ($000)]]/SUMIF($E:$E, E195, $AN:$AN)</f>
        <v>5.2414712358712603E-2</v>
      </c>
      <c r="AP195" s="5">
        <v>40</v>
      </c>
      <c r="AQ195" s="5">
        <f t="shared" si="31"/>
        <v>6740</v>
      </c>
    </row>
    <row r="196" spans="1:43" x14ac:dyDescent="0.25">
      <c r="A196" t="s">
        <v>261</v>
      </c>
      <c r="B196">
        <v>31264</v>
      </c>
      <c r="C196" t="s">
        <v>44</v>
      </c>
      <c r="D196" t="s">
        <v>56</v>
      </c>
      <c r="E196" t="s">
        <v>48</v>
      </c>
      <c r="F196" s="5">
        <v>227</v>
      </c>
      <c r="G196" s="5">
        <v>220000</v>
      </c>
      <c r="H196" s="6">
        <f>Table1[[#This Row],[2024 U.S. Sales ($000)]]/SUMIF($E:$E, E196, $G:$G)</f>
        <v>4.3537616579884322E-3</v>
      </c>
      <c r="I196" s="5">
        <v>150</v>
      </c>
      <c r="J196" s="5">
        <f>Table1[[#This Row],[2024 U.S. Sales ($000)]]/Table1[[#This Row],[2024 U.S. Units]]</f>
        <v>1466.6666666666667</v>
      </c>
      <c r="K196" s="6">
        <f>Table1[[#This Row],[2024 U.S. Units]]/Table1[[#This Row],[2023 U.S. Units]]-1</f>
        <v>0.38888888888888884</v>
      </c>
      <c r="L196" s="8">
        <f>(Table1[[#This Row],[2024 Market share (%)]]-Table1[[#This Row],[2023 Market share (%)]])*10000</f>
        <v>8.2811264299773342</v>
      </c>
      <c r="M196" s="6">
        <f>_xlfn.RRI(5,Table1[[#This Row],[2019 U.S. Sales ($000)]],Table1[[#This Row],[2024 U.S. Sales ($000)]])</f>
        <v>0.21850623509939249</v>
      </c>
      <c r="N196" s="9">
        <f>(Table1[[#This Row],[2024 Market share (%)]]-Table1[[#This Row],[2019 Market share (%)]])*10000</f>
        <v>20.128013291769729</v>
      </c>
      <c r="O196" s="6">
        <f>IF(Table1[[#This Row],[2024 AUV]]=0,"",_xlfn.RRI(5,Table1[[#This Row],[2019 AUV]],Table1[[#This Row],[2024 AUV]]))</f>
        <v>5.6915233220511396E-4</v>
      </c>
      <c r="P196" s="6">
        <f>_xlfn.RRI(5,Table1[[#This Row],[2019 U.S. Units]],Table1[[#This Row],[2024 U.S. Units]])</f>
        <v>0.21781311392541181</v>
      </c>
      <c r="Q196" s="5">
        <v>172840</v>
      </c>
      <c r="R196" s="6">
        <f>Table1[[#This Row],[2023 U.S. Sales ($000)]]/SUMIF($E:$E, E196, $Q:$Q)</f>
        <v>3.5256490149906988E-3</v>
      </c>
      <c r="S196" s="8">
        <f>(Table1[[#This Row],[2023 Market share (%)]]-Table1[[#This Row],[2022 Market share (%)]])*10000</f>
        <v>5.5073772143654285</v>
      </c>
      <c r="T196" s="10">
        <v>0.32039724980901452</v>
      </c>
      <c r="U196" s="5">
        <v>108</v>
      </c>
      <c r="V196" s="5">
        <f t="shared" si="24"/>
        <v>1600.3703703703704</v>
      </c>
      <c r="W196" s="10">
        <v>0.2558139534883721</v>
      </c>
      <c r="X196" s="10">
        <f t="shared" si="25"/>
        <v>0.20528593596550015</v>
      </c>
      <c r="Y196" s="8">
        <f>(Table1[[#This Row],[2023 Market share (%)]]-Table1[[#This Row],[2019 Market share (%)]])*10000</f>
        <v>11.846886861792395</v>
      </c>
      <c r="Z196" s="10">
        <f t="shared" si="26"/>
        <v>2.277747974558042E-2</v>
      </c>
      <c r="AA196" s="10">
        <f t="shared" si="27"/>
        <v>0.17844395270153912</v>
      </c>
      <c r="AB196" s="5">
        <v>130900</v>
      </c>
      <c r="AC196" s="6">
        <f>Table1[[#This Row],[2022 U.S. Sales ($000)]]/SUMIF($E:$E, E196, $AB:$AB)</f>
        <v>2.974911293554156E-3</v>
      </c>
      <c r="AD196" s="5">
        <v>86</v>
      </c>
      <c r="AE196" s="5">
        <f t="shared" si="28"/>
        <v>1522.0930232558139</v>
      </c>
      <c r="AF196" s="5">
        <v>100200</v>
      </c>
      <c r="AG196" s="6">
        <f>Table1[[#This Row],[2021 U.S. Sales ($000)]]/SUMIF($E:$E, E196, $AF:$AF)</f>
        <v>2.5818028915110193E-3</v>
      </c>
      <c r="AH196" s="5">
        <v>72</v>
      </c>
      <c r="AI196" s="12">
        <f t="shared" si="29"/>
        <v>1391.6666666666667</v>
      </c>
      <c r="AJ196" s="5">
        <v>75167</v>
      </c>
      <c r="AK196" s="6">
        <f>Table1[[#This Row],[2020 U.S. Sales ($000)]]/SUMIF($E:$E, E196, $AJ:$AJ)</f>
        <v>2.4240737512837189E-3</v>
      </c>
      <c r="AL196" s="5">
        <v>64</v>
      </c>
      <c r="AM196" s="5">
        <f t="shared" si="30"/>
        <v>1174.484375</v>
      </c>
      <c r="AN196" s="5">
        <v>81900</v>
      </c>
      <c r="AO196" s="6">
        <f>Table1[[#This Row],[2019 U.S. Sales ($000)]]/SUMIF($E:$E, E196, $AN:$AN)</f>
        <v>2.3409603288114594E-3</v>
      </c>
      <c r="AP196" s="5">
        <v>56</v>
      </c>
      <c r="AQ196" s="5">
        <f t="shared" si="31"/>
        <v>1462.5</v>
      </c>
    </row>
    <row r="197" spans="1:43" x14ac:dyDescent="0.25">
      <c r="A197" t="s">
        <v>262</v>
      </c>
      <c r="B197">
        <v>12033</v>
      </c>
      <c r="C197" t="s">
        <v>68</v>
      </c>
      <c r="D197" t="s">
        <v>133</v>
      </c>
      <c r="E197" t="s">
        <v>70</v>
      </c>
      <c r="F197" s="5">
        <v>202</v>
      </c>
      <c r="G197" s="5">
        <v>220000</v>
      </c>
      <c r="H197" s="6">
        <f>Table1[[#This Row],[2024 U.S. Sales ($000)]]/SUMIF($E:$E, E197, $G:$G)</f>
        <v>1.3551804854010103E-2</v>
      </c>
      <c r="I197" s="5">
        <v>21</v>
      </c>
      <c r="J197" s="5">
        <f>Table1[[#This Row],[2024 U.S. Sales ($000)]]/Table1[[#This Row],[2024 U.S. Units]]</f>
        <v>10476.190476190477</v>
      </c>
      <c r="K197" s="6">
        <f>Table1[[#This Row],[2024 U.S. Units]]/Table1[[#This Row],[2023 U.S. Units]]-1</f>
        <v>0.23529411764705888</v>
      </c>
      <c r="L197" s="8">
        <f>(Table1[[#This Row],[2024 Market share (%)]]-Table1[[#This Row],[2023 Market share (%)]])*10000</f>
        <v>11.072748343742296</v>
      </c>
      <c r="M197" s="6">
        <f>_xlfn.RRI(5,Table1[[#This Row],[2019 U.S. Sales ($000)]],Table1[[#This Row],[2024 U.S. Sales ($000)]])</f>
        <v>0.10756634324829006</v>
      </c>
      <c r="N197" s="9">
        <f>(Table1[[#This Row],[2024 Market share (%)]]-Table1[[#This Row],[2019 Market share (%)]])*10000</f>
        <v>30.2457149946014</v>
      </c>
      <c r="O197" s="6">
        <f>IF(Table1[[#This Row],[2024 AUV]]=0,"",_xlfn.RRI(5,Table1[[#This Row],[2019 AUV]],Table1[[#This Row],[2024 AUV]]))</f>
        <v>6.270083894049483E-3</v>
      </c>
      <c r="P197" s="6">
        <f>_xlfn.RRI(5,Table1[[#This Row],[2019 U.S. Units]],Table1[[#This Row],[2024 U.S. Units]])</f>
        <v>0.10066508085209658</v>
      </c>
      <c r="Q197" s="5">
        <v>198679</v>
      </c>
      <c r="R197" s="6">
        <f>Table1[[#This Row],[2023 U.S. Sales ($000)]]/SUMIF($E:$E, E197, $Q:$Q)</f>
        <v>1.2444530019635873E-2</v>
      </c>
      <c r="S197" s="8">
        <f>(Table1[[#This Row],[2023 Market share (%)]]-Table1[[#This Row],[2022 Market share (%)]])*10000</f>
        <v>-3.6357369181771668</v>
      </c>
      <c r="T197" s="10">
        <v>6.0175451702756642E-2</v>
      </c>
      <c r="U197" s="5">
        <v>17</v>
      </c>
      <c r="V197" s="5">
        <f t="shared" si="24"/>
        <v>11687</v>
      </c>
      <c r="W197" s="10">
        <v>6.25E-2</v>
      </c>
      <c r="X197" s="10">
        <f t="shared" si="25"/>
        <v>0.10762948613388712</v>
      </c>
      <c r="Y197" s="8">
        <f>(Table1[[#This Row],[2023 Market share (%)]]-Table1[[#This Row],[2019 Market share (%)]])*10000</f>
        <v>19.172966650859106</v>
      </c>
      <c r="Z197" s="10">
        <f t="shared" si="26"/>
        <v>3.5781419933308412E-2</v>
      </c>
      <c r="AA197" s="10">
        <f t="shared" si="27"/>
        <v>6.936605042133781E-2</v>
      </c>
      <c r="AB197" s="5">
        <v>187402</v>
      </c>
      <c r="AC197" s="6">
        <f>Table1[[#This Row],[2022 U.S. Sales ($000)]]/SUMIF($E:$E, E197, $AB:$AB)</f>
        <v>1.280810371145359E-2</v>
      </c>
      <c r="AD197" s="5">
        <v>16</v>
      </c>
      <c r="AE197" s="5">
        <f t="shared" si="28"/>
        <v>11712.625</v>
      </c>
      <c r="AF197" s="5">
        <v>151436</v>
      </c>
      <c r="AG197" s="6">
        <f>Table1[[#This Row],[2021 U.S. Sales ($000)]]/SUMIF($E:$E, E197, $AF:$AF)</f>
        <v>1.1651204024172425E-2</v>
      </c>
      <c r="AH197" s="5">
        <v>14</v>
      </c>
      <c r="AI197" s="12">
        <f t="shared" si="29"/>
        <v>10816.857142857143</v>
      </c>
      <c r="AJ197" s="5">
        <v>60932</v>
      </c>
      <c r="AK197" s="6">
        <f>Table1[[#This Row],[2020 U.S. Sales ($000)]]/SUMIF($E:$E, E197, $AJ:$AJ)</f>
        <v>6.4879930814048699E-3</v>
      </c>
      <c r="AL197" s="5">
        <v>13</v>
      </c>
      <c r="AM197" s="5">
        <f t="shared" si="30"/>
        <v>4687.0769230769229</v>
      </c>
      <c r="AN197" s="5">
        <v>132000</v>
      </c>
      <c r="AO197" s="6">
        <f>Table1[[#This Row],[2019 U.S. Sales ($000)]]/SUMIF($E:$E, E197, $AN:$AN)</f>
        <v>1.0527233354549963E-2</v>
      </c>
      <c r="AP197" s="5">
        <v>13</v>
      </c>
      <c r="AQ197" s="5">
        <f t="shared" si="31"/>
        <v>10153.846153846154</v>
      </c>
    </row>
    <row r="198" spans="1:43" x14ac:dyDescent="0.25">
      <c r="A198" t="s">
        <v>263</v>
      </c>
      <c r="B198">
        <v>2486</v>
      </c>
      <c r="C198" t="s">
        <v>68</v>
      </c>
      <c r="D198" t="s">
        <v>69</v>
      </c>
      <c r="E198" t="s">
        <v>87</v>
      </c>
      <c r="F198" s="5">
        <v>183</v>
      </c>
      <c r="G198" s="5">
        <v>216000</v>
      </c>
      <c r="H198" s="6">
        <f>Table1[[#This Row],[2024 U.S. Sales ($000)]]/SUMIF($E:$E, E198, $G:$G)</f>
        <v>2.7064277659441173E-2</v>
      </c>
      <c r="I198" s="5">
        <v>125</v>
      </c>
      <c r="J198" s="5">
        <f>Table1[[#This Row],[2024 U.S. Sales ($000)]]/Table1[[#This Row],[2024 U.S. Units]]</f>
        <v>1728</v>
      </c>
      <c r="K198" s="6">
        <f>Table1[[#This Row],[2024 U.S. Units]]/Table1[[#This Row],[2023 U.S. Units]]-1</f>
        <v>-8.7591240875912413E-2</v>
      </c>
      <c r="L198" s="8">
        <f>(Table1[[#This Row],[2024 Market share (%)]]-Table1[[#This Row],[2023 Market share (%)]])*10000</f>
        <v>43.14491870327241</v>
      </c>
      <c r="M198" s="6">
        <f>_xlfn.RRI(5,Table1[[#This Row],[2019 U.S. Sales ($000)]],Table1[[#This Row],[2024 U.S. Sales ($000)]])</f>
        <v>-2.2878877319119639E-2</v>
      </c>
      <c r="N198" s="9">
        <f>(Table1[[#This Row],[2024 Market share (%)]]-Table1[[#This Row],[2019 Market share (%)]])*10000</f>
        <v>-12.689614244920447</v>
      </c>
      <c r="O198" s="6">
        <f>IF(Table1[[#This Row],[2024 AUV]]=0,"",_xlfn.RRI(5,Table1[[#This Row],[2019 AUV]],Table1[[#This Row],[2024 AUV]]))</f>
        <v>1.3408752530830625E-2</v>
      </c>
      <c r="P198" s="6">
        <f>_xlfn.RRI(5,Table1[[#This Row],[2019 U.S. Units]],Table1[[#This Row],[2024 U.S. Units]])</f>
        <v>-3.5807495997372762E-2</v>
      </c>
      <c r="Q198" s="5">
        <v>221831</v>
      </c>
      <c r="R198" s="6">
        <f>Table1[[#This Row],[2023 U.S. Sales ($000)]]/SUMIF($E:$E, E198, $Q:$Q)</f>
        <v>2.2749785789113932E-2</v>
      </c>
      <c r="S198" s="8">
        <f>(Table1[[#This Row],[2023 Market share (%)]]-Table1[[#This Row],[2022 Market share (%)]])*10000</f>
        <v>-0.11858088638488917</v>
      </c>
      <c r="T198" s="10">
        <v>4.0883454236620091E-2</v>
      </c>
      <c r="U198" s="5">
        <v>137</v>
      </c>
      <c r="V198" s="5">
        <f t="shared" si="24"/>
        <v>1619.2043795620439</v>
      </c>
      <c r="W198" s="10">
        <v>-1.4388489208633094E-2</v>
      </c>
      <c r="X198" s="10">
        <f t="shared" si="25"/>
        <v>-2.2025291702537531E-2</v>
      </c>
      <c r="Y198" s="8">
        <f>(Table1[[#This Row],[2023 Market share (%)]]-Table1[[#This Row],[2019 Market share (%)]])*10000</f>
        <v>-55.834532948192859</v>
      </c>
      <c r="Z198" s="10">
        <f t="shared" si="26"/>
        <v>3.9219903871900996E-4</v>
      </c>
      <c r="AA198" s="10">
        <f t="shared" si="27"/>
        <v>-2.2408702069845909E-2</v>
      </c>
      <c r="AB198" s="5">
        <v>213118</v>
      </c>
      <c r="AC198" s="6">
        <f>Table1[[#This Row],[2022 U.S. Sales ($000)]]/SUMIF($E:$E, E198, $AB:$AB)</f>
        <v>2.2761643877752421E-2</v>
      </c>
      <c r="AD198" s="5">
        <v>139</v>
      </c>
      <c r="AE198" s="5">
        <f t="shared" si="28"/>
        <v>1533.2230215827337</v>
      </c>
      <c r="AF198" s="5">
        <v>198800</v>
      </c>
      <c r="AG198" s="6">
        <f>Table1[[#This Row],[2021 U.S. Sales ($000)]]/SUMIF($E:$E, E198, $AF:$AF)</f>
        <v>2.330991944945441E-2</v>
      </c>
      <c r="AH198" s="5">
        <v>140</v>
      </c>
      <c r="AI198" s="12">
        <f t="shared" si="29"/>
        <v>1420</v>
      </c>
      <c r="AJ198" s="5">
        <v>178600</v>
      </c>
      <c r="AK198" s="6">
        <f>Table1[[#This Row],[2020 U.S. Sales ($000)]]/SUMIF($E:$E, E198, $AJ:$AJ)</f>
        <v>2.6956240482869882E-2</v>
      </c>
      <c r="AL198" s="5">
        <v>138</v>
      </c>
      <c r="AM198" s="5">
        <f t="shared" si="30"/>
        <v>1294.2028985507247</v>
      </c>
      <c r="AN198" s="5">
        <v>242500</v>
      </c>
      <c r="AO198" s="6">
        <f>Table1[[#This Row],[2019 U.S. Sales ($000)]]/SUMIF($E:$E, E198, $AN:$AN)</f>
        <v>2.8333239083933218E-2</v>
      </c>
      <c r="AP198" s="5">
        <v>150</v>
      </c>
      <c r="AQ198" s="5">
        <f t="shared" si="31"/>
        <v>1616.6666666666667</v>
      </c>
    </row>
    <row r="199" spans="1:43" x14ac:dyDescent="0.25">
      <c r="A199" t="s">
        <v>264</v>
      </c>
      <c r="B199">
        <v>7704</v>
      </c>
      <c r="C199" t="s">
        <v>44</v>
      </c>
      <c r="D199" t="s">
        <v>56</v>
      </c>
      <c r="E199" t="s">
        <v>59</v>
      </c>
      <c r="F199" s="5">
        <v>192</v>
      </c>
      <c r="G199" s="5">
        <v>213000</v>
      </c>
      <c r="H199" s="6">
        <f>Table1[[#This Row],[2024 U.S. Sales ($000)]]/SUMIF($E:$E, E199, $G:$G)</f>
        <v>6.0991323769435616E-3</v>
      </c>
      <c r="I199" s="5">
        <v>95</v>
      </c>
      <c r="J199" s="5">
        <f>Table1[[#This Row],[2024 U.S. Sales ($000)]]/Table1[[#This Row],[2024 U.S. Units]]</f>
        <v>2242.1052631578946</v>
      </c>
      <c r="K199" s="6">
        <f>Table1[[#This Row],[2024 U.S. Units]]/Table1[[#This Row],[2023 U.S. Units]]-1</f>
        <v>-3.0612244897959218E-2</v>
      </c>
      <c r="L199" s="8">
        <f>(Table1[[#This Row],[2024 Market share (%)]]-Table1[[#This Row],[2023 Market share (%)]])*10000</f>
        <v>5.235749615215644</v>
      </c>
      <c r="M199" s="6">
        <f>_xlfn.RRI(5,Table1[[#This Row],[2019 U.S. Sales ($000)]],Table1[[#This Row],[2024 U.S. Sales ($000)]])</f>
        <v>-1.2650866770070546E-2</v>
      </c>
      <c r="N199" s="9">
        <f>(Table1[[#This Row],[2024 Market share (%)]]-Table1[[#This Row],[2019 Market share (%)]])*10000</f>
        <v>-8.5022049441883443</v>
      </c>
      <c r="O199" s="6">
        <f>IF(Table1[[#This Row],[2024 AUV]]=0,"",_xlfn.RRI(5,Table1[[#This Row],[2019 AUV]],Table1[[#This Row],[2024 AUV]]))</f>
        <v>3.6294282994075777E-2</v>
      </c>
      <c r="P199" s="6">
        <f>_xlfn.RRI(5,Table1[[#This Row],[2019 U.S. Units]],Table1[[#This Row],[2024 U.S. Units]])</f>
        <v>-4.7230936778627441E-2</v>
      </c>
      <c r="Q199" s="5">
        <v>210594</v>
      </c>
      <c r="R199" s="6">
        <f>Table1[[#This Row],[2023 U.S. Sales ($000)]]/SUMIF($E:$E, E199, $Q:$Q)</f>
        <v>5.5755574154219972E-3</v>
      </c>
      <c r="S199" s="8">
        <f>(Table1[[#This Row],[2023 Market share (%)]]-Table1[[#This Row],[2022 Market share (%)]])*10000</f>
        <v>-4.4328598210430226</v>
      </c>
      <c r="T199" s="10">
        <v>-2.213492693663198E-2</v>
      </c>
      <c r="U199" s="5">
        <v>98</v>
      </c>
      <c r="V199" s="5">
        <f t="shared" si="24"/>
        <v>2148.9183673469388</v>
      </c>
      <c r="W199" s="10">
        <v>-1.0101010101010102E-2</v>
      </c>
      <c r="X199" s="10">
        <f t="shared" si="25"/>
        <v>-1.8579706133678209E-2</v>
      </c>
      <c r="Y199" s="8">
        <f>(Table1[[#This Row],[2023 Market share (%)]]-Table1[[#This Row],[2019 Market share (%)]])*10000</f>
        <v>-13.737954559403988</v>
      </c>
      <c r="Z199" s="10">
        <f t="shared" si="26"/>
        <v>3.4534213005706249E-2</v>
      </c>
      <c r="AA199" s="10">
        <f t="shared" si="27"/>
        <v>-5.1340901510708581E-2</v>
      </c>
      <c r="AB199" s="5">
        <v>215361</v>
      </c>
      <c r="AC199" s="6">
        <f>Table1[[#This Row],[2022 U.S. Sales ($000)]]/SUMIF($E:$E, E199, $AB:$AB)</f>
        <v>6.0188433975262995E-3</v>
      </c>
      <c r="AD199" s="5">
        <v>99</v>
      </c>
      <c r="AE199" s="5">
        <f t="shared" si="28"/>
        <v>2175.3636363636365</v>
      </c>
      <c r="AF199" s="5">
        <v>194497</v>
      </c>
      <c r="AG199" s="6">
        <f>Table1[[#This Row],[2021 U.S. Sales ($000)]]/SUMIF($E:$E, E199, $AF:$AF)</f>
        <v>5.8622007722310288E-3</v>
      </c>
      <c r="AH199" s="5">
        <v>105</v>
      </c>
      <c r="AI199" s="12">
        <f t="shared" si="29"/>
        <v>1852.3523809523811</v>
      </c>
      <c r="AJ199" s="5">
        <v>182700</v>
      </c>
      <c r="AK199" s="6">
        <f>Table1[[#This Row],[2020 U.S. Sales ($000)]]/SUMIF($E:$E, E199, $AJ:$AJ)</f>
        <v>6.4151506264726408E-3</v>
      </c>
      <c r="AL199" s="5">
        <v>110</v>
      </c>
      <c r="AM199" s="5">
        <f t="shared" si="30"/>
        <v>1660.909090909091</v>
      </c>
      <c r="AN199" s="5">
        <v>227000</v>
      </c>
      <c r="AO199" s="6">
        <f>Table1[[#This Row],[2019 U.S. Sales ($000)]]/SUMIF($E:$E, E199, $AN:$AN)</f>
        <v>6.9493528713623961E-3</v>
      </c>
      <c r="AP199" s="5">
        <v>121</v>
      </c>
      <c r="AQ199" s="5">
        <f t="shared" si="31"/>
        <v>1876.0330578512396</v>
      </c>
    </row>
    <row r="200" spans="1:43" x14ac:dyDescent="0.25">
      <c r="A200" t="s">
        <v>265</v>
      </c>
      <c r="B200">
        <v>848</v>
      </c>
      <c r="C200" t="s">
        <v>44</v>
      </c>
      <c r="D200" t="s">
        <v>56</v>
      </c>
      <c r="E200" t="s">
        <v>52</v>
      </c>
      <c r="F200" s="5">
        <v>157</v>
      </c>
      <c r="G200" s="5">
        <v>213000</v>
      </c>
      <c r="H200" s="6">
        <f>Table1[[#This Row],[2024 U.S. Sales ($000)]]/SUMIF($E:$E, E200, $G:$G)</f>
        <v>6.3264821195200193E-3</v>
      </c>
      <c r="I200" s="5">
        <v>146</v>
      </c>
      <c r="J200" s="5">
        <f>Table1[[#This Row],[2024 U.S. Sales ($000)]]/Table1[[#This Row],[2024 U.S. Units]]</f>
        <v>1458.9041095890411</v>
      </c>
      <c r="K200" s="6">
        <f>Table1[[#This Row],[2024 U.S. Units]]/Table1[[#This Row],[2023 U.S. Units]]-1</f>
        <v>-2.0134228187919434E-2</v>
      </c>
      <c r="L200" s="8">
        <f>(Table1[[#This Row],[2024 Market share (%)]]-Table1[[#This Row],[2023 Market share (%)]])*10000</f>
        <v>-22.292715961431806</v>
      </c>
      <c r="M200" s="6">
        <f>_xlfn.RRI(5,Table1[[#This Row],[2019 U.S. Sales ($000)]],Table1[[#This Row],[2024 U.S. Sales ($000)]])</f>
        <v>-7.2947573784140629E-2</v>
      </c>
      <c r="N200" s="9">
        <f>(Table1[[#This Row],[2024 Market share (%)]]-Table1[[#This Row],[2019 Market share (%)]])*10000</f>
        <v>-65.049564931814842</v>
      </c>
      <c r="O200" s="6">
        <f>IF(Table1[[#This Row],[2024 AUV]]=0,"",_xlfn.RRI(5,Table1[[#This Row],[2019 AUV]],Table1[[#This Row],[2024 AUV]]))</f>
        <v>-4.2057562836545492E-2</v>
      </c>
      <c r="P200" s="6">
        <f>_xlfn.RRI(5,Table1[[#This Row],[2019 U.S. Units]],Table1[[#This Row],[2024 U.S. Units]])</f>
        <v>-3.2246207860947229E-2</v>
      </c>
      <c r="Q200" s="5">
        <v>283100</v>
      </c>
      <c r="R200" s="6">
        <f>Table1[[#This Row],[2023 U.S. Sales ($000)]]/SUMIF($E:$E, E200, $Q:$Q)</f>
        <v>8.5557537156631999E-3</v>
      </c>
      <c r="S200" s="8">
        <f>(Table1[[#This Row],[2023 Market share (%)]]-Table1[[#This Row],[2022 Market share (%)]])*10000</f>
        <v>-6.6227332478521923</v>
      </c>
      <c r="T200" s="10">
        <v>1.3968481375358166E-2</v>
      </c>
      <c r="U200" s="5">
        <v>149</v>
      </c>
      <c r="V200" s="5">
        <f t="shared" si="24"/>
        <v>1900</v>
      </c>
      <c r="W200" s="10">
        <v>0</v>
      </c>
      <c r="X200" s="10">
        <f t="shared" si="25"/>
        <v>-2.3279203151036931E-2</v>
      </c>
      <c r="Y200" s="8">
        <f>(Table1[[#This Row],[2023 Market share (%)]]-Table1[[#This Row],[2019 Market share (%)]])*10000</f>
        <v>-42.756848970383032</v>
      </c>
      <c r="Z200" s="10">
        <f t="shared" si="26"/>
        <v>1.2408959018372023E-2</v>
      </c>
      <c r="AA200" s="10">
        <f t="shared" si="27"/>
        <v>-3.5250737215929084E-2</v>
      </c>
      <c r="AB200" s="5">
        <v>279200</v>
      </c>
      <c r="AC200" s="6">
        <f>Table1[[#This Row],[2022 U.S. Sales ($000)]]/SUMIF($E:$E, E200, $AB:$AB)</f>
        <v>9.2180270404484191E-3</v>
      </c>
      <c r="AD200" s="5">
        <v>149</v>
      </c>
      <c r="AE200" s="5">
        <f t="shared" si="28"/>
        <v>1873.8255033557048</v>
      </c>
      <c r="AF200" s="5">
        <v>263000</v>
      </c>
      <c r="AG200" s="6">
        <f>Table1[[#This Row],[2021 U.S. Sales ($000)]]/SUMIF($E:$E, E200, $AF:$AF)</f>
        <v>9.5952987560114725E-3</v>
      </c>
      <c r="AH200" s="5">
        <v>148</v>
      </c>
      <c r="AI200" s="12">
        <f t="shared" si="29"/>
        <v>1777.0270270270271</v>
      </c>
      <c r="AJ200" s="5">
        <v>249885</v>
      </c>
      <c r="AK200" s="6">
        <f>Table1[[#This Row],[2020 U.S. Sales ($000)]]/SUMIF($E:$E, E200, $AJ:$AJ)</f>
        <v>1.0601088078863594E-2</v>
      </c>
      <c r="AL200" s="5">
        <v>150</v>
      </c>
      <c r="AM200" s="5">
        <f t="shared" si="30"/>
        <v>1665.9</v>
      </c>
      <c r="AN200" s="5">
        <v>311070</v>
      </c>
      <c r="AO200" s="6">
        <f>Table1[[#This Row],[2019 U.S. Sales ($000)]]/SUMIF($E:$E, E200, $AN:$AN)</f>
        <v>1.2831438612701503E-2</v>
      </c>
      <c r="AP200" s="5">
        <v>172</v>
      </c>
      <c r="AQ200" s="5">
        <f t="shared" si="31"/>
        <v>1808.546511627907</v>
      </c>
    </row>
    <row r="201" spans="1:43" x14ac:dyDescent="0.25">
      <c r="A201" t="s">
        <v>266</v>
      </c>
      <c r="B201">
        <v>33410</v>
      </c>
      <c r="C201" t="s">
        <v>44</v>
      </c>
      <c r="D201" t="s">
        <v>45</v>
      </c>
      <c r="E201" t="s">
        <v>112</v>
      </c>
      <c r="F201" s="5">
        <v>207</v>
      </c>
      <c r="G201" s="5">
        <v>211000</v>
      </c>
      <c r="H201" s="6">
        <f>Table1[[#This Row],[2024 U.S. Sales ($000)]]/SUMIF($E:$E, E201, $G:$G)</f>
        <v>2.5700365408038977E-2</v>
      </c>
      <c r="I201" s="5">
        <v>412</v>
      </c>
      <c r="J201" s="5">
        <f>Table1[[#This Row],[2024 U.S. Sales ($000)]]/Table1[[#This Row],[2024 U.S. Units]]</f>
        <v>512.13592233009706</v>
      </c>
      <c r="K201" s="6">
        <f>Table1[[#This Row],[2024 U.S. Units]]/Table1[[#This Row],[2023 U.S. Units]]-1</f>
        <v>8.4210526315789513E-2</v>
      </c>
      <c r="L201" s="8">
        <f>(Table1[[#This Row],[2024 Market share (%)]]-Table1[[#This Row],[2023 Market share (%)]])*10000</f>
        <v>26.07633528190302</v>
      </c>
      <c r="M201" s="6">
        <f>_xlfn.RRI(5,Table1[[#This Row],[2019 U.S. Sales ($000)]],Table1[[#This Row],[2024 U.S. Sales ($000)]])</f>
        <v>0.20270176819545016</v>
      </c>
      <c r="N201" s="9">
        <f>(Table1[[#This Row],[2024 Market share (%)]]-Table1[[#This Row],[2019 Market share (%)]])*10000</f>
        <v>84.361348438362285</v>
      </c>
      <c r="O201" s="6">
        <f>IF(Table1[[#This Row],[2024 AUV]]=0,"",_xlfn.RRI(5,Table1[[#This Row],[2019 AUV]],Table1[[#This Row],[2024 AUV]]))</f>
        <v>5.6005544007367458E-2</v>
      </c>
      <c r="P201" s="6">
        <f>_xlfn.RRI(5,Table1[[#This Row],[2019 U.S. Units]],Table1[[#This Row],[2024 U.S. Units]])</f>
        <v>0.13891614965523247</v>
      </c>
      <c r="Q201" s="5">
        <v>191100</v>
      </c>
      <c r="R201" s="6">
        <f>Table1[[#This Row],[2023 U.S. Sales ($000)]]/SUMIF($E:$E, E201, $Q:$Q)</f>
        <v>2.3092731879848675E-2</v>
      </c>
      <c r="S201" s="8">
        <f>(Table1[[#This Row],[2023 Market share (%)]]-Table1[[#This Row],[2022 Market share (%)]])*10000</f>
        <v>7.6338842622819882</v>
      </c>
      <c r="T201" s="10">
        <v>0.15958737864077671</v>
      </c>
      <c r="U201" s="5">
        <v>380</v>
      </c>
      <c r="V201" s="5">
        <f t="shared" si="24"/>
        <v>502.89473684210526</v>
      </c>
      <c r="W201" s="10">
        <v>0.11436950146627566</v>
      </c>
      <c r="X201" s="10">
        <f t="shared" si="25"/>
        <v>0.22868906947591516</v>
      </c>
      <c r="Y201" s="8">
        <f>(Table1[[#This Row],[2023 Market share (%)]]-Table1[[#This Row],[2019 Market share (%)]])*10000</f>
        <v>58.285013156459257</v>
      </c>
      <c r="Z201" s="10">
        <f t="shared" si="26"/>
        <v>6.5628214150059705E-2</v>
      </c>
      <c r="AA201" s="10">
        <f t="shared" si="27"/>
        <v>0.15301852293382834</v>
      </c>
      <c r="AB201" s="5">
        <v>164800</v>
      </c>
      <c r="AC201" s="6">
        <f>Table1[[#This Row],[2022 U.S. Sales ($000)]]/SUMIF($E:$E, E201, $AB:$AB)</f>
        <v>2.2329343453620476E-2</v>
      </c>
      <c r="AD201" s="5">
        <v>341</v>
      </c>
      <c r="AE201" s="5">
        <f t="shared" si="28"/>
        <v>483.28445747800589</v>
      </c>
      <c r="AF201" s="5">
        <v>135100</v>
      </c>
      <c r="AG201" s="6">
        <f>Table1[[#This Row],[2021 U.S. Sales ($000)]]/SUMIF($E:$E, E201, $AF:$AF)</f>
        <v>2.1595682781639033E-2</v>
      </c>
      <c r="AH201" s="5">
        <v>287</v>
      </c>
      <c r="AI201" s="12">
        <f t="shared" si="29"/>
        <v>470.73170731707319</v>
      </c>
      <c r="AJ201" s="5">
        <v>79500</v>
      </c>
      <c r="AK201" s="6">
        <f>Table1[[#This Row],[2020 U.S. Sales ($000)]]/SUMIF($E:$E, E201, $AJ:$AJ)</f>
        <v>1.7225159045635187E-2</v>
      </c>
      <c r="AL201" s="5">
        <v>245</v>
      </c>
      <c r="AM201" s="5">
        <f t="shared" si="30"/>
        <v>324.48979591836735</v>
      </c>
      <c r="AN201" s="5">
        <v>83848</v>
      </c>
      <c r="AO201" s="6">
        <f>Table1[[#This Row],[2019 U.S. Sales ($000)]]/SUMIF($E:$E, E201, $AN:$AN)</f>
        <v>1.7264230564202749E-2</v>
      </c>
      <c r="AP201" s="5">
        <v>215</v>
      </c>
      <c r="AQ201" s="5">
        <f t="shared" si="31"/>
        <v>389.99069767441858</v>
      </c>
    </row>
    <row r="202" spans="1:43" x14ac:dyDescent="0.25">
      <c r="A202" t="s">
        <v>267</v>
      </c>
      <c r="B202">
        <v>2363</v>
      </c>
      <c r="C202" t="s">
        <v>44</v>
      </c>
      <c r="D202" t="s">
        <v>56</v>
      </c>
      <c r="E202" t="s">
        <v>63</v>
      </c>
      <c r="F202" s="5">
        <v>189</v>
      </c>
      <c r="G202" s="5">
        <v>211000</v>
      </c>
      <c r="H202" s="6">
        <f>Table1[[#This Row],[2024 U.S. Sales ($000)]]/SUMIF($E:$E, E202, $G:$G)</f>
        <v>2.6982097186700766E-2</v>
      </c>
      <c r="I202" s="5">
        <v>121</v>
      </c>
      <c r="J202" s="5">
        <f>Table1[[#This Row],[2024 U.S. Sales ($000)]]/Table1[[#This Row],[2024 U.S. Units]]</f>
        <v>1743.8016528925621</v>
      </c>
      <c r="K202" s="6">
        <f>Table1[[#This Row],[2024 U.S. Units]]/Table1[[#This Row],[2023 U.S. Units]]-1</f>
        <v>-8.1967213114754189E-3</v>
      </c>
      <c r="L202" s="8">
        <f>(Table1[[#This Row],[2024 Market share (%)]]-Table1[[#This Row],[2023 Market share (%)]])*10000</f>
        <v>7.7834094363162309</v>
      </c>
      <c r="M202" s="6">
        <f>_xlfn.RRI(5,Table1[[#This Row],[2019 U.S. Sales ($000)]],Table1[[#This Row],[2024 U.S. Sales ($000)]])</f>
        <v>-4.853912887761358E-2</v>
      </c>
      <c r="N202" s="9">
        <f>(Table1[[#This Row],[2024 Market share (%)]]-Table1[[#This Row],[2019 Market share (%)]])*10000</f>
        <v>-193.92190961121133</v>
      </c>
      <c r="O202" s="6">
        <f>IF(Table1[[#This Row],[2024 AUV]]=0,"",_xlfn.RRI(5,Table1[[#This Row],[2019 AUV]],Table1[[#This Row],[2024 AUV]]))</f>
        <v>-6.7647818981594332E-3</v>
      </c>
      <c r="P202" s="6">
        <f>_xlfn.RRI(5,Table1[[#This Row],[2019 U.S. Units]],Table1[[#This Row],[2024 U.S. Units]])</f>
        <v>-4.2058866035065257E-2</v>
      </c>
      <c r="Q202" s="5">
        <v>216400</v>
      </c>
      <c r="R202" s="6">
        <f>Table1[[#This Row],[2023 U.S. Sales ($000)]]/SUMIF($E:$E, E202, $Q:$Q)</f>
        <v>2.6203756243069143E-2</v>
      </c>
      <c r="S202" s="8">
        <f>(Table1[[#This Row],[2023 Market share (%)]]-Table1[[#This Row],[2022 Market share (%)]])*10000</f>
        <v>-21.468263245836837</v>
      </c>
      <c r="T202" s="10">
        <v>3.7105751391465678E-3</v>
      </c>
      <c r="U202" s="5">
        <v>122</v>
      </c>
      <c r="V202" s="5">
        <f t="shared" si="24"/>
        <v>1773.7704918032787</v>
      </c>
      <c r="W202" s="10">
        <v>-1.6129032258064516E-2</v>
      </c>
      <c r="X202" s="10">
        <f t="shared" si="25"/>
        <v>-5.4345777609815293E-2</v>
      </c>
      <c r="Y202" s="8">
        <f>(Table1[[#This Row],[2023 Market share (%)]]-Table1[[#This Row],[2019 Market share (%)]])*10000</f>
        <v>-201.70531904752758</v>
      </c>
      <c r="Z202" s="10">
        <f t="shared" si="26"/>
        <v>-4.2158182333281724E-3</v>
      </c>
      <c r="AA202" s="10">
        <f t="shared" si="27"/>
        <v>-5.0342192911268291E-2</v>
      </c>
      <c r="AB202" s="5">
        <v>215600</v>
      </c>
      <c r="AC202" s="6">
        <f>Table1[[#This Row],[2022 U.S. Sales ($000)]]/SUMIF($E:$E, E202, $AB:$AB)</f>
        <v>2.8350582567652827E-2</v>
      </c>
      <c r="AD202" s="5">
        <v>124</v>
      </c>
      <c r="AE202" s="5">
        <f t="shared" si="28"/>
        <v>1738.7096774193549</v>
      </c>
      <c r="AF202" s="5">
        <v>209300</v>
      </c>
      <c r="AG202" s="6">
        <f>Table1[[#This Row],[2021 U.S. Sales ($000)]]/SUMIF($E:$E, E202, $AF:$AF)</f>
        <v>3.1592366994323641E-2</v>
      </c>
      <c r="AH202" s="5">
        <v>126</v>
      </c>
      <c r="AI202" s="12">
        <f t="shared" si="29"/>
        <v>1661.1111111111111</v>
      </c>
      <c r="AJ202" s="5">
        <v>198100</v>
      </c>
      <c r="AK202" s="6">
        <f>Table1[[#This Row],[2020 U.S. Sales ($000)]]/SUMIF($E:$E, E202, $AJ:$AJ)</f>
        <v>3.611714937422162E-2</v>
      </c>
      <c r="AL202" s="5">
        <v>130</v>
      </c>
      <c r="AM202" s="5">
        <f t="shared" si="30"/>
        <v>1523.8461538461538</v>
      </c>
      <c r="AN202" s="5">
        <v>270600</v>
      </c>
      <c r="AO202" s="6">
        <f>Table1[[#This Row],[2019 U.S. Sales ($000)]]/SUMIF($E:$E, E202, $AN:$AN)</f>
        <v>4.63742881478219E-2</v>
      </c>
      <c r="AP202" s="5">
        <v>150</v>
      </c>
      <c r="AQ202" s="5">
        <f t="shared" si="31"/>
        <v>1804</v>
      </c>
    </row>
    <row r="203" spans="1:43" x14ac:dyDescent="0.25">
      <c r="A203" t="s">
        <v>268</v>
      </c>
      <c r="B203">
        <v>886</v>
      </c>
      <c r="C203" t="s">
        <v>68</v>
      </c>
      <c r="D203" t="s">
        <v>92</v>
      </c>
      <c r="E203" t="s">
        <v>93</v>
      </c>
      <c r="F203" s="5">
        <v>194</v>
      </c>
      <c r="G203" s="5">
        <v>210000</v>
      </c>
      <c r="H203" s="6">
        <f>Table1[[#This Row],[2024 U.S. Sales ($000)]]/SUMIF($E:$E, E203, $G:$G)</f>
        <v>1.3067015120403211E-2</v>
      </c>
      <c r="I203" s="5">
        <v>268</v>
      </c>
      <c r="J203" s="5">
        <f>Table1[[#This Row],[2024 U.S. Sales ($000)]]/Table1[[#This Row],[2024 U.S. Units]]</f>
        <v>783.58208955223881</v>
      </c>
      <c r="K203" s="6">
        <f>Table1[[#This Row],[2024 U.S. Units]]/Table1[[#This Row],[2023 U.S. Units]]-1</f>
        <v>1.132075471698113E-2</v>
      </c>
      <c r="L203" s="8">
        <f>(Table1[[#This Row],[2024 Market share (%)]]-Table1[[#This Row],[2023 Market share (%)]])*10000</f>
        <v>11.072508986121557</v>
      </c>
      <c r="M203" s="6">
        <f>_xlfn.RRI(5,Table1[[#This Row],[2019 U.S. Sales ($000)]],Table1[[#This Row],[2024 U.S. Sales ($000)]])</f>
        <v>-3.279505983397113E-2</v>
      </c>
      <c r="N203" s="9">
        <f>(Table1[[#This Row],[2024 Market share (%)]]-Table1[[#This Row],[2019 Market share (%)]])*10000</f>
        <v>-15.749775361741918</v>
      </c>
      <c r="O203" s="6">
        <f>IF(Table1[[#This Row],[2024 AUV]]=0,"",_xlfn.RRI(5,Table1[[#This Row],[2019 AUV]],Table1[[#This Row],[2024 AUV]]))</f>
        <v>1.0137267362179347E-2</v>
      </c>
      <c r="P203" s="6">
        <f>_xlfn.RRI(5,Table1[[#This Row],[2019 U.S. Units]],Table1[[#This Row],[2024 U.S. Units]])</f>
        <v>-4.2501478346860466E-2</v>
      </c>
      <c r="Q203" s="5">
        <v>209300</v>
      </c>
      <c r="R203" s="6">
        <f>Table1[[#This Row],[2023 U.S. Sales ($000)]]/SUMIF($E:$E, E203, $Q:$Q)</f>
        <v>1.1959764221791055E-2</v>
      </c>
      <c r="S203" s="8">
        <f>(Table1[[#This Row],[2023 Market share (%)]]-Table1[[#This Row],[2022 Market share (%)]])*10000</f>
        <v>-15.238411792556882</v>
      </c>
      <c r="T203" s="10">
        <v>-6.0170633138751685E-2</v>
      </c>
      <c r="U203" s="5">
        <v>265</v>
      </c>
      <c r="V203" s="5">
        <f t="shared" si="24"/>
        <v>789.81132075471703</v>
      </c>
      <c r="W203" s="10">
        <v>-7.3426573426573424E-2</v>
      </c>
      <c r="X203" s="10">
        <f t="shared" si="25"/>
        <v>-4.1624691602898611E-2</v>
      </c>
      <c r="Y203" s="8">
        <f>(Table1[[#This Row],[2023 Market share (%)]]-Table1[[#This Row],[2019 Market share (%)]])*10000</f>
        <v>-26.822284347863476</v>
      </c>
      <c r="Z203" s="10">
        <f t="shared" si="26"/>
        <v>1.4694265321657962E-2</v>
      </c>
      <c r="AA203" s="10">
        <f t="shared" si="27"/>
        <v>-5.5503375597282467E-2</v>
      </c>
      <c r="AB203" s="5">
        <v>222700</v>
      </c>
      <c r="AC203" s="6">
        <f>Table1[[#This Row],[2022 U.S. Sales ($000)]]/SUMIF($E:$E, E203, $AB:$AB)</f>
        <v>1.3483605401046744E-2</v>
      </c>
      <c r="AD203" s="5">
        <v>286</v>
      </c>
      <c r="AE203" s="5">
        <f t="shared" si="28"/>
        <v>778.67132867132864</v>
      </c>
      <c r="AF203" s="5">
        <v>229800</v>
      </c>
      <c r="AG203" s="6">
        <f>Table1[[#This Row],[2021 U.S. Sales ($000)]]/SUMIF($E:$E, E203, $AF:$AF)</f>
        <v>1.522097941107527E-2</v>
      </c>
      <c r="AH203" s="5">
        <v>304</v>
      </c>
      <c r="AI203" s="12">
        <f t="shared" si="29"/>
        <v>755.92105263157896</v>
      </c>
      <c r="AJ203" s="5">
        <v>179200</v>
      </c>
      <c r="AK203" s="6">
        <f>Table1[[#This Row],[2020 U.S. Sales ($000)]]/SUMIF($E:$E, E203, $AJ:$AJ)</f>
        <v>1.6791744233998953E-2</v>
      </c>
      <c r="AL203" s="5">
        <v>313</v>
      </c>
      <c r="AM203" s="5">
        <f t="shared" si="30"/>
        <v>572.5239616613419</v>
      </c>
      <c r="AN203" s="5">
        <v>248100</v>
      </c>
      <c r="AO203" s="6">
        <f>Table1[[#This Row],[2019 U.S. Sales ($000)]]/SUMIF($E:$E, E203, $AN:$AN)</f>
        <v>1.4641992656577403E-2</v>
      </c>
      <c r="AP203" s="5">
        <v>333</v>
      </c>
      <c r="AQ203" s="5">
        <f t="shared" si="31"/>
        <v>745.04504504504507</v>
      </c>
    </row>
    <row r="204" spans="1:43" x14ac:dyDescent="0.25">
      <c r="A204" t="s">
        <v>269</v>
      </c>
      <c r="B204">
        <v>1493</v>
      </c>
      <c r="C204" t="s">
        <v>44</v>
      </c>
      <c r="D204" t="s">
        <v>56</v>
      </c>
      <c r="E204" t="s">
        <v>59</v>
      </c>
      <c r="F204" s="5">
        <v>231</v>
      </c>
      <c r="G204" s="5">
        <v>210000</v>
      </c>
      <c r="H204" s="6">
        <f>Table1[[#This Row],[2024 U.S. Sales ($000)]]/SUMIF($E:$E, E204, $G:$G)</f>
        <v>6.0132291040288638E-3</v>
      </c>
      <c r="I204" s="5">
        <v>99</v>
      </c>
      <c r="J204" s="5">
        <f>Table1[[#This Row],[2024 U.S. Sales ($000)]]/Table1[[#This Row],[2024 U.S. Units]]</f>
        <v>2121.212121212121</v>
      </c>
      <c r="K204" s="6">
        <f>Table1[[#This Row],[2024 U.S. Units]]/Table1[[#This Row],[2023 U.S. Units]]-1</f>
        <v>-4.8076923076923128E-2</v>
      </c>
      <c r="L204" s="8">
        <f>(Table1[[#This Row],[2024 Market share (%)]]-Table1[[#This Row],[2023 Market share (%)]])*10000</f>
        <v>15.494790435326067</v>
      </c>
      <c r="M204" s="6">
        <f>_xlfn.RRI(5,Table1[[#This Row],[2019 U.S. Sales ($000)]],Table1[[#This Row],[2024 U.S. Sales ($000)]])</f>
        <v>-0.10079361830505873</v>
      </c>
      <c r="N204" s="9">
        <f>(Table1[[#This Row],[2024 Market share (%)]]-Table1[[#This Row],[2019 Market share (%)]])*10000</f>
        <v>-49.223276793477453</v>
      </c>
      <c r="O204" s="6">
        <f>IF(Table1[[#This Row],[2024 AUV]]=0,"",_xlfn.RRI(5,Table1[[#This Row],[2019 AUV]],Table1[[#This Row],[2024 AUV]]))</f>
        <v>1.1151759664274508E-2</v>
      </c>
      <c r="P204" s="6">
        <f>_xlfn.RRI(5,Table1[[#This Row],[2019 U.S. Units]],Table1[[#This Row],[2024 U.S. Units]])</f>
        <v>-0.11071075820161913</v>
      </c>
      <c r="Q204" s="5">
        <v>168600</v>
      </c>
      <c r="R204" s="6">
        <f>Table1[[#This Row],[2023 U.S. Sales ($000)]]/SUMIF($E:$E, E204, $Q:$Q)</f>
        <v>4.4637500604962571E-3</v>
      </c>
      <c r="S204" s="8">
        <f>(Table1[[#This Row],[2023 Market share (%)]]-Table1[[#This Row],[2022 Market share (%)]])*10000</f>
        <v>-16.176682246237174</v>
      </c>
      <c r="T204" s="10">
        <v>-0.22518382352941177</v>
      </c>
      <c r="U204" s="5">
        <v>104</v>
      </c>
      <c r="V204" s="5">
        <f t="shared" si="24"/>
        <v>1621.1538461538462</v>
      </c>
      <c r="W204" s="10">
        <v>-0.26760563380281688</v>
      </c>
      <c r="X204" s="10">
        <f t="shared" si="25"/>
        <v>-0.17113501314601032</v>
      </c>
      <c r="Y204" s="8">
        <f>(Table1[[#This Row],[2023 Market share (%)]]-Table1[[#This Row],[2019 Market share (%)]])*10000</f>
        <v>-64.71806722880352</v>
      </c>
      <c r="Z204" s="10">
        <f t="shared" si="26"/>
        <v>-5.1951707893332144E-2</v>
      </c>
      <c r="AA204" s="10">
        <f t="shared" si="27"/>
        <v>-0.12571438211005026</v>
      </c>
      <c r="AB204" s="5">
        <v>217600</v>
      </c>
      <c r="AC204" s="6">
        <f>Table1[[#This Row],[2022 U.S. Sales ($000)]]/SUMIF($E:$E, E204, $AB:$AB)</f>
        <v>6.0814182851199744E-3</v>
      </c>
      <c r="AD204" s="5">
        <v>142</v>
      </c>
      <c r="AE204" s="5">
        <f t="shared" si="28"/>
        <v>1532.394366197183</v>
      </c>
      <c r="AF204" s="5">
        <v>209700</v>
      </c>
      <c r="AG204" s="6">
        <f>Table1[[#This Row],[2021 U.S. Sales ($000)]]/SUMIF($E:$E, E204, $AF:$AF)</f>
        <v>6.3204239753664416E-3</v>
      </c>
      <c r="AH204" s="5">
        <v>155</v>
      </c>
      <c r="AI204" s="12">
        <f t="shared" si="29"/>
        <v>1352.9032258064517</v>
      </c>
      <c r="AJ204" s="5">
        <v>153954</v>
      </c>
      <c r="AK204" s="6">
        <f>Table1[[#This Row],[2020 U.S. Sales ($000)]]/SUMIF($E:$E, E204, $AJ:$AJ)</f>
        <v>5.4057914589379797E-3</v>
      </c>
      <c r="AL204" s="5">
        <v>164</v>
      </c>
      <c r="AM204" s="5">
        <f t="shared" si="30"/>
        <v>938.7439024390244</v>
      </c>
      <c r="AN204" s="5">
        <v>357209</v>
      </c>
      <c r="AO204" s="6">
        <f>Table1[[#This Row],[2019 U.S. Sales ($000)]]/SUMIF($E:$E, E204, $AN:$AN)</f>
        <v>1.0935556783376609E-2</v>
      </c>
      <c r="AP204" s="5">
        <v>178</v>
      </c>
      <c r="AQ204" s="5">
        <f t="shared" si="31"/>
        <v>2006.7921348314608</v>
      </c>
    </row>
    <row r="205" spans="1:43" x14ac:dyDescent="0.25">
      <c r="A205" t="s">
        <v>270</v>
      </c>
      <c r="B205">
        <v>31262</v>
      </c>
      <c r="C205" t="s">
        <v>44</v>
      </c>
      <c r="D205" t="s">
        <v>45</v>
      </c>
      <c r="E205" t="s">
        <v>76</v>
      </c>
      <c r="F205" s="5">
        <v>204</v>
      </c>
      <c r="G205" s="5">
        <v>208000</v>
      </c>
      <c r="H205" s="6">
        <f>Table1[[#This Row],[2024 U.S. Sales ($000)]]/SUMIF($E:$E, E205, $G:$G)</f>
        <v>2.9562251279135872E-2</v>
      </c>
      <c r="I205" s="5">
        <v>169</v>
      </c>
      <c r="J205" s="5">
        <f>Table1[[#This Row],[2024 U.S. Sales ($000)]]/Table1[[#This Row],[2024 U.S. Units]]</f>
        <v>1230.7692307692307</v>
      </c>
      <c r="K205" s="6">
        <f>Table1[[#This Row],[2024 U.S. Units]]/Table1[[#This Row],[2023 U.S. Units]]-1</f>
        <v>0.14189189189189189</v>
      </c>
      <c r="L205" s="8">
        <f>(Table1[[#This Row],[2024 Market share (%)]]-Table1[[#This Row],[2023 Market share (%)]])*10000</f>
        <v>55.434476850474041</v>
      </c>
      <c r="M205" s="6">
        <f>_xlfn.RRI(5,Table1[[#This Row],[2019 U.S. Sales ($000)]],Table1[[#This Row],[2024 U.S. Sales ($000)]])</f>
        <v>0.12879088723382481</v>
      </c>
      <c r="N205" s="9">
        <f>(Table1[[#This Row],[2024 Market share (%)]]-Table1[[#This Row],[2019 Market share (%)]])*10000</f>
        <v>116.85865150455503</v>
      </c>
      <c r="O205" s="6">
        <f>IF(Table1[[#This Row],[2024 AUV]]=0,"",_xlfn.RRI(5,Table1[[#This Row],[2019 AUV]],Table1[[#This Row],[2024 AUV]]))</f>
        <v>-7.0802366646059989E-3</v>
      </c>
      <c r="P205" s="6">
        <f>_xlfn.RRI(5,Table1[[#This Row],[2019 U.S. Units]],Table1[[#This Row],[2024 U.S. Units]])</f>
        <v>0.1368399833658418</v>
      </c>
      <c r="Q205" s="5">
        <v>194883</v>
      </c>
      <c r="R205" s="6">
        <f>Table1[[#This Row],[2023 U.S. Sales ($000)]]/SUMIF($E:$E, E205, $Q:$Q)</f>
        <v>2.4018803594088468E-2</v>
      </c>
      <c r="S205" s="8">
        <f>(Table1[[#This Row],[2023 Market share (%)]]-Table1[[#This Row],[2022 Market share (%)]])*10000</f>
        <v>26.833460557659887</v>
      </c>
      <c r="T205" s="10">
        <v>0.21309056956115779</v>
      </c>
      <c r="U205" s="5">
        <v>148</v>
      </c>
      <c r="V205" s="5">
        <f t="shared" si="24"/>
        <v>1316.7770270270271</v>
      </c>
      <c r="W205" s="10">
        <v>0.16535433070866143</v>
      </c>
      <c r="X205" s="10">
        <f t="shared" si="25"/>
        <v>0.14470748802261602</v>
      </c>
      <c r="Y205" s="8">
        <f>(Table1[[#This Row],[2023 Market share (%)]]-Table1[[#This Row],[2019 Market share (%)]])*10000</f>
        <v>61.424174654080979</v>
      </c>
      <c r="Z205" s="10">
        <f t="shared" si="26"/>
        <v>8.0372863428783692E-3</v>
      </c>
      <c r="AA205" s="10">
        <f t="shared" si="27"/>
        <v>0.13558050235976093</v>
      </c>
      <c r="AB205" s="5">
        <v>160650</v>
      </c>
      <c r="AC205" s="6">
        <f>Table1[[#This Row],[2022 U.S. Sales ($000)]]/SUMIF($E:$E, E205, $AB:$AB)</f>
        <v>2.1335457538322479E-2</v>
      </c>
      <c r="AD205" s="5">
        <v>127</v>
      </c>
      <c r="AE205" s="5">
        <f t="shared" si="28"/>
        <v>1264.9606299212599</v>
      </c>
      <c r="AF205" s="5">
        <v>144359</v>
      </c>
      <c r="AG205" s="6">
        <f>Table1[[#This Row],[2021 U.S. Sales ($000)]]/SUMIF($E:$E, E205, $AF:$AF)</f>
        <v>1.9772356093341069E-2</v>
      </c>
      <c r="AH205" s="5">
        <v>105</v>
      </c>
      <c r="AI205" s="12">
        <f t="shared" si="29"/>
        <v>1374.847619047619</v>
      </c>
      <c r="AJ205" s="5">
        <v>130500</v>
      </c>
      <c r="AK205" s="6">
        <f>Table1[[#This Row],[2020 U.S. Sales ($000)]]/SUMIF($E:$E, E205, $AJ:$AJ)</f>
        <v>2.0421851286983504E-2</v>
      </c>
      <c r="AL205" s="5">
        <v>100</v>
      </c>
      <c r="AM205" s="5">
        <f t="shared" si="30"/>
        <v>1305</v>
      </c>
      <c r="AN205" s="5">
        <v>113500</v>
      </c>
      <c r="AO205" s="6">
        <f>Table1[[#This Row],[2019 U.S. Sales ($000)]]/SUMIF($E:$E, E205, $AN:$AN)</f>
        <v>1.7876386128680369E-2</v>
      </c>
      <c r="AP205" s="5">
        <v>89</v>
      </c>
      <c r="AQ205" s="5">
        <f t="shared" si="31"/>
        <v>1275.2808988764045</v>
      </c>
    </row>
    <row r="206" spans="1:43" x14ac:dyDescent="0.25">
      <c r="A206" t="s">
        <v>271</v>
      </c>
      <c r="B206">
        <v>61985</v>
      </c>
      <c r="C206" t="s">
        <v>68</v>
      </c>
      <c r="D206" t="s">
        <v>69</v>
      </c>
      <c r="E206" t="s">
        <v>125</v>
      </c>
      <c r="F206" s="5">
        <v>221</v>
      </c>
      <c r="G206" s="5">
        <v>208000</v>
      </c>
      <c r="H206" s="6">
        <f>Table1[[#This Row],[2024 U.S. Sales ($000)]]/SUMIF($E:$E, E206, $G:$G)</f>
        <v>6.1997019374068554E-2</v>
      </c>
      <c r="I206" s="5">
        <v>43</v>
      </c>
      <c r="J206" s="5">
        <f>Table1[[#This Row],[2024 U.S. Sales ($000)]]/Table1[[#This Row],[2024 U.S. Units]]</f>
        <v>4837.2093023255811</v>
      </c>
      <c r="K206" s="6">
        <f>Table1[[#This Row],[2024 U.S. Units]]/Table1[[#This Row],[2023 U.S. Units]]-1</f>
        <v>0.16216216216216206</v>
      </c>
      <c r="L206" s="8">
        <f>(Table1[[#This Row],[2024 Market share (%)]]-Table1[[#This Row],[2023 Market share (%)]])*10000</f>
        <v>109.07038437515337</v>
      </c>
      <c r="M206" s="6">
        <f>_xlfn.RRI(5,Table1[[#This Row],[2019 U.S. Sales ($000)]],Table1[[#This Row],[2024 U.S. Sales ($000)]])</f>
        <v>8.224363415032454E-2</v>
      </c>
      <c r="N206" s="9">
        <f>(Table1[[#This Row],[2024 Market share (%)]]-Table1[[#This Row],[2019 Market share (%)]])*10000</f>
        <v>92.254577087472271</v>
      </c>
      <c r="O206" s="6">
        <f>IF(Table1[[#This Row],[2024 AUV]]=0,"",_xlfn.RRI(5,Table1[[#This Row],[2019 AUV]],Table1[[#This Row],[2024 AUV]]))</f>
        <v>-1.3938274750688984E-2</v>
      </c>
      <c r="P206" s="6">
        <f>_xlfn.RRI(5,Table1[[#This Row],[2019 U.S. Units]],Table1[[#This Row],[2024 U.S. Units]])</f>
        <v>9.754146869121727E-2</v>
      </c>
      <c r="Q206" s="5">
        <v>181007</v>
      </c>
      <c r="R206" s="6">
        <f>Table1[[#This Row],[2023 U.S. Sales ($000)]]/SUMIF($E:$E, E206, $Q:$Q)</f>
        <v>5.1089980936553217E-2</v>
      </c>
      <c r="S206" s="8">
        <f>(Table1[[#This Row],[2023 Market share (%)]]-Table1[[#This Row],[2022 Market share (%)]])*10000</f>
        <v>-9.1693345559776951</v>
      </c>
      <c r="T206" s="10">
        <v>0.10552803718339451</v>
      </c>
      <c r="U206" s="5">
        <v>37</v>
      </c>
      <c r="V206" s="5">
        <f t="shared" si="24"/>
        <v>4892.0810810810808</v>
      </c>
      <c r="W206" s="10">
        <v>0.19354838709677419</v>
      </c>
      <c r="X206" s="10">
        <f t="shared" si="25"/>
        <v>6.61401744196084E-2</v>
      </c>
      <c r="Y206" s="8">
        <f>(Table1[[#This Row],[2023 Market share (%)]]-Table1[[#This Row],[2019 Market share (%)]])*10000</f>
        <v>-16.815807287681103</v>
      </c>
      <c r="Z206" s="10">
        <f t="shared" si="26"/>
        <v>-1.4617559657403967E-2</v>
      </c>
      <c r="AA206" s="10">
        <f t="shared" si="27"/>
        <v>8.1955726802818596E-2</v>
      </c>
      <c r="AB206" s="5">
        <v>163729</v>
      </c>
      <c r="AC206" s="6">
        <f>Table1[[#This Row],[2022 U.S. Sales ($000)]]/SUMIF($E:$E, E206, $AB:$AB)</f>
        <v>5.2006914392150987E-2</v>
      </c>
      <c r="AD206" s="5">
        <v>31</v>
      </c>
      <c r="AE206" s="5">
        <f t="shared" si="28"/>
        <v>5281.5806451612907</v>
      </c>
      <c r="AF206" s="5">
        <v>140561</v>
      </c>
      <c r="AG206" s="6">
        <f>Table1[[#This Row],[2021 U.S. Sales ($000)]]/SUMIF($E:$E, E206, $AF:$AF)</f>
        <v>5.2855277743934996E-2</v>
      </c>
      <c r="AH206" s="5">
        <v>31</v>
      </c>
      <c r="AI206" s="12">
        <f t="shared" si="29"/>
        <v>4534.2258064516127</v>
      </c>
      <c r="AJ206" s="5">
        <v>62700</v>
      </c>
      <c r="AK206" s="6">
        <f>Table1[[#This Row],[2020 U.S. Sales ($000)]]/SUMIF($E:$E, E206, $AJ:$AJ)</f>
        <v>3.3087263303375379E-2</v>
      </c>
      <c r="AL206" s="5">
        <v>31</v>
      </c>
      <c r="AM206" s="5">
        <f t="shared" si="30"/>
        <v>2022.5806451612902</v>
      </c>
      <c r="AN206" s="5">
        <v>140100</v>
      </c>
      <c r="AO206" s="6">
        <f>Table1[[#This Row],[2019 U.S. Sales ($000)]]/SUMIF($E:$E, E206, $AN:$AN)</f>
        <v>5.2771561665321327E-2</v>
      </c>
      <c r="AP206" s="5">
        <v>27</v>
      </c>
      <c r="AQ206" s="5">
        <f t="shared" si="31"/>
        <v>5188.8888888888887</v>
      </c>
    </row>
    <row r="207" spans="1:43" x14ac:dyDescent="0.25">
      <c r="A207" t="s">
        <v>272</v>
      </c>
      <c r="B207">
        <v>12016</v>
      </c>
      <c r="C207" t="s">
        <v>68</v>
      </c>
      <c r="D207" t="s">
        <v>69</v>
      </c>
      <c r="E207" t="s">
        <v>125</v>
      </c>
      <c r="F207" s="5">
        <v>196</v>
      </c>
      <c r="G207" s="5">
        <v>207000</v>
      </c>
      <c r="H207" s="6">
        <f>Table1[[#This Row],[2024 U.S. Sales ($000)]]/SUMIF($E:$E, E207, $G:$G)</f>
        <v>6.1698956780923991E-2</v>
      </c>
      <c r="I207" s="5">
        <v>147</v>
      </c>
      <c r="J207" s="5">
        <f>Table1[[#This Row],[2024 U.S. Sales ($000)]]/Table1[[#This Row],[2024 U.S. Units]]</f>
        <v>1408.1632653061224</v>
      </c>
      <c r="K207" s="6">
        <f>Table1[[#This Row],[2024 U.S. Units]]/Table1[[#This Row],[2023 U.S. Units]]-1</f>
        <v>0.12213740458015265</v>
      </c>
      <c r="L207" s="8">
        <f>(Table1[[#This Row],[2024 Market share (%)]]-Table1[[#This Row],[2023 Market share (%)]])*10000</f>
        <v>34.98146485646614</v>
      </c>
      <c r="M207" s="6">
        <f>_xlfn.RRI(5,Table1[[#This Row],[2019 U.S. Sales ($000)]],Table1[[#This Row],[2024 U.S. Sales ($000)]])</f>
        <v>0.11237793759052206</v>
      </c>
      <c r="N207" s="9">
        <f>(Table1[[#This Row],[2024 Market share (%)]]-Table1[[#This Row],[2019 Market share (%)]])*10000</f>
        <v>159.1953286858882</v>
      </c>
      <c r="O207" s="6">
        <f>IF(Table1[[#This Row],[2024 AUV]]=0,"",_xlfn.RRI(5,Table1[[#This Row],[2019 AUV]],Table1[[#This Row],[2024 AUV]]))</f>
        <v>3.3972371096884002E-2</v>
      </c>
      <c r="P207" s="6">
        <f>_xlfn.RRI(5,Table1[[#This Row],[2019 U.S. Units]],Table1[[#This Row],[2024 U.S. Units]])</f>
        <v>7.5829459940464305E-2</v>
      </c>
      <c r="Q207" s="5">
        <v>206200</v>
      </c>
      <c r="R207" s="6">
        <f>Table1[[#This Row],[2023 U.S. Sales ($000)]]/SUMIF($E:$E, E207, $Q:$Q)</f>
        <v>5.8200810295277378E-2</v>
      </c>
      <c r="S207" s="8">
        <f>(Table1[[#This Row],[2023 Market share (%)]]-Table1[[#This Row],[2022 Market share (%)]])*10000</f>
        <v>-33.114874631991682</v>
      </c>
      <c r="T207" s="10">
        <v>6.4785648631063647E-2</v>
      </c>
      <c r="U207" s="5">
        <v>131</v>
      </c>
      <c r="V207" s="5">
        <f t="shared" si="24"/>
        <v>1574.0458015267175</v>
      </c>
      <c r="W207" s="10">
        <v>7.3770491803278687E-2</v>
      </c>
      <c r="X207" s="10">
        <f t="shared" si="25"/>
        <v>0.14128743837991831</v>
      </c>
      <c r="Y207" s="8">
        <f>(Table1[[#This Row],[2023 Market share (%)]]-Table1[[#This Row],[2019 Market share (%)]])*10000</f>
        <v>124.21386382942205</v>
      </c>
      <c r="Z207" s="10">
        <f t="shared" si="26"/>
        <v>7.2080153193789132E-2</v>
      </c>
      <c r="AA207" s="10">
        <f t="shared" si="27"/>
        <v>6.4554207985248802E-2</v>
      </c>
      <c r="AB207" s="5">
        <v>193654</v>
      </c>
      <c r="AC207" s="6">
        <f>Table1[[#This Row],[2022 U.S. Sales ($000)]]/SUMIF($E:$E, E207, $AB:$AB)</f>
        <v>6.1512297758476546E-2</v>
      </c>
      <c r="AD207" s="5">
        <v>122</v>
      </c>
      <c r="AE207" s="5">
        <f t="shared" si="28"/>
        <v>1587.327868852459</v>
      </c>
      <c r="AF207" s="5">
        <v>173415</v>
      </c>
      <c r="AG207" s="6">
        <f>Table1[[#This Row],[2021 U.S. Sales ($000)]]/SUMIF($E:$E, E207, $AF:$AF)</f>
        <v>6.5209396560671082E-2</v>
      </c>
      <c r="AH207" s="5">
        <v>115</v>
      </c>
      <c r="AI207" s="12">
        <f t="shared" si="29"/>
        <v>1507.9565217391305</v>
      </c>
      <c r="AJ207" s="5">
        <v>135930</v>
      </c>
      <c r="AK207" s="6">
        <f>Table1[[#This Row],[2020 U.S. Sales ($000)]]/SUMIF($E:$E, E207, $AJ:$AJ)</f>
        <v>7.1731287094542504E-2</v>
      </c>
      <c r="AL207" s="5">
        <v>107</v>
      </c>
      <c r="AM207" s="5">
        <f t="shared" si="30"/>
        <v>1270.3738317757009</v>
      </c>
      <c r="AN207" s="5">
        <v>121537</v>
      </c>
      <c r="AO207" s="6">
        <f>Table1[[#This Row],[2019 U.S. Sales ($000)]]/SUMIF($E:$E, E207, $AN:$AN)</f>
        <v>4.5779423912335172E-2</v>
      </c>
      <c r="AP207" s="5">
        <v>102</v>
      </c>
      <c r="AQ207" s="5">
        <f t="shared" si="31"/>
        <v>1191.5392156862745</v>
      </c>
    </row>
    <row r="208" spans="1:43" x14ac:dyDescent="0.25">
      <c r="A208" t="s">
        <v>273</v>
      </c>
      <c r="B208">
        <v>845</v>
      </c>
      <c r="C208" t="s">
        <v>68</v>
      </c>
      <c r="D208" t="s">
        <v>92</v>
      </c>
      <c r="E208" t="s">
        <v>93</v>
      </c>
      <c r="F208" s="5">
        <v>191</v>
      </c>
      <c r="G208" s="5">
        <v>207000</v>
      </c>
      <c r="H208" s="6">
        <f>Table1[[#This Row],[2024 U.S. Sales ($000)]]/SUMIF($E:$E, E208, $G:$G)</f>
        <v>1.2880343475826022E-2</v>
      </c>
      <c r="I208" s="5">
        <v>74</v>
      </c>
      <c r="J208" s="5">
        <f>Table1[[#This Row],[2024 U.S. Sales ($000)]]/Table1[[#This Row],[2024 U.S. Units]]</f>
        <v>2797.2972972972975</v>
      </c>
      <c r="K208" s="6">
        <f>Table1[[#This Row],[2024 U.S. Units]]/Table1[[#This Row],[2023 U.S. Units]]-1</f>
        <v>-3.8961038961038974E-2</v>
      </c>
      <c r="L208" s="8">
        <f>(Table1[[#This Row],[2024 Market share (%)]]-Table1[[#This Row],[2023 Market share (%)]])*10000</f>
        <v>7.4915406213160551</v>
      </c>
      <c r="M208" s="6">
        <f>_xlfn.RRI(5,Table1[[#This Row],[2019 U.S. Sales ($000)]],Table1[[#This Row],[2024 U.S. Sales ($000)]])</f>
        <v>-4.3926676805350007E-2</v>
      </c>
      <c r="N208" s="9">
        <f>(Table1[[#This Row],[2024 Market share (%)]]-Table1[[#This Row],[2019 Market share (%)]])*10000</f>
        <v>-24.12483098593928</v>
      </c>
      <c r="O208" s="6">
        <f>IF(Table1[[#This Row],[2024 AUV]]=0,"",_xlfn.RRI(5,Table1[[#This Row],[2019 AUV]],Table1[[#This Row],[2024 AUV]]))</f>
        <v>6.8471146065231192E-2</v>
      </c>
      <c r="P208" s="6">
        <f>_xlfn.RRI(5,Table1[[#This Row],[2019 U.S. Units]],Table1[[#This Row],[2024 U.S. Units]])</f>
        <v>-0.10519500061793829</v>
      </c>
      <c r="Q208" s="5">
        <v>212300</v>
      </c>
      <c r="R208" s="6">
        <f>Table1[[#This Row],[2023 U.S. Sales ($000)]]/SUMIF($E:$E, E208, $Q:$Q)</f>
        <v>1.2131189413694416E-2</v>
      </c>
      <c r="S208" s="8">
        <f>(Table1[[#This Row],[2023 Market share (%)]]-Table1[[#This Row],[2022 Market share (%)]])*10000</f>
        <v>-2.3086095165861589</v>
      </c>
      <c r="T208" s="10">
        <v>3.9789201473238778E-2</v>
      </c>
      <c r="U208" s="5">
        <v>77</v>
      </c>
      <c r="V208" s="5">
        <f t="shared" si="24"/>
        <v>2757.1428571428573</v>
      </c>
      <c r="W208" s="10">
        <v>-3.7499999999999999E-2</v>
      </c>
      <c r="X208" s="10">
        <f t="shared" si="25"/>
        <v>-4.8609275978223732E-2</v>
      </c>
      <c r="Y208" s="8">
        <f>(Table1[[#This Row],[2023 Market share (%)]]-Table1[[#This Row],[2019 Market share (%)]])*10000</f>
        <v>-31.616371607255338</v>
      </c>
      <c r="Z208" s="10">
        <f t="shared" si="26"/>
        <v>8.2389720389528076E-2</v>
      </c>
      <c r="AA208" s="10">
        <f t="shared" si="27"/>
        <v>-0.12102756881376164</v>
      </c>
      <c r="AB208" s="5">
        <v>204176</v>
      </c>
      <c r="AC208" s="6">
        <f>Table1[[#This Row],[2022 U.S. Sales ($000)]]/SUMIF($E:$E, E208, $AB:$AB)</f>
        <v>1.2362050365353032E-2</v>
      </c>
      <c r="AD208" s="5">
        <v>80</v>
      </c>
      <c r="AE208" s="5">
        <f t="shared" si="28"/>
        <v>2552.1999999999998</v>
      </c>
      <c r="AF208" s="5">
        <v>139212</v>
      </c>
      <c r="AG208" s="6">
        <f>Table1[[#This Row],[2021 U.S. Sales ($000)]]/SUMIF($E:$E, E208, $AF:$AF)</f>
        <v>9.2208136891845528E-3</v>
      </c>
      <c r="AH208" s="5">
        <v>86</v>
      </c>
      <c r="AI208" s="12">
        <f t="shared" si="29"/>
        <v>1618.7441860465117</v>
      </c>
      <c r="AJ208" s="5">
        <v>80490</v>
      </c>
      <c r="AK208" s="6">
        <f>Table1[[#This Row],[2020 U.S. Sales ($000)]]/SUMIF($E:$E, E208, $AJ:$AJ)</f>
        <v>7.5422293158179448E-3</v>
      </c>
      <c r="AL208" s="5">
        <v>88</v>
      </c>
      <c r="AM208" s="5">
        <f t="shared" si="30"/>
        <v>914.65909090909088</v>
      </c>
      <c r="AN208" s="5">
        <v>259128</v>
      </c>
      <c r="AO208" s="6">
        <f>Table1[[#This Row],[2019 U.S. Sales ($000)]]/SUMIF($E:$E, E208, $AN:$AN)</f>
        <v>1.529282657441995E-2</v>
      </c>
      <c r="AP208" s="5">
        <v>129</v>
      </c>
      <c r="AQ208" s="5">
        <f t="shared" si="31"/>
        <v>2008.7441860465117</v>
      </c>
    </row>
    <row r="209" spans="1:43" x14ac:dyDescent="0.25">
      <c r="A209" t="s">
        <v>274</v>
      </c>
      <c r="B209">
        <v>31350</v>
      </c>
      <c r="C209" t="s">
        <v>68</v>
      </c>
      <c r="D209" t="s">
        <v>92</v>
      </c>
      <c r="E209" t="s">
        <v>93</v>
      </c>
      <c r="F209" s="5">
        <v>209</v>
      </c>
      <c r="G209" s="5">
        <v>201000</v>
      </c>
      <c r="H209" s="6">
        <f>Table1[[#This Row],[2024 U.S. Sales ($000)]]/SUMIF($E:$E, E209, $G:$G)</f>
        <v>1.2507000186671644E-2</v>
      </c>
      <c r="I209" s="5">
        <v>71</v>
      </c>
      <c r="J209" s="5">
        <f>Table1[[#This Row],[2024 U.S. Sales ($000)]]/Table1[[#This Row],[2024 U.S. Units]]</f>
        <v>2830.9859154929577</v>
      </c>
      <c r="K209" s="6">
        <f>Table1[[#This Row],[2024 U.S. Units]]/Table1[[#This Row],[2023 U.S. Units]]-1</f>
        <v>5.9701492537313383E-2</v>
      </c>
      <c r="L209" s="8">
        <f>(Table1[[#This Row],[2024 Market share (%)]]-Table1[[#This Row],[2023 Market share (%)]])*10000</f>
        <v>15.959010054840736</v>
      </c>
      <c r="M209" s="6">
        <f>_xlfn.RRI(5,Table1[[#This Row],[2019 U.S. Sales ($000)]],Table1[[#This Row],[2024 U.S. Sales ($000)]])</f>
        <v>0.14042002367821138</v>
      </c>
      <c r="N209" s="9">
        <f>(Table1[[#This Row],[2024 Market share (%)]]-Table1[[#This Row],[2019 Market share (%)]])*10000</f>
        <v>63.574222874051308</v>
      </c>
      <c r="O209" s="6">
        <f>IF(Table1[[#This Row],[2024 AUV]]=0,"",_xlfn.RRI(5,Table1[[#This Row],[2019 AUV]],Table1[[#This Row],[2024 AUV]]))</f>
        <v>1.6775709845927356E-2</v>
      </c>
      <c r="P209" s="6">
        <f>_xlfn.RRI(5,Table1[[#This Row],[2019 U.S. Units]],Table1[[#This Row],[2024 U.S. Units]])</f>
        <v>0.12160431512572201</v>
      </c>
      <c r="Q209" s="5">
        <v>190948</v>
      </c>
      <c r="R209" s="6">
        <f>Table1[[#This Row],[2023 U.S. Sales ($000)]]/SUMIF($E:$E, E209, $Q:$Q)</f>
        <v>1.0911099181187571E-2</v>
      </c>
      <c r="S209" s="8">
        <f>(Table1[[#This Row],[2023 Market share (%)]]-Table1[[#This Row],[2022 Market share (%)]])*10000</f>
        <v>6.8917005566749605</v>
      </c>
      <c r="T209" s="10">
        <v>0.13101422149038375</v>
      </c>
      <c r="U209" s="5">
        <v>67</v>
      </c>
      <c r="V209" s="5">
        <f t="shared" si="24"/>
        <v>2849.9701492537315</v>
      </c>
      <c r="W209" s="10">
        <v>0.17543859649122806</v>
      </c>
      <c r="X209" s="10">
        <f t="shared" si="25"/>
        <v>0.16348504866368696</v>
      </c>
      <c r="Y209" s="8">
        <f>(Table1[[#This Row],[2023 Market share (%)]]-Table1[[#This Row],[2019 Market share (%)]])*10000</f>
        <v>47.615212819210569</v>
      </c>
      <c r="Z209" s="10">
        <f t="shared" si="26"/>
        <v>2.2720835902311665E-2</v>
      </c>
      <c r="AA209" s="10">
        <f t="shared" si="27"/>
        <v>0.13763698540196834</v>
      </c>
      <c r="AB209" s="5">
        <v>168829</v>
      </c>
      <c r="AC209" s="6">
        <f>Table1[[#This Row],[2022 U.S. Sales ($000)]]/SUMIF($E:$E, E209, $AB:$AB)</f>
        <v>1.0221929125520075E-2</v>
      </c>
      <c r="AD209" s="5">
        <v>57</v>
      </c>
      <c r="AE209" s="5">
        <f t="shared" si="28"/>
        <v>2961.9122807017543</v>
      </c>
      <c r="AF209" s="5">
        <v>122200</v>
      </c>
      <c r="AG209" s="6">
        <f>Table1[[#This Row],[2021 U.S. Sales ($000)]]/SUMIF($E:$E, E209, $AF:$AF)</f>
        <v>8.0940108095448118E-3</v>
      </c>
      <c r="AH209" s="5">
        <v>50</v>
      </c>
      <c r="AI209" s="12">
        <f t="shared" si="29"/>
        <v>2444</v>
      </c>
      <c r="AJ209" s="5">
        <v>80951</v>
      </c>
      <c r="AK209" s="6">
        <f>Table1[[#This Row],[2020 U.S. Sales ($000)]]/SUMIF($E:$E, E209, $AJ:$AJ)</f>
        <v>7.5854268274913464E-3</v>
      </c>
      <c r="AL209" s="5">
        <v>44</v>
      </c>
      <c r="AM209" s="5">
        <f t="shared" si="30"/>
        <v>1839.7954545454545</v>
      </c>
      <c r="AN209" s="5">
        <v>104201</v>
      </c>
      <c r="AO209" s="6">
        <f>Table1[[#This Row],[2019 U.S. Sales ($000)]]/SUMIF($E:$E, E209, $AN:$AN)</f>
        <v>6.1495778992665135E-3</v>
      </c>
      <c r="AP209" s="5">
        <v>40</v>
      </c>
      <c r="AQ209" s="5">
        <f t="shared" si="31"/>
        <v>2605.0250000000001</v>
      </c>
    </row>
    <row r="210" spans="1:43" x14ac:dyDescent="0.25">
      <c r="A210" t="s">
        <v>275</v>
      </c>
      <c r="B210">
        <v>9036</v>
      </c>
      <c r="C210" t="s">
        <v>68</v>
      </c>
      <c r="D210" t="s">
        <v>92</v>
      </c>
      <c r="E210" t="s">
        <v>93</v>
      </c>
      <c r="F210" s="5">
        <v>217</v>
      </c>
      <c r="G210" s="5">
        <v>200000</v>
      </c>
      <c r="H210" s="6">
        <f>Table1[[#This Row],[2024 U.S. Sales ($000)]]/SUMIF($E:$E, E210, $G:$G)</f>
        <v>1.2444776305145915E-2</v>
      </c>
      <c r="I210" s="5">
        <v>101</v>
      </c>
      <c r="J210" s="5">
        <f>Table1[[#This Row],[2024 U.S. Sales ($000)]]/Table1[[#This Row],[2024 U.S. Units]]</f>
        <v>1980.1980198019803</v>
      </c>
      <c r="K210" s="6">
        <f>Table1[[#This Row],[2024 U.S. Units]]/Table1[[#This Row],[2023 U.S. Units]]-1</f>
        <v>4.1237113402061931E-2</v>
      </c>
      <c r="L210" s="8">
        <f>(Table1[[#This Row],[2024 Market share (%)]]-Table1[[#This Row],[2023 Market share (%)]])*10000</f>
        <v>19.592687337237521</v>
      </c>
      <c r="M210" s="6">
        <f>_xlfn.RRI(5,Table1[[#This Row],[2019 U.S. Sales ($000)]],Table1[[#This Row],[2024 U.S. Sales ($000)]])</f>
        <v>0.15429292991922527</v>
      </c>
      <c r="N210" s="9">
        <f>(Table1[[#This Row],[2024 Market share (%)]]-Table1[[#This Row],[2019 Market share (%)]])*10000</f>
        <v>66.847662959481937</v>
      </c>
      <c r="O210" s="6">
        <f>IF(Table1[[#This Row],[2024 AUV]]=0,"",_xlfn.RRI(5,Table1[[#This Row],[2019 AUV]],Table1[[#This Row],[2024 AUV]]))</f>
        <v>6.6482033213512315E-2</v>
      </c>
      <c r="P210" s="6">
        <f>_xlfn.RRI(5,Table1[[#This Row],[2019 U.S. Units]],Table1[[#This Row],[2024 U.S. Units]])</f>
        <v>8.2336967685355367E-2</v>
      </c>
      <c r="Q210" s="5">
        <v>183500</v>
      </c>
      <c r="R210" s="6">
        <f>Table1[[#This Row],[2023 U.S. Sales ($000)]]/SUMIF($E:$E, E210, $Q:$Q)</f>
        <v>1.0485507571422163E-2</v>
      </c>
      <c r="S210" s="8">
        <f>(Table1[[#This Row],[2023 Market share (%)]]-Table1[[#This Row],[2022 Market share (%)]])*10000</f>
        <v>12.219618760465362</v>
      </c>
      <c r="T210" s="10">
        <v>0.19934640522875818</v>
      </c>
      <c r="U210" s="5">
        <v>97</v>
      </c>
      <c r="V210" s="5">
        <f t="shared" si="24"/>
        <v>1891.7525773195875</v>
      </c>
      <c r="W210" s="10">
        <v>0.18292682926829268</v>
      </c>
      <c r="X210" s="10">
        <f t="shared" si="25"/>
        <v>0.17097214095718094</v>
      </c>
      <c r="Y210" s="8">
        <f>(Table1[[#This Row],[2023 Market share (%)]]-Table1[[#This Row],[2019 Market share (%)]])*10000</f>
        <v>47.254975622244416</v>
      </c>
      <c r="Z210" s="10">
        <f t="shared" si="26"/>
        <v>7.1472076276212881E-2</v>
      </c>
      <c r="AA210" s="10">
        <f t="shared" si="27"/>
        <v>9.2862956379385908E-2</v>
      </c>
      <c r="AB210" s="5">
        <v>153000</v>
      </c>
      <c r="AC210" s="6">
        <f>Table1[[#This Row],[2022 U.S. Sales ($000)]]/SUMIF($E:$E, E210, $AB:$AB)</f>
        <v>9.2635456953756266E-3</v>
      </c>
      <c r="AD210" s="5">
        <v>82</v>
      </c>
      <c r="AE210" s="5">
        <f t="shared" si="28"/>
        <v>1865.8536585365853</v>
      </c>
      <c r="AF210" s="5">
        <v>139000</v>
      </c>
      <c r="AG210" s="6">
        <f>Table1[[#This Row],[2021 U.S. Sales ($000)]]/SUMIF($E:$E, E210, $AF:$AF)</f>
        <v>9.2067717064380442E-3</v>
      </c>
      <c r="AH210" s="5">
        <v>79</v>
      </c>
      <c r="AI210" s="12">
        <f t="shared" si="29"/>
        <v>1759.493670886076</v>
      </c>
      <c r="AJ210" s="5">
        <v>92000</v>
      </c>
      <c r="AK210" s="6">
        <f>Table1[[#This Row],[2020 U.S. Sales ($000)]]/SUMIF($E:$E, E210, $AJ:$AJ)</f>
        <v>8.6207615487048188E-3</v>
      </c>
      <c r="AL210" s="5">
        <v>71</v>
      </c>
      <c r="AM210" s="5">
        <f t="shared" si="30"/>
        <v>1295.7746478873239</v>
      </c>
      <c r="AN210" s="5">
        <v>97600</v>
      </c>
      <c r="AO210" s="6">
        <f>Table1[[#This Row],[2019 U.S. Sales ($000)]]/SUMIF($E:$E, E210, $AN:$AN)</f>
        <v>5.760010009197721E-3</v>
      </c>
      <c r="AP210" s="5">
        <v>68</v>
      </c>
      <c r="AQ210" s="5">
        <f t="shared" si="31"/>
        <v>1435.2941176470588</v>
      </c>
    </row>
    <row r="211" spans="1:43" x14ac:dyDescent="0.25">
      <c r="A211" t="s">
        <v>276</v>
      </c>
      <c r="B211">
        <v>2506</v>
      </c>
      <c r="C211" t="s">
        <v>68</v>
      </c>
      <c r="D211" t="s">
        <v>92</v>
      </c>
      <c r="E211" t="s">
        <v>93</v>
      </c>
      <c r="F211" s="5">
        <v>203</v>
      </c>
      <c r="G211" s="5">
        <v>198000</v>
      </c>
      <c r="H211" s="6">
        <f>Table1[[#This Row],[2024 U.S. Sales ($000)]]/SUMIF($E:$E, E211, $G:$G)</f>
        <v>1.2320328542094456E-2</v>
      </c>
      <c r="I211" s="5">
        <v>147</v>
      </c>
      <c r="J211" s="5">
        <f>Table1[[#This Row],[2024 U.S. Sales ($000)]]/Table1[[#This Row],[2024 U.S. Units]]</f>
        <v>1346.9387755102041</v>
      </c>
      <c r="K211" s="6">
        <f>Table1[[#This Row],[2024 U.S. Units]]/Table1[[#This Row],[2023 U.S. Units]]-1</f>
        <v>-6.7567567567567988E-3</v>
      </c>
      <c r="L211" s="8">
        <f>(Table1[[#This Row],[2024 Market share (%)]]-Table1[[#This Row],[2023 Market share (%)]])*10000</f>
        <v>11.548343761223004</v>
      </c>
      <c r="M211" s="6">
        <f>_xlfn.RRI(5,Table1[[#This Row],[2019 U.S. Sales ($000)]],Table1[[#This Row],[2024 U.S. Sales ($000)]])</f>
        <v>1.3237120647198397E-2</v>
      </c>
      <c r="N211" s="9">
        <f>(Table1[[#This Row],[2024 Market share (%)]]-Table1[[#This Row],[2019 Market share (%)]])*10000</f>
        <v>13.786701844586222</v>
      </c>
      <c r="O211" s="6">
        <f>IF(Table1[[#This Row],[2024 AUV]]=0,"",_xlfn.RRI(5,Table1[[#This Row],[2019 AUV]],Table1[[#This Row],[2024 AUV]]))</f>
        <v>7.6618873951896926E-3</v>
      </c>
      <c r="P211" s="6">
        <f>_xlfn.RRI(5,Table1[[#This Row],[2019 U.S. Units]],Table1[[#This Row],[2024 U.S. Units]])</f>
        <v>5.5328412454109799E-3</v>
      </c>
      <c r="Q211" s="5">
        <v>195400</v>
      </c>
      <c r="R211" s="6">
        <f>Table1[[#This Row],[2023 U.S. Sales ($000)]]/SUMIF($E:$E, E211, $Q:$Q)</f>
        <v>1.1165494165972156E-2</v>
      </c>
      <c r="S211" s="8">
        <f>(Table1[[#This Row],[2023 Market share (%)]]-Table1[[#This Row],[2022 Market share (%)]])*10000</f>
        <v>-0.59743559012425884</v>
      </c>
      <c r="T211" s="10">
        <v>5.3937432578209279E-2</v>
      </c>
      <c r="U211" s="5">
        <v>148</v>
      </c>
      <c r="V211" s="5">
        <f t="shared" si="24"/>
        <v>1320.2702702702702</v>
      </c>
      <c r="W211" s="10">
        <v>6.8027210884353739E-3</v>
      </c>
      <c r="X211" s="10">
        <f t="shared" si="25"/>
        <v>1.3219891817765728E-2</v>
      </c>
      <c r="Y211" s="8">
        <f>(Table1[[#This Row],[2023 Market share (%)]]-Table1[[#This Row],[2019 Market share (%)]])*10000</f>
        <v>2.2383580833632184</v>
      </c>
      <c r="Z211" s="10">
        <f t="shared" si="26"/>
        <v>4.5516883497571659E-3</v>
      </c>
      <c r="AA211" s="10">
        <f t="shared" si="27"/>
        <v>8.6289272802362316E-3</v>
      </c>
      <c r="AB211" s="5">
        <v>185400</v>
      </c>
      <c r="AC211" s="6">
        <f>Table1[[#This Row],[2022 U.S. Sales ($000)]]/SUMIF($E:$E, E211, $AB:$AB)</f>
        <v>1.1225237724984582E-2</v>
      </c>
      <c r="AD211" s="5">
        <v>147</v>
      </c>
      <c r="AE211" s="5">
        <f t="shared" si="28"/>
        <v>1261.2244897959183</v>
      </c>
      <c r="AF211" s="5">
        <v>163400</v>
      </c>
      <c r="AG211" s="6">
        <f>Table1[[#This Row],[2021 U.S. Sales ($000)]]/SUMIF($E:$E, E211, $AF:$AF)</f>
        <v>1.0822924437640118E-2</v>
      </c>
      <c r="AH211" s="5">
        <v>145</v>
      </c>
      <c r="AI211" s="12">
        <f t="shared" si="29"/>
        <v>1126.8965517241379</v>
      </c>
      <c r="AJ211" s="5">
        <v>128400</v>
      </c>
      <c r="AK211" s="6">
        <f>Table1[[#This Row],[2020 U.S. Sales ($000)]]/SUMIF($E:$E, E211, $AJ:$AJ)</f>
        <v>1.2031584596235857E-2</v>
      </c>
      <c r="AL211" s="5">
        <v>144</v>
      </c>
      <c r="AM211" s="5">
        <f t="shared" si="30"/>
        <v>891.66666666666663</v>
      </c>
      <c r="AN211" s="5">
        <v>185400</v>
      </c>
      <c r="AO211" s="6">
        <f>Table1[[#This Row],[2019 U.S. Sales ($000)]]/SUMIF($E:$E, E211, $AN:$AN)</f>
        <v>1.0941658357635834E-2</v>
      </c>
      <c r="AP211" s="5">
        <v>143</v>
      </c>
      <c r="AQ211" s="5">
        <f t="shared" si="31"/>
        <v>1296.5034965034965</v>
      </c>
    </row>
    <row r="212" spans="1:43" x14ac:dyDescent="0.25">
      <c r="A212" t="s">
        <v>277</v>
      </c>
      <c r="B212">
        <v>2779</v>
      </c>
      <c r="C212" t="s">
        <v>44</v>
      </c>
      <c r="D212" t="s">
        <v>45</v>
      </c>
      <c r="E212" t="s">
        <v>76</v>
      </c>
      <c r="F212" s="5">
        <v>218</v>
      </c>
      <c r="G212" s="5">
        <v>197000</v>
      </c>
      <c r="H212" s="6">
        <f>Table1[[#This Row],[2024 U.S. Sales ($000)]]/SUMIF($E:$E, E212, $G:$G)</f>
        <v>2.7998862990335417E-2</v>
      </c>
      <c r="I212" s="5">
        <v>575</v>
      </c>
      <c r="J212" s="5">
        <f>Table1[[#This Row],[2024 U.S. Sales ($000)]]/Table1[[#This Row],[2024 U.S. Units]]</f>
        <v>342.60869565217394</v>
      </c>
      <c r="K212" s="6">
        <f>Table1[[#This Row],[2024 U.S. Units]]/Table1[[#This Row],[2023 U.S. Units]]-1</f>
        <v>5.1188299817184646E-2</v>
      </c>
      <c r="L212" s="8">
        <f>(Table1[[#This Row],[2024 Market share (%)]]-Table1[[#This Row],[2023 Market share (%)]])*10000</f>
        <v>55.432049039814551</v>
      </c>
      <c r="M212" s="6">
        <f>_xlfn.RRI(5,Table1[[#This Row],[2019 U.S. Sales ($000)]],Table1[[#This Row],[2024 U.S. Sales ($000)]])</f>
        <v>2.3966233486612198E-2</v>
      </c>
      <c r="N212" s="9">
        <f>(Table1[[#This Row],[2024 Market share (%)]]-Table1[[#This Row],[2019 Market share (%)]])*10000</f>
        <v>4.3615310029960357</v>
      </c>
      <c r="O212" s="6">
        <f>IF(Table1[[#This Row],[2024 AUV]]=0,"",_xlfn.RRI(5,Table1[[#This Row],[2019 AUV]],Table1[[#This Row],[2024 AUV]]))</f>
        <v>2.0018121283963186E-2</v>
      </c>
      <c r="P212" s="6">
        <f>_xlfn.RRI(5,Table1[[#This Row],[2019 U.S. Units]],Table1[[#This Row],[2024 U.S. Units]])</f>
        <v>3.8706294724248913E-3</v>
      </c>
      <c r="Q212" s="5">
        <v>182200</v>
      </c>
      <c r="R212" s="6">
        <f>Table1[[#This Row],[2023 U.S. Sales ($000)]]/SUMIF($E:$E, E212, $Q:$Q)</f>
        <v>2.2455658086353962E-2</v>
      </c>
      <c r="S212" s="8">
        <f>(Table1[[#This Row],[2023 Market share (%)]]-Table1[[#This Row],[2022 Market share (%)]])*10000</f>
        <v>2.5031416847336176</v>
      </c>
      <c r="T212" s="10">
        <v>8.9712918660287078E-2</v>
      </c>
      <c r="U212" s="5">
        <v>547</v>
      </c>
      <c r="V212" s="5">
        <f t="shared" si="24"/>
        <v>333.08957952468006</v>
      </c>
      <c r="W212" s="10">
        <v>4.1904761904761903E-2</v>
      </c>
      <c r="X212" s="10">
        <f t="shared" si="25"/>
        <v>1.0130724550267534E-2</v>
      </c>
      <c r="Y212" s="8">
        <f>(Table1[[#This Row],[2023 Market share (%)]]-Table1[[#This Row],[2019 Market share (%)]])*10000</f>
        <v>-51.070518036818513</v>
      </c>
      <c r="Z212" s="10">
        <f t="shared" si="26"/>
        <v>1.7889244435252749E-2</v>
      </c>
      <c r="AA212" s="10">
        <f t="shared" si="27"/>
        <v>-7.6221651102029719E-3</v>
      </c>
      <c r="AB212" s="5">
        <v>167200</v>
      </c>
      <c r="AC212" s="6">
        <f>Table1[[#This Row],[2022 U.S. Sales ($000)]]/SUMIF($E:$E, E212, $AB:$AB)</f>
        <v>2.22053439178806E-2</v>
      </c>
      <c r="AD212" s="5">
        <v>525</v>
      </c>
      <c r="AE212" s="5">
        <f t="shared" si="28"/>
        <v>318.47619047619048</v>
      </c>
      <c r="AF212" s="5">
        <v>157700</v>
      </c>
      <c r="AG212" s="6">
        <f>Table1[[#This Row],[2021 U.S. Sales ($000)]]/SUMIF($E:$E, E212, $AF:$AF)</f>
        <v>2.1599627012655161E-2</v>
      </c>
      <c r="AH212" s="5">
        <v>537</v>
      </c>
      <c r="AI212" s="12">
        <f t="shared" si="29"/>
        <v>293.66852886405957</v>
      </c>
      <c r="AJ212" s="5">
        <v>150500</v>
      </c>
      <c r="AK212" s="6">
        <f>Table1[[#This Row],[2020 U.S. Sales ($000)]]/SUMIF($E:$E, E212, $AJ:$AJ)</f>
        <v>2.3551636924835383E-2</v>
      </c>
      <c r="AL212" s="5">
        <v>532</v>
      </c>
      <c r="AM212" s="5">
        <f t="shared" si="30"/>
        <v>282.89473684210526</v>
      </c>
      <c r="AN212" s="5">
        <v>175000</v>
      </c>
      <c r="AO212" s="6">
        <f>Table1[[#This Row],[2019 U.S. Sales ($000)]]/SUMIF($E:$E, E212, $AN:$AN)</f>
        <v>2.7562709890035814E-2</v>
      </c>
      <c r="AP212" s="5">
        <v>564</v>
      </c>
      <c r="AQ212" s="5">
        <f t="shared" si="31"/>
        <v>310.28368794326241</v>
      </c>
    </row>
    <row r="213" spans="1:43" x14ac:dyDescent="0.25">
      <c r="A213" t="s">
        <v>278</v>
      </c>
      <c r="B213">
        <v>2524</v>
      </c>
      <c r="C213" t="s">
        <v>68</v>
      </c>
      <c r="D213" t="s">
        <v>69</v>
      </c>
      <c r="E213" t="s">
        <v>79</v>
      </c>
      <c r="F213" s="5">
        <v>197</v>
      </c>
      <c r="G213" s="5">
        <v>196000</v>
      </c>
      <c r="H213" s="6">
        <f>Table1[[#This Row],[2024 U.S. Sales ($000)]]/SUMIF($E:$E, E213, $G:$G)</f>
        <v>9.4226239123119081E-3</v>
      </c>
      <c r="I213" s="5">
        <v>91</v>
      </c>
      <c r="J213" s="5">
        <f>Table1[[#This Row],[2024 U.S. Sales ($000)]]/Table1[[#This Row],[2024 U.S. Units]]</f>
        <v>2153.8461538461538</v>
      </c>
      <c r="K213" s="6">
        <f>Table1[[#This Row],[2024 U.S. Units]]/Table1[[#This Row],[2023 U.S. Units]]-1</f>
        <v>-1.0869565217391353E-2</v>
      </c>
      <c r="L213" s="8">
        <f>(Table1[[#This Row],[2024 Market share (%)]]-Table1[[#This Row],[2023 Market share (%)]])*10000</f>
        <v>10.23890869067885</v>
      </c>
      <c r="M213" s="6">
        <f>_xlfn.RRI(5,Table1[[#This Row],[2019 U.S. Sales ($000)]],Table1[[#This Row],[2024 U.S. Sales ($000)]])</f>
        <v>1.3488257623633038E-2</v>
      </c>
      <c r="N213" s="9">
        <f>(Table1[[#This Row],[2024 Market share (%)]]-Table1[[#This Row],[2019 Market share (%)]])*10000</f>
        <v>13.961285079074678</v>
      </c>
      <c r="O213" s="6">
        <f>IF(Table1[[#This Row],[2024 AUV]]=0,"",_xlfn.RRI(5,Table1[[#This Row],[2019 AUV]],Table1[[#This Row],[2024 AUV]]))</f>
        <v>3.2786239292643016E-2</v>
      </c>
      <c r="P213" s="6">
        <f>_xlfn.RRI(5,Table1[[#This Row],[2019 U.S. Units]],Table1[[#This Row],[2024 U.S. Units]])</f>
        <v>-1.8685359017009295E-2</v>
      </c>
      <c r="Q213" s="5">
        <v>202600</v>
      </c>
      <c r="R213" s="6">
        <f>Table1[[#This Row],[2023 U.S. Sales ($000)]]/SUMIF($E:$E, E213, $Q:$Q)</f>
        <v>8.3987330432440232E-3</v>
      </c>
      <c r="S213" s="8">
        <f>(Table1[[#This Row],[2023 Market share (%)]]-Table1[[#This Row],[2022 Market share (%)]])*10000</f>
        <v>-3.9497702175671745</v>
      </c>
      <c r="T213" s="10">
        <v>-2.0309477756286266E-2</v>
      </c>
      <c r="U213" s="5">
        <v>92</v>
      </c>
      <c r="V213" s="5">
        <f t="shared" si="24"/>
        <v>2202.1739130434785</v>
      </c>
      <c r="W213" s="10">
        <v>-1.0752688172043012E-2</v>
      </c>
      <c r="X213" s="10">
        <f t="shared" si="25"/>
        <v>2.534317275291631E-2</v>
      </c>
      <c r="Y213" s="8">
        <f>(Table1[[#This Row],[2023 Market share (%)]]-Table1[[#This Row],[2019 Market share (%)]])*10000</f>
        <v>3.722376388395829</v>
      </c>
      <c r="Z213" s="10">
        <f t="shared" si="26"/>
        <v>4.6941191230929658E-2</v>
      </c>
      <c r="AA213" s="10">
        <f t="shared" si="27"/>
        <v>-2.0629638664440675E-2</v>
      </c>
      <c r="AB213" s="5">
        <v>206800</v>
      </c>
      <c r="AC213" s="6">
        <f>Table1[[#This Row],[2022 U.S. Sales ($000)]]/SUMIF($E:$E, E213, $AB:$AB)</f>
        <v>8.7937100650007406E-3</v>
      </c>
      <c r="AD213" s="5">
        <v>93</v>
      </c>
      <c r="AE213" s="5">
        <f t="shared" si="28"/>
        <v>2223.6559139784945</v>
      </c>
      <c r="AF213" s="5">
        <v>192000</v>
      </c>
      <c r="AG213" s="6">
        <f>Table1[[#This Row],[2021 U.S. Sales ($000)]]/SUMIF($E:$E, E213, $AF:$AF)</f>
        <v>8.8397362719931597E-3</v>
      </c>
      <c r="AH213" s="5">
        <v>95</v>
      </c>
      <c r="AI213" s="12">
        <f t="shared" si="29"/>
        <v>2021.0526315789473</v>
      </c>
      <c r="AJ213" s="5">
        <v>95500</v>
      </c>
      <c r="AK213" s="6">
        <f>Table1[[#This Row],[2020 U.S. Sales ($000)]]/SUMIF($E:$E, E213, $AJ:$AJ)</f>
        <v>5.8566331767414756E-3</v>
      </c>
      <c r="AL213" s="5">
        <v>96</v>
      </c>
      <c r="AM213" s="5">
        <f t="shared" si="30"/>
        <v>994.79166666666663</v>
      </c>
      <c r="AN213" s="5">
        <v>183300</v>
      </c>
      <c r="AO213" s="6">
        <f>Table1[[#This Row],[2019 U.S. Sales ($000)]]/SUMIF($E:$E, E213, $AN:$AN)</f>
        <v>8.0264954044044403E-3</v>
      </c>
      <c r="AP213" s="5">
        <v>100</v>
      </c>
      <c r="AQ213" s="5">
        <f t="shared" si="31"/>
        <v>1833</v>
      </c>
    </row>
    <row r="214" spans="1:43" x14ac:dyDescent="0.25">
      <c r="A214" t="s">
        <v>279</v>
      </c>
      <c r="B214">
        <v>1591</v>
      </c>
      <c r="C214" t="s">
        <v>44</v>
      </c>
      <c r="D214" t="s">
        <v>56</v>
      </c>
      <c r="E214" t="s">
        <v>59</v>
      </c>
      <c r="F214" s="5">
        <v>206</v>
      </c>
      <c r="G214" s="5">
        <v>196000</v>
      </c>
      <c r="H214" s="6">
        <f>Table1[[#This Row],[2024 U.S. Sales ($000)]]/SUMIF($E:$E, E214, $G:$G)</f>
        <v>5.6123471637602729E-3</v>
      </c>
      <c r="I214" s="5">
        <v>91</v>
      </c>
      <c r="J214" s="5">
        <f>Table1[[#This Row],[2024 U.S. Sales ($000)]]/Table1[[#This Row],[2024 U.S. Units]]</f>
        <v>2153.8461538461538</v>
      </c>
      <c r="K214" s="6">
        <f>Table1[[#This Row],[2024 U.S. Units]]/Table1[[#This Row],[2023 U.S. Units]]-1</f>
        <v>1.1111111111111072E-2</v>
      </c>
      <c r="L214" s="8">
        <f>(Table1[[#This Row],[2024 Market share (%)]]-Table1[[#This Row],[2023 Market share (%)]])*10000</f>
        <v>5.4101347255032346</v>
      </c>
      <c r="M214" s="6">
        <f>_xlfn.RRI(5,Table1[[#This Row],[2019 U.S. Sales ($000)]],Table1[[#This Row],[2024 U.S. Sales ($000)]])</f>
        <v>2.2405118668499702E-2</v>
      </c>
      <c r="N214" s="9">
        <f>(Table1[[#This Row],[2024 Market share (%)]]-Table1[[#This Row],[2019 Market share (%)]])*10000</f>
        <v>2.4129335531897049</v>
      </c>
      <c r="O214" s="6">
        <f>IF(Table1[[#This Row],[2024 AUV]]=0,"",_xlfn.RRI(5,Table1[[#This Row],[2019 AUV]],Table1[[#This Row],[2024 AUV]]))</f>
        <v>2.0148131705184369E-2</v>
      </c>
      <c r="P214" s="6">
        <f>_xlfn.RRI(5,Table1[[#This Row],[2019 U.S. Units]],Table1[[#This Row],[2024 U.S. Units]])</f>
        <v>2.2124110148031839E-3</v>
      </c>
      <c r="Q214" s="5">
        <v>191549</v>
      </c>
      <c r="R214" s="6">
        <f>Table1[[#This Row],[2023 U.S. Sales ($000)]]/SUMIF($E:$E, E214, $Q:$Q)</f>
        <v>5.0713336912099494E-3</v>
      </c>
      <c r="S214" s="8">
        <f>(Table1[[#This Row],[2023 Market share (%)]]-Table1[[#This Row],[2022 Market share (%)]])*10000</f>
        <v>-2.1248534556885317</v>
      </c>
      <c r="T214" s="10">
        <v>1.3159773829610548E-2</v>
      </c>
      <c r="U214" s="5">
        <v>90</v>
      </c>
      <c r="V214" s="5">
        <f t="shared" si="24"/>
        <v>2128.3222222222221</v>
      </c>
      <c r="W214" s="10">
        <v>2.2727272727272728E-2</v>
      </c>
      <c r="X214" s="10">
        <f t="shared" si="25"/>
        <v>2.219728546980404E-2</v>
      </c>
      <c r="Y214" s="8">
        <f>(Table1[[#This Row],[2023 Market share (%)]]-Table1[[#This Row],[2019 Market share (%)]])*10000</f>
        <v>-2.9972011723135292</v>
      </c>
      <c r="Z214" s="10">
        <f t="shared" si="26"/>
        <v>2.219728546980404E-2</v>
      </c>
      <c r="AA214" s="10">
        <f t="shared" si="27"/>
        <v>0</v>
      </c>
      <c r="AB214" s="5">
        <v>189061</v>
      </c>
      <c r="AC214" s="6">
        <f>Table1[[#This Row],[2022 U.S. Sales ($000)]]/SUMIF($E:$E, E214, $AB:$AB)</f>
        <v>5.2838190367788026E-3</v>
      </c>
      <c r="AD214" s="5">
        <v>88</v>
      </c>
      <c r="AE214" s="5">
        <f t="shared" si="28"/>
        <v>2148.4204545454545</v>
      </c>
      <c r="AF214" s="5">
        <v>165989</v>
      </c>
      <c r="AG214" s="6">
        <f>Table1[[#This Row],[2021 U.S. Sales ($000)]]/SUMIF($E:$E, E214, $AF:$AF)</f>
        <v>5.0029606831049128E-3</v>
      </c>
      <c r="AH214" s="5">
        <v>88</v>
      </c>
      <c r="AI214" s="12">
        <f t="shared" si="29"/>
        <v>1886.2386363636363</v>
      </c>
      <c r="AJ214" s="5">
        <v>117139</v>
      </c>
      <c r="AK214" s="6">
        <f>Table1[[#This Row],[2020 U.S. Sales ($000)]]/SUMIF($E:$E, E214, $AJ:$AJ)</f>
        <v>4.1131052503250061E-3</v>
      </c>
      <c r="AL214" s="5">
        <v>86</v>
      </c>
      <c r="AM214" s="5">
        <f t="shared" si="30"/>
        <v>1362.0813953488373</v>
      </c>
      <c r="AN214" s="5">
        <v>175445</v>
      </c>
      <c r="AO214" s="6">
        <f>Table1[[#This Row],[2019 U.S. Sales ($000)]]/SUMIF($E:$E, E214, $AN:$AN)</f>
        <v>5.3710538084413024E-3</v>
      </c>
      <c r="AP214" s="5">
        <v>90</v>
      </c>
      <c r="AQ214" s="5">
        <f t="shared" si="31"/>
        <v>1949.3888888888889</v>
      </c>
    </row>
    <row r="215" spans="1:43" x14ac:dyDescent="0.25">
      <c r="A215" t="s">
        <v>280</v>
      </c>
      <c r="B215">
        <v>6603</v>
      </c>
      <c r="C215" t="s">
        <v>44</v>
      </c>
      <c r="D215" t="s">
        <v>56</v>
      </c>
      <c r="E215" t="s">
        <v>52</v>
      </c>
      <c r="F215" s="5">
        <v>213</v>
      </c>
      <c r="G215" s="5">
        <v>195000</v>
      </c>
      <c r="H215" s="6">
        <f>Table1[[#This Row],[2024 U.S. Sales ($000)]]/SUMIF($E:$E, E215, $G:$G)</f>
        <v>5.7918498277295949E-3</v>
      </c>
      <c r="I215" s="5">
        <v>90</v>
      </c>
      <c r="J215" s="5">
        <f>Table1[[#This Row],[2024 U.S. Sales ($000)]]/Table1[[#This Row],[2024 U.S. Units]]</f>
        <v>2166.6666666666665</v>
      </c>
      <c r="K215" s="6">
        <f>Table1[[#This Row],[2024 U.S. Units]]/Table1[[#This Row],[2023 U.S. Units]]-1</f>
        <v>1.1235955056179803E-2</v>
      </c>
      <c r="L215" s="8">
        <f>(Table1[[#This Row],[2024 Market share (%)]]-Table1[[#This Row],[2023 Market share (%)]])*10000</f>
        <v>1.2830957228881883</v>
      </c>
      <c r="M215" s="6">
        <f>_xlfn.RRI(5,Table1[[#This Row],[2019 U.S. Sales ($000)]],Table1[[#This Row],[2024 U.S. Sales ($000)]])</f>
        <v>3.1857683290402505E-2</v>
      </c>
      <c r="N215" s="9">
        <f>(Table1[[#This Row],[2024 Market share (%)]]-Table1[[#This Row],[2019 Market share (%)]])*10000</f>
        <v>-10.844185901099291</v>
      </c>
      <c r="O215" s="6">
        <f>IF(Table1[[#This Row],[2024 AUV]]=0,"",_xlfn.RRI(5,Table1[[#This Row],[2019 AUV]],Table1[[#This Row],[2024 AUV]]))</f>
        <v>4.3076164723498955E-2</v>
      </c>
      <c r="P215" s="6">
        <f>_xlfn.RRI(5,Table1[[#This Row],[2019 U.S. Units]],Table1[[#This Row],[2024 U.S. Units]])</f>
        <v>-1.075518913431428E-2</v>
      </c>
      <c r="Q215" s="5">
        <v>187400</v>
      </c>
      <c r="R215" s="6">
        <f>Table1[[#This Row],[2023 U.S. Sales ($000)]]/SUMIF($E:$E, E215, $Q:$Q)</f>
        <v>5.6635402554407761E-3</v>
      </c>
      <c r="S215" s="8">
        <f>(Table1[[#This Row],[2023 Market share (%)]]-Table1[[#This Row],[2022 Market share (%)]])*10000</f>
        <v>-2.0053802092815429</v>
      </c>
      <c r="T215" s="10">
        <v>5.5097008118729376E-2</v>
      </c>
      <c r="U215" s="5">
        <v>89</v>
      </c>
      <c r="V215" s="5">
        <f t="shared" si="24"/>
        <v>2105.6179775280898</v>
      </c>
      <c r="W215" s="10">
        <v>-2.197802197802198E-2</v>
      </c>
      <c r="X215" s="10">
        <f t="shared" si="25"/>
        <v>2.9694745795470823E-2</v>
      </c>
      <c r="Y215" s="8">
        <f>(Table1[[#This Row],[2023 Market share (%)]]-Table1[[#This Row],[2019 Market share (%)]])*10000</f>
        <v>-12.127281623987479</v>
      </c>
      <c r="Z215" s="10">
        <f t="shared" si="26"/>
        <v>4.6626908979316539E-2</v>
      </c>
      <c r="AA215" s="10">
        <f t="shared" si="27"/>
        <v>-1.6177840487932915E-2</v>
      </c>
      <c r="AB215" s="5">
        <v>177614</v>
      </c>
      <c r="AC215" s="6">
        <f>Table1[[#This Row],[2022 U.S. Sales ($000)]]/SUMIF($E:$E, E215, $AB:$AB)</f>
        <v>5.8640782763689303E-3</v>
      </c>
      <c r="AD215" s="5">
        <v>91</v>
      </c>
      <c r="AE215" s="5">
        <f t="shared" si="28"/>
        <v>1951.8021978021977</v>
      </c>
      <c r="AF215" s="5">
        <v>170811</v>
      </c>
      <c r="AG215" s="6">
        <f>Table1[[#This Row],[2021 U.S. Sales ($000)]]/SUMIF($E:$E, E215, $AF:$AF)</f>
        <v>6.2318729118367895E-3</v>
      </c>
      <c r="AH215" s="5">
        <v>91</v>
      </c>
      <c r="AI215" s="12">
        <f t="shared" si="29"/>
        <v>1877.0439560439561</v>
      </c>
      <c r="AJ215" s="5">
        <v>142509</v>
      </c>
      <c r="AK215" s="6">
        <f>Table1[[#This Row],[2020 U.S. Sales ($000)]]/SUMIF($E:$E, E215, $AJ:$AJ)</f>
        <v>6.0457829042590465E-3</v>
      </c>
      <c r="AL215" s="5">
        <v>94</v>
      </c>
      <c r="AM215" s="5">
        <f t="shared" si="30"/>
        <v>1516.0531914893618</v>
      </c>
      <c r="AN215" s="5">
        <v>166700</v>
      </c>
      <c r="AO215" s="6">
        <f>Table1[[#This Row],[2019 U.S. Sales ($000)]]/SUMIF($E:$E, E215, $AN:$AN)</f>
        <v>6.8762684178395239E-3</v>
      </c>
      <c r="AP215" s="5">
        <v>95</v>
      </c>
      <c r="AQ215" s="5">
        <f t="shared" si="31"/>
        <v>1754.7368421052631</v>
      </c>
    </row>
    <row r="216" spans="1:43" x14ac:dyDescent="0.25">
      <c r="A216" t="s">
        <v>281</v>
      </c>
      <c r="B216">
        <v>35685</v>
      </c>
      <c r="C216" t="s">
        <v>68</v>
      </c>
      <c r="D216" t="s">
        <v>69</v>
      </c>
      <c r="E216" t="s">
        <v>52</v>
      </c>
      <c r="F216" s="5">
        <v>214</v>
      </c>
      <c r="G216" s="5">
        <v>194000</v>
      </c>
      <c r="H216" s="6">
        <f>Table1[[#This Row],[2024 U.S. Sales ($000)]]/SUMIF($E:$E, E216, $G:$G)</f>
        <v>5.762148033741238E-3</v>
      </c>
      <c r="I216" s="5">
        <v>31</v>
      </c>
      <c r="J216" s="5">
        <f>Table1[[#This Row],[2024 U.S. Sales ($000)]]/Table1[[#This Row],[2024 U.S. Units]]</f>
        <v>6258.0645161290322</v>
      </c>
      <c r="K216" s="6">
        <f>Table1[[#This Row],[2024 U.S. Units]]/Table1[[#This Row],[2023 U.S. Units]]-1</f>
        <v>3.3333333333333437E-2</v>
      </c>
      <c r="L216" s="8">
        <f>(Table1[[#This Row],[2024 Market share (%)]]-Table1[[#This Row],[2023 Market share (%)]])*10000</f>
        <v>1.0794627317202605</v>
      </c>
      <c r="M216" s="6">
        <f>_xlfn.RRI(5,Table1[[#This Row],[2019 U.S. Sales ($000)]],Table1[[#This Row],[2024 U.S. Sales ($000)]])</f>
        <v>8.8335204359186736E-2</v>
      </c>
      <c r="N216" s="9">
        <f>(Table1[[#This Row],[2024 Market share (%)]]-Table1[[#This Row],[2019 Market share (%)]])*10000</f>
        <v>5.2125176763336265</v>
      </c>
      <c r="O216" s="6">
        <f>IF(Table1[[#This Row],[2024 AUV]]=0,"",_xlfn.RRI(5,Table1[[#This Row],[2019 AUV]],Table1[[#This Row],[2024 AUV]]))</f>
        <v>4.2505465436057488E-2</v>
      </c>
      <c r="P216" s="6">
        <f>_xlfn.RRI(5,Table1[[#This Row],[2019 U.S. Units]],Table1[[#This Row],[2024 U.S. Units]])</f>
        <v>4.3961149790192833E-2</v>
      </c>
      <c r="Q216" s="5">
        <v>187091</v>
      </c>
      <c r="R216" s="6">
        <f>Table1[[#This Row],[2023 U.S. Sales ($000)]]/SUMIF($E:$E, E216, $Q:$Q)</f>
        <v>5.654201760569212E-3</v>
      </c>
      <c r="S216" s="8">
        <f>(Table1[[#This Row],[2023 Market share (%)]]-Table1[[#This Row],[2022 Market share (%)]])*10000</f>
        <v>-8.47979321112486E-2</v>
      </c>
      <c r="T216" s="10">
        <v>9.0820574413750479E-2</v>
      </c>
      <c r="U216" s="5">
        <v>30</v>
      </c>
      <c r="V216" s="5">
        <f t="shared" si="24"/>
        <v>6236.3666666666668</v>
      </c>
      <c r="W216" s="10">
        <v>3.4482758620689655E-2</v>
      </c>
      <c r="X216" s="10">
        <f t="shared" si="25"/>
        <v>0.10158024376233055</v>
      </c>
      <c r="Y216" s="8">
        <f>(Table1[[#This Row],[2023 Market share (%)]]-Table1[[#This Row],[2019 Market share (%)]])*10000</f>
        <v>4.1330549446133658</v>
      </c>
      <c r="Z216" s="10">
        <f t="shared" si="26"/>
        <v>5.2496903937448103E-2</v>
      </c>
      <c r="AA216" s="10">
        <f t="shared" si="27"/>
        <v>4.6635139392105618E-2</v>
      </c>
      <c r="AB216" s="5">
        <v>171514</v>
      </c>
      <c r="AC216" s="6">
        <f>Table1[[#This Row],[2022 U.S. Sales ($000)]]/SUMIF($E:$E, E216, $AB:$AB)</f>
        <v>5.6626815537803368E-3</v>
      </c>
      <c r="AD216" s="5">
        <v>29</v>
      </c>
      <c r="AE216" s="5">
        <f t="shared" si="28"/>
        <v>5914.2758620689656</v>
      </c>
      <c r="AF216" s="5">
        <v>158075</v>
      </c>
      <c r="AG216" s="6">
        <f>Table1[[#This Row],[2021 U.S. Sales ($000)]]/SUMIF($E:$E, E216, $AF:$AF)</f>
        <v>5.7672123606711543E-3</v>
      </c>
      <c r="AH216" s="5">
        <v>27</v>
      </c>
      <c r="AI216" s="12">
        <f t="shared" si="29"/>
        <v>5854.6296296296296</v>
      </c>
      <c r="AJ216" s="5">
        <v>122514</v>
      </c>
      <c r="AK216" s="6">
        <f>Table1[[#This Row],[2020 U.S. Sales ($000)]]/SUMIF($E:$E, E216, $AJ:$AJ)</f>
        <v>5.197517677707323E-3</v>
      </c>
      <c r="AL216" s="5">
        <v>27</v>
      </c>
      <c r="AM216" s="5">
        <f t="shared" si="30"/>
        <v>4537.5555555555557</v>
      </c>
      <c r="AN216" s="5">
        <v>127054</v>
      </c>
      <c r="AO216" s="6">
        <f>Table1[[#This Row],[2019 U.S. Sales ($000)]]/SUMIF($E:$E, E216, $AN:$AN)</f>
        <v>5.2408962661078754E-3</v>
      </c>
      <c r="AP216" s="5">
        <v>25</v>
      </c>
      <c r="AQ216" s="5">
        <f t="shared" si="31"/>
        <v>5082.16</v>
      </c>
    </row>
    <row r="217" spans="1:43" x14ac:dyDescent="0.25">
      <c r="A217" t="s">
        <v>282</v>
      </c>
      <c r="B217">
        <v>7715</v>
      </c>
      <c r="C217" t="s">
        <v>44</v>
      </c>
      <c r="D217" t="s">
        <v>56</v>
      </c>
      <c r="E217" t="s">
        <v>52</v>
      </c>
      <c r="F217" s="5">
        <v>181</v>
      </c>
      <c r="G217" s="5">
        <v>185000</v>
      </c>
      <c r="H217" s="6">
        <f>Table1[[#This Row],[2024 U.S. Sales ($000)]]/SUMIF($E:$E, E217, $G:$G)</f>
        <v>5.4948318878460262E-3</v>
      </c>
      <c r="I217" s="5">
        <v>117</v>
      </c>
      <c r="J217" s="5">
        <f>Table1[[#This Row],[2024 U.S. Sales ($000)]]/Table1[[#This Row],[2024 U.S. Units]]</f>
        <v>1581.1965811965813</v>
      </c>
      <c r="K217" s="6">
        <f>Table1[[#This Row],[2024 U.S. Units]]/Table1[[#This Row],[2023 U.S. Units]]-1</f>
        <v>-0.11363636363636365</v>
      </c>
      <c r="L217" s="8">
        <f>(Table1[[#This Row],[2024 Market share (%)]]-Table1[[#This Row],[2023 Market share (%)]])*10000</f>
        <v>-12.657548525067041</v>
      </c>
      <c r="M217" s="6">
        <f>_xlfn.RRI(5,Table1[[#This Row],[2019 U.S. Sales ($000)]],Table1[[#This Row],[2024 U.S. Sales ($000)]])</f>
        <v>-4.1942835336182149E-2</v>
      </c>
      <c r="N217" s="9">
        <f>(Table1[[#This Row],[2024 Market share (%)]]-Table1[[#This Row],[2019 Market share (%)]])*10000</f>
        <v>-39.595215696753819</v>
      </c>
      <c r="O217" s="6">
        <f>IF(Table1[[#This Row],[2024 AUV]]=0,"",_xlfn.RRI(5,Table1[[#This Row],[2019 AUV]],Table1[[#This Row],[2024 AUV]]))</f>
        <v>1.4397408628223918E-3</v>
      </c>
      <c r="P217" s="6">
        <f>_xlfn.RRI(5,Table1[[#This Row],[2019 U.S. Units]],Table1[[#This Row],[2024 U.S. Units]])</f>
        <v>-4.3320206327768562E-2</v>
      </c>
      <c r="Q217" s="5">
        <v>223700</v>
      </c>
      <c r="R217" s="6">
        <f>Table1[[#This Row],[2023 U.S. Sales ($000)]]/SUMIF($E:$E, E217, $Q:$Q)</f>
        <v>6.7605867403527304E-3</v>
      </c>
      <c r="S217" s="8">
        <f>(Table1[[#This Row],[2023 Market share (%)]]-Table1[[#This Row],[2022 Market share (%)]])*10000</f>
        <v>-9.2880615979210042</v>
      </c>
      <c r="T217" s="10">
        <v>-3.9501932159725202E-2</v>
      </c>
      <c r="U217" s="5">
        <v>132</v>
      </c>
      <c r="V217" s="5">
        <f t="shared" si="24"/>
        <v>1694.6969696969697</v>
      </c>
      <c r="W217" s="10">
        <v>-3.6496350364963501E-2</v>
      </c>
      <c r="X217" s="10">
        <f t="shared" si="25"/>
        <v>-6.0538800596537934E-3</v>
      </c>
      <c r="Y217" s="8">
        <f>(Table1[[#This Row],[2023 Market share (%)]]-Table1[[#This Row],[2019 Market share (%)]])*10000</f>
        <v>-26.93766717168678</v>
      </c>
      <c r="Z217" s="10">
        <f t="shared" si="26"/>
        <v>1.9313025210448531E-2</v>
      </c>
      <c r="AA217" s="10">
        <f t="shared" si="27"/>
        <v>-2.4886275994427831E-2</v>
      </c>
      <c r="AB217" s="5">
        <v>232900</v>
      </c>
      <c r="AC217" s="6">
        <f>Table1[[#This Row],[2022 U.S. Sales ($000)]]/SUMIF($E:$E, E217, $AB:$AB)</f>
        <v>7.6893929001448308E-3</v>
      </c>
      <c r="AD217" s="5">
        <v>137</v>
      </c>
      <c r="AE217" s="5">
        <f t="shared" si="28"/>
        <v>1700</v>
      </c>
      <c r="AF217" s="5">
        <v>212548</v>
      </c>
      <c r="AG217" s="6">
        <f>Table1[[#This Row],[2021 U.S. Sales ($000)]]/SUMIF($E:$E, E217, $AF:$AF)</f>
        <v>7.754606691987553E-3</v>
      </c>
      <c r="AH217" s="5">
        <v>137</v>
      </c>
      <c r="AI217" s="12">
        <f t="shared" si="29"/>
        <v>1551.4452554744526</v>
      </c>
      <c r="AJ217" s="5">
        <v>183000</v>
      </c>
      <c r="AK217" s="6">
        <f>Table1[[#This Row],[2020 U.S. Sales ($000)]]/SUMIF($E:$E, E217, $AJ:$AJ)</f>
        <v>7.7635677148769943E-3</v>
      </c>
      <c r="AL217" s="5">
        <v>140</v>
      </c>
      <c r="AM217" s="5">
        <f t="shared" si="30"/>
        <v>1307.1428571428571</v>
      </c>
      <c r="AN217" s="5">
        <v>229200</v>
      </c>
      <c r="AO217" s="6">
        <f>Table1[[#This Row],[2019 U.S. Sales ($000)]]/SUMIF($E:$E, E217, $AN:$AN)</f>
        <v>9.4543534575214083E-3</v>
      </c>
      <c r="AP217" s="5">
        <v>146</v>
      </c>
      <c r="AQ217" s="5">
        <f t="shared" si="31"/>
        <v>1569.8630136986301</v>
      </c>
    </row>
    <row r="218" spans="1:43" x14ac:dyDescent="0.25">
      <c r="A218" t="s">
        <v>283</v>
      </c>
      <c r="B218">
        <v>9178</v>
      </c>
      <c r="C218" t="s">
        <v>68</v>
      </c>
      <c r="D218" t="s">
        <v>69</v>
      </c>
      <c r="E218" t="s">
        <v>79</v>
      </c>
      <c r="F218" s="5">
        <v>236</v>
      </c>
      <c r="G218" s="5">
        <v>183000</v>
      </c>
      <c r="H218" s="6">
        <f>Table1[[#This Row],[2024 U.S. Sales ($000)]]/SUMIF($E:$E, E218, $G:$G)</f>
        <v>8.7976539589442824E-3</v>
      </c>
      <c r="I218" s="5">
        <v>30</v>
      </c>
      <c r="J218" s="5">
        <f>Table1[[#This Row],[2024 U.S. Sales ($000)]]/Table1[[#This Row],[2024 U.S. Units]]</f>
        <v>6100</v>
      </c>
      <c r="K218" s="6">
        <f>Table1[[#This Row],[2024 U.S. Units]]/Table1[[#This Row],[2023 U.S. Units]]-1</f>
        <v>0.15384615384615374</v>
      </c>
      <c r="L218" s="8">
        <f>(Table1[[#This Row],[2024 Market share (%)]]-Table1[[#This Row],[2023 Market share (%)]])*10000</f>
        <v>21.560220942340255</v>
      </c>
      <c r="M218" s="6">
        <f>_xlfn.RRI(5,Table1[[#This Row],[2019 U.S. Sales ($000)]],Table1[[#This Row],[2024 U.S. Sales ($000)]])</f>
        <v>0.20178186427889577</v>
      </c>
      <c r="N218" s="9">
        <f>(Table1[[#This Row],[2024 Market share (%)]]-Table1[[#This Row],[2019 Market share (%)]])*10000</f>
        <v>56.010682277848488</v>
      </c>
      <c r="O218" s="6">
        <f>IF(Table1[[#This Row],[2024 AUV]]=0,"",_xlfn.RRI(5,Table1[[#This Row],[2019 AUV]],Table1[[#This Row],[2024 AUV]]))</f>
        <v>0.10817256492682992</v>
      </c>
      <c r="P218" s="6">
        <f>_xlfn.RRI(5,Table1[[#This Row],[2019 U.S. Units]],Table1[[#This Row],[2024 U.S. Units]])</f>
        <v>8.4471771197698553E-2</v>
      </c>
      <c r="Q218" s="5">
        <v>160214</v>
      </c>
      <c r="R218" s="6">
        <f>Table1[[#This Row],[2023 U.S. Sales ($000)]]/SUMIF($E:$E, E218, $Q:$Q)</f>
        <v>6.6416318647102568E-3</v>
      </c>
      <c r="S218" s="8">
        <f>(Table1[[#This Row],[2023 Market share (%)]]-Table1[[#This Row],[2022 Market share (%)]])*10000</f>
        <v>10.390009975717769</v>
      </c>
      <c r="T218" s="10">
        <v>0.21599016363581164</v>
      </c>
      <c r="U218" s="5">
        <v>26</v>
      </c>
      <c r="V218" s="5">
        <f t="shared" si="24"/>
        <v>6162.0769230769229</v>
      </c>
      <c r="W218" s="10">
        <v>0.13043478260869565</v>
      </c>
      <c r="X218" s="10">
        <f t="shared" si="25"/>
        <v>0.21715083349727116</v>
      </c>
      <c r="Y218" s="8">
        <f>(Table1[[#This Row],[2023 Market share (%)]]-Table1[[#This Row],[2019 Market share (%)]])*10000</f>
        <v>34.450461335508237</v>
      </c>
      <c r="Z218" s="10">
        <f t="shared" si="26"/>
        <v>0.13987850138073199</v>
      </c>
      <c r="AA218" s="10">
        <f t="shared" si="27"/>
        <v>6.7789972372440888E-2</v>
      </c>
      <c r="AB218" s="5">
        <v>131756</v>
      </c>
      <c r="AC218" s="6">
        <f>Table1[[#This Row],[2022 U.S. Sales ($000)]]/SUMIF($E:$E, E218, $AB:$AB)</f>
        <v>5.6026308671384799E-3</v>
      </c>
      <c r="AD218" s="5">
        <v>23</v>
      </c>
      <c r="AE218" s="5">
        <f t="shared" si="28"/>
        <v>5728.521739130435</v>
      </c>
      <c r="AF218" s="5">
        <v>102100</v>
      </c>
      <c r="AG218" s="6">
        <f>Table1[[#This Row],[2021 U.S. Sales ($000)]]/SUMIF($E:$E, E218, $AF:$AF)</f>
        <v>4.7007139238046964E-3</v>
      </c>
      <c r="AH218" s="5">
        <v>23</v>
      </c>
      <c r="AI218" s="12">
        <f t="shared" si="29"/>
        <v>4439.130434782609</v>
      </c>
      <c r="AJ218" s="5">
        <v>63500</v>
      </c>
      <c r="AK218" s="6">
        <f>Table1[[#This Row],[2020 U.S. Sales ($000)]]/SUMIF($E:$E, E218, $AJ:$AJ)</f>
        <v>3.8942011175192013E-3</v>
      </c>
      <c r="AL218" s="5">
        <v>21</v>
      </c>
      <c r="AM218" s="5">
        <f t="shared" si="30"/>
        <v>3023.8095238095239</v>
      </c>
      <c r="AN218" s="5">
        <v>73000</v>
      </c>
      <c r="AO218" s="6">
        <f>Table1[[#This Row],[2019 U.S. Sales ($000)]]/SUMIF($E:$E, E218, $AN:$AN)</f>
        <v>3.196585731159433E-3</v>
      </c>
      <c r="AP218" s="5">
        <v>20</v>
      </c>
      <c r="AQ218" s="5">
        <f t="shared" si="31"/>
        <v>3650</v>
      </c>
    </row>
    <row r="219" spans="1:43" x14ac:dyDescent="0.25">
      <c r="A219" t="s">
        <v>284</v>
      </c>
      <c r="B219">
        <v>9216</v>
      </c>
      <c r="C219" t="s">
        <v>44</v>
      </c>
      <c r="D219" t="s">
        <v>56</v>
      </c>
      <c r="E219" t="s">
        <v>128</v>
      </c>
      <c r="F219" s="5">
        <v>247</v>
      </c>
      <c r="G219" s="5">
        <v>181000</v>
      </c>
      <c r="H219" s="6">
        <f>Table1[[#This Row],[2024 U.S. Sales ($000)]]/SUMIF($E:$E, E219, $G:$G)</f>
        <v>4.1343079031521242E-2</v>
      </c>
      <c r="I219" s="5">
        <v>90</v>
      </c>
      <c r="J219" s="5">
        <f>Table1[[#This Row],[2024 U.S. Sales ($000)]]/Table1[[#This Row],[2024 U.S. Units]]</f>
        <v>2011.1111111111111</v>
      </c>
      <c r="K219" s="6">
        <f>Table1[[#This Row],[2024 U.S. Units]]/Table1[[#This Row],[2023 U.S. Units]]-1</f>
        <v>0.19999999999999996</v>
      </c>
      <c r="L219" s="8">
        <f>(Table1[[#This Row],[2024 Market share (%)]]-Table1[[#This Row],[2023 Market share (%)]])*10000</f>
        <v>124.82006230811953</v>
      </c>
      <c r="M219" s="6">
        <f>_xlfn.RRI(5,Table1[[#This Row],[2019 U.S. Sales ($000)]],Table1[[#This Row],[2024 U.S. Sales ($000)]])</f>
        <v>0.31689902146345905</v>
      </c>
      <c r="N219" s="9">
        <f>(Table1[[#This Row],[2024 Market share (%)]]-Table1[[#This Row],[2019 Market share (%)]])*10000</f>
        <v>285.36968863665925</v>
      </c>
      <c r="O219" s="6">
        <f>IF(Table1[[#This Row],[2024 AUV]]=0,"",_xlfn.RRI(5,Table1[[#This Row],[2019 AUV]],Table1[[#This Row],[2024 AUV]]))</f>
        <v>0.10830857245977787</v>
      </c>
      <c r="P219" s="6">
        <f>_xlfn.RRI(5,Table1[[#This Row],[2019 U.S. Units]],Table1[[#This Row],[2024 U.S. Units]])</f>
        <v>0.18820611352011474</v>
      </c>
      <c r="Q219" s="5">
        <v>150000</v>
      </c>
      <c r="R219" s="6">
        <f>Table1[[#This Row],[2023 U.S. Sales ($000)]]/SUMIF($E:$E, E219, $Q:$Q)</f>
        <v>2.8861072800709289E-2</v>
      </c>
      <c r="S219" s="8">
        <f>(Table1[[#This Row],[2023 Market share (%)]]-Table1[[#This Row],[2022 Market share (%)]])*10000</f>
        <v>108.02757081758079</v>
      </c>
      <c r="T219" s="10">
        <v>0.875</v>
      </c>
      <c r="U219" s="5">
        <v>75</v>
      </c>
      <c r="V219" s="5">
        <f t="shared" si="24"/>
        <v>2000</v>
      </c>
      <c r="W219" s="10">
        <v>0.25</v>
      </c>
      <c r="X219" s="10">
        <f t="shared" si="25"/>
        <v>0.34599598600043824</v>
      </c>
      <c r="Y219" s="8">
        <f>(Table1[[#This Row],[2023 Market share (%)]]-Table1[[#This Row],[2019 Market share (%)]])*10000</f>
        <v>160.54962632853969</v>
      </c>
      <c r="Z219" s="10">
        <f t="shared" si="26"/>
        <v>0.13559729157436329</v>
      </c>
      <c r="AA219" s="10">
        <f t="shared" si="27"/>
        <v>0.18527579802025018</v>
      </c>
      <c r="AB219" s="5">
        <v>80000</v>
      </c>
      <c r="AC219" s="6">
        <f>Table1[[#This Row],[2022 U.S. Sales ($000)]]/SUMIF($E:$E, E219, $AB:$AB)</f>
        <v>1.8058315718951209E-2</v>
      </c>
      <c r="AD219" s="5">
        <v>60</v>
      </c>
      <c r="AE219" s="5">
        <f t="shared" si="28"/>
        <v>1333.3333333333333</v>
      </c>
      <c r="AF219" s="5">
        <v>49200</v>
      </c>
      <c r="AG219" s="6">
        <f>Table1[[#This Row],[2021 U.S. Sales ($000)]]/SUMIF($E:$E, E219, $AF:$AF)</f>
        <v>1.3040546557931833E-2</v>
      </c>
      <c r="AH219" s="5">
        <v>48</v>
      </c>
      <c r="AI219" s="12">
        <f t="shared" si="29"/>
        <v>1025</v>
      </c>
      <c r="AJ219" s="5">
        <v>38800</v>
      </c>
      <c r="AK219" s="6">
        <f>Table1[[#This Row],[2020 U.S. Sales ($000)]]/SUMIF($E:$E, E219, $AJ:$AJ)</f>
        <v>1.2661656392667987E-2</v>
      </c>
      <c r="AL219" s="5">
        <v>42</v>
      </c>
      <c r="AM219" s="5">
        <f t="shared" si="30"/>
        <v>923.80952380952385</v>
      </c>
      <c r="AN219" s="5">
        <v>45700</v>
      </c>
      <c r="AO219" s="6">
        <f>Table1[[#This Row],[2019 U.S. Sales ($000)]]/SUMIF($E:$E, E219, $AN:$AN)</f>
        <v>1.2806110167855319E-2</v>
      </c>
      <c r="AP219" s="5">
        <v>38</v>
      </c>
      <c r="AQ219" s="5">
        <f t="shared" si="31"/>
        <v>1202.6315789473683</v>
      </c>
    </row>
    <row r="220" spans="1:43" x14ac:dyDescent="0.25">
      <c r="A220" t="s">
        <v>285</v>
      </c>
      <c r="B220">
        <v>7718</v>
      </c>
      <c r="C220" t="s">
        <v>44</v>
      </c>
      <c r="D220" t="s">
        <v>56</v>
      </c>
      <c r="E220" t="s">
        <v>46</v>
      </c>
      <c r="F220" s="5">
        <v>228</v>
      </c>
      <c r="G220" s="5">
        <v>181000</v>
      </c>
      <c r="H220" s="6">
        <f>Table1[[#This Row],[2024 U.S. Sales ($000)]]/SUMIF($E:$E, E220, $G:$G)</f>
        <v>1.6416091953043049E-3</v>
      </c>
      <c r="I220" s="5">
        <v>145</v>
      </c>
      <c r="J220" s="7">
        <f>Table1[[#This Row],[2024 U.S. Sales ($000)]]/Table1[[#This Row],[2024 U.S. Units]]</f>
        <v>1248.2758620689656</v>
      </c>
      <c r="K220" s="6">
        <f>Table1[[#This Row],[2024 U.S. Units]]/Table1[[#This Row],[2023 U.S. Units]]-1</f>
        <v>5.8394160583941535E-2</v>
      </c>
      <c r="L220" s="8">
        <f>(Table1[[#This Row],[2024 Market share (%)]]-Table1[[#This Row],[2023 Market share (%)]])*10000</f>
        <v>0.87944166635348919</v>
      </c>
      <c r="M220" s="6">
        <f>_xlfn.RRI(5,Table1[[#This Row],[2019 U.S. Sales ($000)]],Table1[[#This Row],[2024 U.S. Sales ($000)]])</f>
        <v>4.9435607280083671E-2</v>
      </c>
      <c r="N220" s="9">
        <f>(Table1[[#This Row],[2024 Market share (%)]]-Table1[[#This Row],[2019 Market share (%)]])*10000</f>
        <v>-2.1616242033013332E-2</v>
      </c>
      <c r="O220" s="6">
        <f>IF(Table1[[#This Row],[2024 AUV]]=0,"",_xlfn.RRI(5,Table1[[#This Row],[2019 AUV]],Table1[[#This Row],[2024 AUV]]))</f>
        <v>2.5180028949726152E-2</v>
      </c>
      <c r="P220" s="6">
        <f>_xlfn.RRI(5,Table1[[#This Row],[2019 U.S. Units]],Table1[[#This Row],[2024 U.S. Units]])</f>
        <v>2.3659823294847948E-2</v>
      </c>
      <c r="Q220" s="5">
        <v>170100</v>
      </c>
      <c r="R220" s="6">
        <f>Table1[[#This Row],[2023 U.S. Sales ($000)]]/SUMIF($E:$E, E220, $Q:$Q)</f>
        <v>1.553665028668956E-3</v>
      </c>
      <c r="S220" s="8">
        <f>(Table1[[#This Row],[2023 Market share (%)]]-Table1[[#This Row],[2022 Market share (%)]])*10000</f>
        <v>3.3171889475174313E-2</v>
      </c>
      <c r="T220" s="10">
        <v>7.3863636363636367E-2</v>
      </c>
      <c r="U220" s="5">
        <v>137</v>
      </c>
      <c r="V220" s="5">
        <f t="shared" si="24"/>
        <v>1241.6058394160584</v>
      </c>
      <c r="W220" s="10">
        <v>2.2388059701492536E-2</v>
      </c>
      <c r="X220" s="10">
        <f t="shared" si="25"/>
        <v>4.5806120809508855E-2</v>
      </c>
      <c r="Y220" s="8">
        <f>(Table1[[#This Row],[2023 Market share (%)]]-Table1[[#This Row],[2019 Market share (%)]])*10000</f>
        <v>-0.90105790838650257</v>
      </c>
      <c r="Z220" s="10">
        <f t="shared" si="26"/>
        <v>3.0192692809287713E-2</v>
      </c>
      <c r="AA220" s="10">
        <f t="shared" si="27"/>
        <v>1.515583260219433E-2</v>
      </c>
      <c r="AB220" s="5">
        <v>158400</v>
      </c>
      <c r="AC220" s="6">
        <f>Table1[[#This Row],[2022 U.S. Sales ($000)]]/SUMIF($E:$E, E220, $AB:$AB)</f>
        <v>1.5503478397214385E-3</v>
      </c>
      <c r="AD220" s="5">
        <v>134</v>
      </c>
      <c r="AE220" s="5">
        <f t="shared" si="28"/>
        <v>1182.0895522388059</v>
      </c>
      <c r="AF220" s="5">
        <v>145700</v>
      </c>
      <c r="AG220" s="6">
        <f>Table1[[#This Row],[2021 U.S. Sales ($000)]]/SUMIF($E:$E, E220, $AF:$AF)</f>
        <v>1.4975359623445662E-3</v>
      </c>
      <c r="AH220" s="5">
        <v>130</v>
      </c>
      <c r="AI220" s="12">
        <f t="shared" si="29"/>
        <v>1120.7692307692307</v>
      </c>
      <c r="AJ220" s="5">
        <v>127100</v>
      </c>
      <c r="AK220" s="6">
        <f>Table1[[#This Row],[2020 U.S. Sales ($000)]]/SUMIF($E:$E, E220, $AJ:$AJ)</f>
        <v>1.4545104156277818E-3</v>
      </c>
      <c r="AL220" s="5">
        <v>129</v>
      </c>
      <c r="AM220" s="5">
        <f t="shared" si="30"/>
        <v>985.27131782945742</v>
      </c>
      <c r="AN220" s="5">
        <v>142200</v>
      </c>
      <c r="AO220" s="6">
        <f>Table1[[#This Row],[2019 U.S. Sales ($000)]]/SUMIF($E:$E, E220, $AN:$AN)</f>
        <v>1.6437708195076062E-3</v>
      </c>
      <c r="AP220" s="5">
        <v>129</v>
      </c>
      <c r="AQ220" s="5">
        <f t="shared" si="31"/>
        <v>1102.3255813953488</v>
      </c>
    </row>
    <row r="221" spans="1:43" x14ac:dyDescent="0.25">
      <c r="A221" t="s">
        <v>286</v>
      </c>
      <c r="B221">
        <v>6511</v>
      </c>
      <c r="C221" t="s">
        <v>68</v>
      </c>
      <c r="D221" t="s">
        <v>69</v>
      </c>
      <c r="E221" t="s">
        <v>79</v>
      </c>
      <c r="F221" s="5">
        <v>219</v>
      </c>
      <c r="G221" s="5">
        <v>180000</v>
      </c>
      <c r="H221" s="6">
        <f>Table1[[#This Row],[2024 U.S. Sales ($000)]]/SUMIF($E:$E, E221, $G:$G)</f>
        <v>8.6534301235517523E-3</v>
      </c>
      <c r="I221" s="5">
        <v>30</v>
      </c>
      <c r="J221" s="5">
        <f>Table1[[#This Row],[2024 U.S. Sales ($000)]]/Table1[[#This Row],[2024 U.S. Units]]</f>
        <v>6000</v>
      </c>
      <c r="K221" s="6">
        <f>Table1[[#This Row],[2024 U.S. Units]]/Table1[[#This Row],[2023 U.S. Units]]-1</f>
        <v>0</v>
      </c>
      <c r="L221" s="8">
        <f>(Table1[[#This Row],[2024 Market share (%)]]-Table1[[#This Row],[2023 Market share (%)]])*10000</f>
        <v>11.086650007955216</v>
      </c>
      <c r="M221" s="6">
        <f>_xlfn.RRI(5,Table1[[#This Row],[2019 U.S. Sales ($000)]],Table1[[#This Row],[2024 U.S. Sales ($000)]])</f>
        <v>6.5177699888493645E-2</v>
      </c>
      <c r="N221" s="9">
        <f>(Table1[[#This Row],[2024 Market share (%)]]-Table1[[#This Row],[2019 Market share (%)]])*10000</f>
        <v>29.053121462426066</v>
      </c>
      <c r="O221" s="6">
        <f>IF(Table1[[#This Row],[2024 AUV]]=0,"",_xlfn.RRI(5,Table1[[#This Row],[2019 AUV]],Table1[[#This Row],[2024 AUV]]))</f>
        <v>7.2186052646609156E-2</v>
      </c>
      <c r="P221" s="6">
        <f>_xlfn.RRI(5,Table1[[#This Row],[2019 U.S. Units]],Table1[[#This Row],[2024 U.S. Units]])</f>
        <v>-6.5365080443043899E-3</v>
      </c>
      <c r="Q221" s="5">
        <v>182000</v>
      </c>
      <c r="R221" s="6">
        <f>Table1[[#This Row],[2023 U.S. Sales ($000)]]/SUMIF($E:$E, E221, $Q:$Q)</f>
        <v>7.5447651227562307E-3</v>
      </c>
      <c r="S221" s="8">
        <f>(Table1[[#This Row],[2023 Market share (%)]]-Table1[[#This Row],[2022 Market share (%)]])*10000</f>
        <v>-3.2194842668833816</v>
      </c>
      <c r="T221" s="10">
        <v>-1.6216216216216217E-2</v>
      </c>
      <c r="U221" s="5">
        <v>30</v>
      </c>
      <c r="V221" s="5">
        <f t="shared" si="24"/>
        <v>6066.666666666667</v>
      </c>
      <c r="W221" s="10">
        <v>-3.2258064516129031E-2</v>
      </c>
      <c r="X221" s="10">
        <f t="shared" si="25"/>
        <v>8.5118837391320978E-2</v>
      </c>
      <c r="Y221" s="8">
        <f>(Table1[[#This Row],[2023 Market share (%)]]-Table1[[#This Row],[2019 Market share (%)]])*10000</f>
        <v>17.966471454470852</v>
      </c>
      <c r="Z221" s="10">
        <f t="shared" si="26"/>
        <v>9.4050609884412273E-2</v>
      </c>
      <c r="AA221" s="10">
        <f t="shared" si="27"/>
        <v>-8.1639481870355857E-3</v>
      </c>
      <c r="AB221" s="5">
        <v>185000</v>
      </c>
      <c r="AC221" s="6">
        <f>Table1[[#This Row],[2022 U.S. Sales ($000)]]/SUMIF($E:$E, E221, $AB:$AB)</f>
        <v>7.8667135494445688E-3</v>
      </c>
      <c r="AD221" s="5">
        <v>31</v>
      </c>
      <c r="AE221" s="5">
        <f t="shared" si="28"/>
        <v>5967.7419354838712</v>
      </c>
      <c r="AF221" s="5">
        <v>158100</v>
      </c>
      <c r="AG221" s="6">
        <f>Table1[[#This Row],[2021 U.S. Sales ($000)]]/SUMIF($E:$E, E221, $AF:$AF)</f>
        <v>7.2789703364693681E-3</v>
      </c>
      <c r="AH221" s="5">
        <v>31</v>
      </c>
      <c r="AI221" s="12">
        <f t="shared" si="29"/>
        <v>5100</v>
      </c>
      <c r="AJ221" s="5">
        <v>102300</v>
      </c>
      <c r="AK221" s="6">
        <f>Table1[[#This Row],[2020 U.S. Sales ($000)]]/SUMIF($E:$E, E221, $AJ:$AJ)</f>
        <v>6.2736499893262096E-3</v>
      </c>
      <c r="AL221" s="5">
        <v>31</v>
      </c>
      <c r="AM221" s="5">
        <f t="shared" si="30"/>
        <v>3300</v>
      </c>
      <c r="AN221" s="5">
        <v>131269</v>
      </c>
      <c r="AO221" s="6">
        <f>Table1[[#This Row],[2019 U.S. Sales ($000)]]/SUMIF($E:$E, E221, $AN:$AN)</f>
        <v>5.7481179773091456E-3</v>
      </c>
      <c r="AP221" s="5">
        <v>31</v>
      </c>
      <c r="AQ221" s="5">
        <f t="shared" si="31"/>
        <v>4234.4838709677415</v>
      </c>
    </row>
    <row r="222" spans="1:43" x14ac:dyDescent="0.25">
      <c r="A222" t="s">
        <v>287</v>
      </c>
      <c r="B222">
        <v>9529</v>
      </c>
      <c r="C222" t="s">
        <v>44</v>
      </c>
      <c r="D222" t="s">
        <v>56</v>
      </c>
      <c r="E222" t="s">
        <v>128</v>
      </c>
      <c r="F222" s="5">
        <v>232</v>
      </c>
      <c r="G222" s="5">
        <v>180000</v>
      </c>
      <c r="H222" s="6">
        <f>Table1[[#This Row],[2024 U.S. Sales ($000)]]/SUMIF($E:$E, E222, $G:$G)</f>
        <v>4.1114664230242119E-2</v>
      </c>
      <c r="I222" s="5">
        <v>102</v>
      </c>
      <c r="J222" s="5">
        <f>Table1[[#This Row],[2024 U.S. Sales ($000)]]/Table1[[#This Row],[2024 U.S. Units]]</f>
        <v>1764.7058823529412</v>
      </c>
      <c r="K222" s="6">
        <f>Table1[[#This Row],[2024 U.S. Units]]/Table1[[#This Row],[2023 U.S. Units]]-1</f>
        <v>9.6774193548387011E-2</v>
      </c>
      <c r="L222" s="8">
        <f>(Table1[[#This Row],[2024 Market share (%)]]-Table1[[#This Row],[2023 Market share (%)]])*10000</f>
        <v>86.911730101652822</v>
      </c>
      <c r="M222" s="6">
        <f>_xlfn.RRI(5,Table1[[#This Row],[2019 U.S. Sales ($000)]],Table1[[#This Row],[2024 U.S. Sales ($000)]])</f>
        <v>3.7260406794932921E-2</v>
      </c>
      <c r="N222" s="9">
        <f>(Table1[[#This Row],[2024 Market share (%)]]-Table1[[#This Row],[2019 Market share (%)]])*10000</f>
        <v>-8.9358043875916593</v>
      </c>
      <c r="O222" s="6">
        <f>IF(Table1[[#This Row],[2024 AUV]]=0,"",_xlfn.RRI(5,Table1[[#This Row],[2019 AUV]],Table1[[#This Row],[2024 AUV]]))</f>
        <v>1.3855461277936021E-2</v>
      </c>
      <c r="P222" s="6">
        <f>_xlfn.RRI(5,Table1[[#This Row],[2019 U.S. Units]],Table1[[#This Row],[2024 U.S. Units]])</f>
        <v>2.3085090933470553E-2</v>
      </c>
      <c r="Q222" s="5">
        <v>168515</v>
      </c>
      <c r="R222" s="6">
        <f>Table1[[#This Row],[2023 U.S. Sales ($000)]]/SUMIF($E:$E, E222, $Q:$Q)</f>
        <v>3.2423491220076837E-2</v>
      </c>
      <c r="S222" s="8">
        <f>(Table1[[#This Row],[2023 Market share (%)]]-Table1[[#This Row],[2022 Market share (%)]])*10000</f>
        <v>-13.947680846960672</v>
      </c>
      <c r="T222" s="10">
        <v>0.12479808834719459</v>
      </c>
      <c r="U222" s="5">
        <v>93</v>
      </c>
      <c r="V222" s="5">
        <f t="shared" si="24"/>
        <v>1811.989247311828</v>
      </c>
      <c r="W222" s="10">
        <v>6.8965517241379309E-2</v>
      </c>
      <c r="X222" s="10">
        <f t="shared" si="25"/>
        <v>2.9677602005452108E-2</v>
      </c>
      <c r="Y222" s="8">
        <f>(Table1[[#This Row],[2023 Market share (%)]]-Table1[[#This Row],[2019 Market share (%)]])*10000</f>
        <v>-95.847534489244481</v>
      </c>
      <c r="Z222" s="10">
        <f t="shared" si="26"/>
        <v>2.4096488084815126E-2</v>
      </c>
      <c r="AA222" s="10">
        <f t="shared" si="27"/>
        <v>5.449793047405338E-3</v>
      </c>
      <c r="AB222" s="5">
        <v>149818</v>
      </c>
      <c r="AC222" s="6">
        <f>Table1[[#This Row],[2022 U.S. Sales ($000)]]/SUMIF($E:$E, E222, $AB:$AB)</f>
        <v>3.3818259304772905E-2</v>
      </c>
      <c r="AD222" s="5">
        <v>87</v>
      </c>
      <c r="AE222" s="5">
        <f t="shared" si="28"/>
        <v>1722.0459770114942</v>
      </c>
      <c r="AF222" s="5">
        <v>133364</v>
      </c>
      <c r="AG222" s="6">
        <f>Table1[[#This Row],[2021 U.S. Sales ($000)]]/SUMIF($E:$E, E222, $AF:$AF)</f>
        <v>3.5348362828293109E-2</v>
      </c>
      <c r="AH222" s="5">
        <v>90</v>
      </c>
      <c r="AI222" s="12">
        <f t="shared" si="29"/>
        <v>1481.8222222222223</v>
      </c>
      <c r="AJ222" s="5">
        <v>105584</v>
      </c>
      <c r="AK222" s="6">
        <f>Table1[[#This Row],[2020 U.S. Sales ($000)]]/SUMIF($E:$E, E222, $AJ:$AJ)</f>
        <v>3.4455369292872594E-2</v>
      </c>
      <c r="AL222" s="5">
        <v>93</v>
      </c>
      <c r="AM222" s="5">
        <f t="shared" si="30"/>
        <v>1135.3118279569892</v>
      </c>
      <c r="AN222" s="5">
        <v>149911</v>
      </c>
      <c r="AO222" s="6">
        <f>Table1[[#This Row],[2019 U.S. Sales ($000)]]/SUMIF($E:$E, E222, $AN:$AN)</f>
        <v>4.2008244669001285E-2</v>
      </c>
      <c r="AP222" s="5">
        <v>91</v>
      </c>
      <c r="AQ222" s="5">
        <f t="shared" si="31"/>
        <v>1647.3736263736264</v>
      </c>
    </row>
    <row r="223" spans="1:43" x14ac:dyDescent="0.25">
      <c r="A223" t="s">
        <v>288</v>
      </c>
      <c r="B223">
        <v>868</v>
      </c>
      <c r="C223" t="s">
        <v>44</v>
      </c>
      <c r="D223" t="s">
        <v>56</v>
      </c>
      <c r="E223" t="s">
        <v>59</v>
      </c>
      <c r="F223" s="5">
        <v>226</v>
      </c>
      <c r="G223" s="5">
        <v>180000</v>
      </c>
      <c r="H223" s="6">
        <f>Table1[[#This Row],[2024 U.S. Sales ($000)]]/SUMIF($E:$E, E223, $G:$G)</f>
        <v>5.1541963748818831E-3</v>
      </c>
      <c r="I223" s="5">
        <v>179</v>
      </c>
      <c r="J223" s="5">
        <f>Table1[[#This Row],[2024 U.S. Sales ($000)]]/Table1[[#This Row],[2024 U.S. Units]]</f>
        <v>1005.586592178771</v>
      </c>
      <c r="K223" s="6">
        <f>Table1[[#This Row],[2024 U.S. Units]]/Table1[[#This Row],[2023 U.S. Units]]-1</f>
        <v>-1.6483516483516536E-2</v>
      </c>
      <c r="L223" s="8">
        <f>(Table1[[#This Row],[2024 Market share (%)]]-Table1[[#This Row],[2023 Market share (%)]])*10000</f>
        <v>5.4483169200882084</v>
      </c>
      <c r="M223" s="6">
        <f>_xlfn.RRI(5,Table1[[#This Row],[2019 U.S. Sales ($000)]],Table1[[#This Row],[2024 U.S. Sales ($000)]])</f>
        <v>2.7850407276083899E-2</v>
      </c>
      <c r="N223" s="9">
        <f>(Table1[[#This Row],[2024 Market share (%)]]-Table1[[#This Row],[2019 Market share (%)]])*10000</f>
        <v>3.5087714353051762</v>
      </c>
      <c r="O223" s="6">
        <f>IF(Table1[[#This Row],[2024 AUV]]=0,"",_xlfn.RRI(5,Table1[[#This Row],[2019 AUV]],Table1[[#This Row],[2024 AUV]]))</f>
        <v>5.9185369161463885E-2</v>
      </c>
      <c r="P223" s="6">
        <f>_xlfn.RRI(5,Table1[[#This Row],[2019 U.S. Units]],Table1[[#This Row],[2024 U.S. Units]])</f>
        <v>-2.9584020699027547E-2</v>
      </c>
      <c r="Q223" s="5">
        <v>174100</v>
      </c>
      <c r="R223" s="6">
        <f>Table1[[#This Row],[2023 U.S. Sales ($000)]]/SUMIF($E:$E, E223, $Q:$Q)</f>
        <v>4.6093646828730623E-3</v>
      </c>
      <c r="S223" s="8">
        <f>(Table1[[#This Row],[2023 Market share (%)]]-Table1[[#This Row],[2022 Market share (%)]])*10000</f>
        <v>-0.61030411166318121</v>
      </c>
      <c r="T223" s="10">
        <v>4.1816266934750344E-2</v>
      </c>
      <c r="U223" s="5">
        <v>182</v>
      </c>
      <c r="V223" s="5">
        <f t="shared" si="24"/>
        <v>956.5934065934066</v>
      </c>
      <c r="W223" s="10">
        <v>-3.1914893617021274E-2</v>
      </c>
      <c r="X223" s="10">
        <f t="shared" si="25"/>
        <v>2.6346384768278996E-2</v>
      </c>
      <c r="Y223" s="8">
        <f>(Table1[[#This Row],[2023 Market share (%)]]-Table1[[#This Row],[2019 Market share (%)]])*10000</f>
        <v>-1.9395454847830322</v>
      </c>
      <c r="Z223" s="10">
        <f t="shared" si="26"/>
        <v>6.1187055172393645E-2</v>
      </c>
      <c r="AA223" s="10">
        <f t="shared" si="27"/>
        <v>-3.2831789866165306E-2</v>
      </c>
      <c r="AB223" s="5">
        <v>167112</v>
      </c>
      <c r="AC223" s="6">
        <f>Table1[[#This Row],[2022 U.S. Sales ($000)]]/SUMIF($E:$E, E223, $AB:$AB)</f>
        <v>4.6703950940393804E-3</v>
      </c>
      <c r="AD223" s="5">
        <v>188</v>
      </c>
      <c r="AE223" s="5">
        <f t="shared" si="28"/>
        <v>888.89361702127655</v>
      </c>
      <c r="AF223" s="5">
        <v>147100</v>
      </c>
      <c r="AG223" s="6">
        <f>Table1[[#This Row],[2021 U.S. Sales ($000)]]/SUMIF($E:$E, E223, $AF:$AF)</f>
        <v>4.4336402802880471E-3</v>
      </c>
      <c r="AH223" s="5">
        <v>189</v>
      </c>
      <c r="AI223" s="12">
        <f t="shared" si="29"/>
        <v>778.30687830687827</v>
      </c>
      <c r="AJ223" s="5">
        <v>130600</v>
      </c>
      <c r="AK223" s="6">
        <f>Table1[[#This Row],[2020 U.S. Sales ($000)]]/SUMIF($E:$E, E223, $AJ:$AJ)</f>
        <v>4.5857617505053469E-3</v>
      </c>
      <c r="AL223" s="5">
        <v>197</v>
      </c>
      <c r="AM223" s="5">
        <f t="shared" si="30"/>
        <v>662.94416243654825</v>
      </c>
      <c r="AN223" s="5">
        <v>156900</v>
      </c>
      <c r="AO223" s="6">
        <f>Table1[[#This Row],[2019 U.S. Sales ($000)]]/SUMIF($E:$E, E223, $AN:$AN)</f>
        <v>4.8033192313513655E-3</v>
      </c>
      <c r="AP223" s="5">
        <v>208</v>
      </c>
      <c r="AQ223" s="5">
        <f t="shared" si="31"/>
        <v>754.32692307692309</v>
      </c>
    </row>
    <row r="224" spans="1:43" x14ac:dyDescent="0.25">
      <c r="A224" t="s">
        <v>289</v>
      </c>
      <c r="B224">
        <v>611</v>
      </c>
      <c r="C224" t="s">
        <v>68</v>
      </c>
      <c r="D224" t="s">
        <v>69</v>
      </c>
      <c r="E224" t="s">
        <v>79</v>
      </c>
      <c r="F224" s="5">
        <v>215</v>
      </c>
      <c r="G224" s="5">
        <v>180000</v>
      </c>
      <c r="H224" s="6">
        <f>Table1[[#This Row],[2024 U.S. Sales ($000)]]/SUMIF($E:$E, E224, $G:$G)</f>
        <v>8.6534301235517523E-3</v>
      </c>
      <c r="I224" s="5">
        <v>89</v>
      </c>
      <c r="J224" s="5">
        <f>Table1[[#This Row],[2024 U.S. Sales ($000)]]/Table1[[#This Row],[2024 U.S. Units]]</f>
        <v>2022.4719101123596</v>
      </c>
      <c r="K224" s="6">
        <f>Table1[[#This Row],[2024 U.S. Units]]/Table1[[#This Row],[2023 U.S. Units]]-1</f>
        <v>1.1363636363636465E-2</v>
      </c>
      <c r="L224" s="8">
        <f>(Table1[[#This Row],[2024 Market share (%)]]-Table1[[#This Row],[2023 Market share (%)]])*10000</f>
        <v>10.133190679255259</v>
      </c>
      <c r="M224" s="6">
        <f>_xlfn.RRI(5,Table1[[#This Row],[2019 U.S. Sales ($000)]],Table1[[#This Row],[2024 U.S. Sales ($000)]])</f>
        <v>-2.0361327747543623E-2</v>
      </c>
      <c r="N224" s="9">
        <f>(Table1[[#This Row],[2024 Market share (%)]]-Table1[[#This Row],[2019 Market share (%)]])*10000</f>
        <v>-0.82444580096287945</v>
      </c>
      <c r="O224" s="6">
        <f>IF(Table1[[#This Row],[2024 AUV]]=0,"",_xlfn.RRI(5,Table1[[#This Row],[2019 AUV]],Table1[[#This Row],[2024 AUV]]))</f>
        <v>2.7390304715861902E-3</v>
      </c>
      <c r="P224" s="6">
        <f>_xlfn.RRI(5,Table1[[#This Row],[2019 U.S. Units]],Table1[[#This Row],[2024 U.S. Units]])</f>
        <v>-2.3037258466208965E-2</v>
      </c>
      <c r="Q224" s="5">
        <v>184300</v>
      </c>
      <c r="R224" s="6">
        <f>Table1[[#This Row],[2023 U.S. Sales ($000)]]/SUMIF($E:$E, E224, $Q:$Q)</f>
        <v>7.6401110556262265E-3</v>
      </c>
      <c r="S224" s="8">
        <f>(Table1[[#This Row],[2023 Market share (%)]]-Table1[[#This Row],[2022 Market share (%)]])*10000</f>
        <v>-5.0300053744747624</v>
      </c>
      <c r="T224" s="10">
        <v>-3.759791122715405E-2</v>
      </c>
      <c r="U224" s="5">
        <v>88</v>
      </c>
      <c r="V224" s="5">
        <f t="shared" si="24"/>
        <v>2094.318181818182</v>
      </c>
      <c r="W224" s="10">
        <v>-6.3829787234042548E-2</v>
      </c>
      <c r="X224" s="10">
        <f t="shared" si="25"/>
        <v>-1.961736820603821E-2</v>
      </c>
      <c r="Y224" s="8">
        <f>(Table1[[#This Row],[2023 Market share (%)]]-Table1[[#This Row],[2019 Market share (%)]])*10000</f>
        <v>-10.957636480218138</v>
      </c>
      <c r="Z224" s="10">
        <f t="shared" si="26"/>
        <v>1.2220062170938961E-2</v>
      </c>
      <c r="AA224" s="10">
        <f t="shared" si="27"/>
        <v>-3.145307188309876E-2</v>
      </c>
      <c r="AB224" s="5">
        <v>191500</v>
      </c>
      <c r="AC224" s="6">
        <f>Table1[[#This Row],[2022 U.S. Sales ($000)]]/SUMIF($E:$E, E224, $AB:$AB)</f>
        <v>8.1431115930737027E-3</v>
      </c>
      <c r="AD224" s="5">
        <v>94</v>
      </c>
      <c r="AE224" s="5">
        <f t="shared" si="28"/>
        <v>2037.2340425531916</v>
      </c>
      <c r="AF224" s="5">
        <v>183300</v>
      </c>
      <c r="AG224" s="6">
        <f>Table1[[#This Row],[2021 U.S. Sales ($000)]]/SUMIF($E:$E, E224, $AF:$AF)</f>
        <v>8.4391857221684709E-3</v>
      </c>
      <c r="AH224" s="5">
        <v>97</v>
      </c>
      <c r="AI224" s="12">
        <f t="shared" si="29"/>
        <v>1889.6907216494844</v>
      </c>
      <c r="AJ224" s="5">
        <v>148500</v>
      </c>
      <c r="AK224" s="6">
        <f>Table1[[#This Row],[2020 U.S. Sales ($000)]]/SUMIF($E:$E, E224, $AJ:$AJ)</f>
        <v>9.1069112748283689E-3</v>
      </c>
      <c r="AL224" s="5">
        <v>98</v>
      </c>
      <c r="AM224" s="5">
        <f t="shared" si="30"/>
        <v>1515.3061224489795</v>
      </c>
      <c r="AN224" s="5">
        <v>199500</v>
      </c>
      <c r="AO224" s="6">
        <f>Table1[[#This Row],[2019 U.S. Sales ($000)]]/SUMIF($E:$E, E224, $AN:$AN)</f>
        <v>8.7358747036480403E-3</v>
      </c>
      <c r="AP224" s="5">
        <v>100</v>
      </c>
      <c r="AQ224" s="5">
        <f t="shared" si="31"/>
        <v>1995</v>
      </c>
    </row>
    <row r="225" spans="1:43" x14ac:dyDescent="0.25">
      <c r="A225" t="s">
        <v>290</v>
      </c>
      <c r="B225">
        <v>6600</v>
      </c>
      <c r="C225" t="s">
        <v>44</v>
      </c>
      <c r="D225" t="s">
        <v>56</v>
      </c>
      <c r="E225" t="s">
        <v>128</v>
      </c>
      <c r="F225" s="5">
        <v>238</v>
      </c>
      <c r="G225" s="5">
        <v>177000</v>
      </c>
      <c r="H225" s="6">
        <f>Table1[[#This Row],[2024 U.S. Sales ($000)]]/SUMIF($E:$E, E225, $G:$G)</f>
        <v>4.0429419826404751E-2</v>
      </c>
      <c r="I225" s="5">
        <v>94</v>
      </c>
      <c r="J225" s="5">
        <f>Table1[[#This Row],[2024 U.S. Sales ($000)]]/Table1[[#This Row],[2024 U.S. Units]]</f>
        <v>1882.9787234042553</v>
      </c>
      <c r="K225" s="6">
        <f>Table1[[#This Row],[2024 U.S. Units]]/Table1[[#This Row],[2023 U.S. Units]]-1</f>
        <v>6.8181818181818121E-2</v>
      </c>
      <c r="L225" s="8">
        <f>(Table1[[#This Row],[2024 Market share (%)]]-Table1[[#This Row],[2023 Market share (%)]])*10000</f>
        <v>97.212383664500678</v>
      </c>
      <c r="M225" s="6">
        <f>_xlfn.RRI(5,Table1[[#This Row],[2019 U.S. Sales ($000)]],Table1[[#This Row],[2024 U.S. Sales ($000)]])</f>
        <v>9.7224813214065842E-2</v>
      </c>
      <c r="N225" s="9">
        <f>(Table1[[#This Row],[2024 Market share (%)]]-Table1[[#This Row],[2019 Market share (%)]])*10000</f>
        <v>92.407970324814045</v>
      </c>
      <c r="O225" s="6">
        <f>IF(Table1[[#This Row],[2024 AUV]]=0,"",_xlfn.RRI(5,Table1[[#This Row],[2019 AUV]],Table1[[#This Row],[2024 AUV]]))</f>
        <v>1.918429073061656E-2</v>
      </c>
      <c r="P225" s="6">
        <f>_xlfn.RRI(5,Table1[[#This Row],[2019 U.S. Units]],Table1[[#This Row],[2024 U.S. Units]])</f>
        <v>7.6571551576315011E-2</v>
      </c>
      <c r="Q225" s="5">
        <v>159600</v>
      </c>
      <c r="R225" s="6">
        <f>Table1[[#This Row],[2023 U.S. Sales ($000)]]/SUMIF($E:$E, E225, $Q:$Q)</f>
        <v>3.0708181459954683E-2</v>
      </c>
      <c r="S225" s="8">
        <f>(Table1[[#This Row],[2023 Market share (%)]]-Table1[[#This Row],[2022 Market share (%)]])*10000</f>
        <v>-7.3586078566910755</v>
      </c>
      <c r="T225" s="10">
        <v>0.14572864321608039</v>
      </c>
      <c r="U225" s="5">
        <v>88</v>
      </c>
      <c r="V225" s="5">
        <f t="shared" si="24"/>
        <v>1813.6363636363637</v>
      </c>
      <c r="W225" s="10">
        <v>0.1</v>
      </c>
      <c r="X225" s="10">
        <f t="shared" si="25"/>
        <v>9.4295039813387493E-2</v>
      </c>
      <c r="Y225" s="8">
        <f>(Table1[[#This Row],[2023 Market share (%)]]-Table1[[#This Row],[2019 Market share (%)]])*10000</f>
        <v>-4.8044133396866338</v>
      </c>
      <c r="Z225" s="10">
        <f t="shared" si="26"/>
        <v>1.4476758329094563E-2</v>
      </c>
      <c r="AA225" s="10">
        <f t="shared" si="27"/>
        <v>7.8679260839606302E-2</v>
      </c>
      <c r="AB225" s="5">
        <v>139300</v>
      </c>
      <c r="AC225" s="6">
        <f>Table1[[#This Row],[2022 U.S. Sales ($000)]]/SUMIF($E:$E, E225, $AB:$AB)</f>
        <v>3.1444042245623791E-2</v>
      </c>
      <c r="AD225" s="5">
        <v>80</v>
      </c>
      <c r="AE225" s="5">
        <f t="shared" si="28"/>
        <v>1741.25</v>
      </c>
      <c r="AF225" s="5">
        <v>118000</v>
      </c>
      <c r="AG225" s="6">
        <f>Table1[[#This Row],[2021 U.S. Sales ($000)]]/SUMIF($E:$E, E225, $AF:$AF)</f>
        <v>3.1276107598291795E-2</v>
      </c>
      <c r="AH225" s="5">
        <v>71</v>
      </c>
      <c r="AI225" s="12">
        <f t="shared" si="29"/>
        <v>1661.9718309859154</v>
      </c>
      <c r="AJ225" s="5">
        <v>91700</v>
      </c>
      <c r="AK225" s="6">
        <f>Table1[[#This Row],[2020 U.S. Sales ($000)]]/SUMIF($E:$E, E225, $AJ:$AJ)</f>
        <v>2.9924584824939548E-2</v>
      </c>
      <c r="AL225" s="5">
        <v>67</v>
      </c>
      <c r="AM225" s="5">
        <f t="shared" si="30"/>
        <v>1368.6567164179105</v>
      </c>
      <c r="AN225" s="5">
        <v>111300</v>
      </c>
      <c r="AO225" s="6">
        <f>Table1[[#This Row],[2019 U.S. Sales ($000)]]/SUMIF($E:$E, E225, $AN:$AN)</f>
        <v>3.1188622793923346E-2</v>
      </c>
      <c r="AP225" s="5">
        <v>65</v>
      </c>
      <c r="AQ225" s="5">
        <f t="shared" si="31"/>
        <v>1712.3076923076924</v>
      </c>
    </row>
    <row r="226" spans="1:43" x14ac:dyDescent="0.25">
      <c r="A226" t="s">
        <v>291</v>
      </c>
      <c r="B226">
        <v>33378</v>
      </c>
      <c r="C226" t="s">
        <v>68</v>
      </c>
      <c r="D226" t="s">
        <v>69</v>
      </c>
      <c r="E226" t="s">
        <v>52</v>
      </c>
      <c r="F226" s="5">
        <v>251</v>
      </c>
      <c r="G226" s="5">
        <v>176000</v>
      </c>
      <c r="H226" s="6">
        <f>Table1[[#This Row],[2024 U.S. Sales ($000)]]/SUMIF($E:$E, E226, $G:$G)</f>
        <v>5.2275157419508136E-3</v>
      </c>
      <c r="I226" s="5">
        <v>33</v>
      </c>
      <c r="J226" s="5">
        <f>Table1[[#This Row],[2024 U.S. Sales ($000)]]/Table1[[#This Row],[2024 U.S. Units]]</f>
        <v>5333.333333333333</v>
      </c>
      <c r="K226" s="6">
        <f>Table1[[#This Row],[2024 U.S. Units]]/Table1[[#This Row],[2023 U.S. Units]]-1</f>
        <v>0.10000000000000009</v>
      </c>
      <c r="L226" s="8">
        <f>(Table1[[#This Row],[2024 Market share (%)]]-Table1[[#This Row],[2023 Market share (%)]])*10000</f>
        <v>7.3959830367463768</v>
      </c>
      <c r="M226" s="6">
        <f>_xlfn.RRI(5,Table1[[#This Row],[2019 U.S. Sales ($000)]],Table1[[#This Row],[2024 U.S. Sales ($000)]])</f>
        <v>0.12469499528917516</v>
      </c>
      <c r="N226" s="9">
        <f>(Table1[[#This Row],[2024 Market share (%)]]-Table1[[#This Row],[2019 Market share (%)]])*10000</f>
        <v>11.933282718566002</v>
      </c>
      <c r="O226" s="6">
        <f>IF(Table1[[#This Row],[2024 AUV]]=0,"",_xlfn.RRI(5,Table1[[#This Row],[2019 AUV]],Table1[[#This Row],[2024 AUV]]))</f>
        <v>1.7508331000912314E-2</v>
      </c>
      <c r="P226" s="6">
        <f>_xlfn.RRI(5,Table1[[#This Row],[2019 U.S. Units]],Table1[[#This Row],[2024 U.S. Units]])</f>
        <v>0.10534229649286941</v>
      </c>
      <c r="Q226" s="5">
        <v>148500</v>
      </c>
      <c r="R226" s="6">
        <f>Table1[[#This Row],[2023 U.S. Sales ($000)]]/SUMIF($E:$E, E226, $Q:$Q)</f>
        <v>4.4879174382761759E-3</v>
      </c>
      <c r="S226" s="8">
        <f>(Table1[[#This Row],[2023 Market share (%)]]-Table1[[#This Row],[2022 Market share (%)]])*10000</f>
        <v>5.1941152759601898</v>
      </c>
      <c r="T226" s="10">
        <v>0.23544093178036607</v>
      </c>
      <c r="U226" s="5">
        <v>30</v>
      </c>
      <c r="V226" s="5">
        <f t="shared" si="24"/>
        <v>4950</v>
      </c>
      <c r="W226" s="10">
        <v>0.25</v>
      </c>
      <c r="X226" s="10">
        <f t="shared" si="25"/>
        <v>0.11006114045743276</v>
      </c>
      <c r="Y226" s="8">
        <f>(Table1[[#This Row],[2023 Market share (%)]]-Table1[[#This Row],[2019 Market share (%)]])*10000</f>
        <v>4.5372996818196247</v>
      </c>
      <c r="Z226" s="10">
        <f t="shared" si="26"/>
        <v>3.0534706467655326E-3</v>
      </c>
      <c r="AA226" s="10">
        <f t="shared" si="27"/>
        <v>0.1066819197003217</v>
      </c>
      <c r="AB226" s="5">
        <v>120200</v>
      </c>
      <c r="AC226" s="6">
        <f>Table1[[#This Row],[2022 U.S. Sales ($000)]]/SUMIF($E:$E, E226, $AB:$AB)</f>
        <v>3.9685059106801569E-3</v>
      </c>
      <c r="AD226" s="5">
        <v>24</v>
      </c>
      <c r="AE226" s="5">
        <f t="shared" si="28"/>
        <v>5008.333333333333</v>
      </c>
      <c r="AF226" s="5">
        <v>100200</v>
      </c>
      <c r="AG226" s="6">
        <f>Table1[[#This Row],[2021 U.S. Sales ($000)]]/SUMIF($E:$E, E226, $AF:$AF)</f>
        <v>3.6556993739633066E-3</v>
      </c>
      <c r="AH226" s="5">
        <v>22</v>
      </c>
      <c r="AI226" s="12">
        <f t="shared" si="29"/>
        <v>4554.545454545455</v>
      </c>
      <c r="AJ226" s="5">
        <v>69900</v>
      </c>
      <c r="AK226" s="6">
        <f>Table1[[#This Row],[2020 U.S. Sales ($000)]]/SUMIF($E:$E, E226, $AJ:$AJ)</f>
        <v>2.965428323879245E-3</v>
      </c>
      <c r="AL226" s="5">
        <v>20</v>
      </c>
      <c r="AM226" s="5">
        <f t="shared" si="30"/>
        <v>3495</v>
      </c>
      <c r="AN226" s="5">
        <v>97800</v>
      </c>
      <c r="AO226" s="6">
        <f>Table1[[#This Row],[2019 U.S. Sales ($000)]]/SUMIF($E:$E, E226, $AN:$AN)</f>
        <v>4.0341874700942134E-3</v>
      </c>
      <c r="AP226" s="5">
        <v>20</v>
      </c>
      <c r="AQ226" s="5">
        <f t="shared" si="31"/>
        <v>4890</v>
      </c>
    </row>
    <row r="227" spans="1:43" x14ac:dyDescent="0.25">
      <c r="A227" t="s">
        <v>292</v>
      </c>
      <c r="B227">
        <v>893</v>
      </c>
      <c r="C227" t="s">
        <v>68</v>
      </c>
      <c r="D227" t="s">
        <v>69</v>
      </c>
      <c r="E227" t="s">
        <v>107</v>
      </c>
      <c r="F227" s="5">
        <v>239</v>
      </c>
      <c r="G227" s="5">
        <v>175000</v>
      </c>
      <c r="H227" s="6">
        <f>Table1[[#This Row],[2024 U.S. Sales ($000)]]/SUMIF($E:$E, E227, $G:$G)</f>
        <v>5.0057208237986268E-2</v>
      </c>
      <c r="I227" s="5">
        <v>26</v>
      </c>
      <c r="J227" s="5">
        <f>Table1[[#This Row],[2024 U.S. Sales ($000)]]/Table1[[#This Row],[2024 U.S. Units]]</f>
        <v>6730.7692307692305</v>
      </c>
      <c r="K227" s="6">
        <f>Table1[[#This Row],[2024 U.S. Units]]/Table1[[#This Row],[2023 U.S. Units]]-1</f>
        <v>4.0000000000000036E-2</v>
      </c>
      <c r="L227" s="8">
        <f>(Table1[[#This Row],[2024 Market share (%)]]-Table1[[#This Row],[2023 Market share (%)]])*10000</f>
        <v>192.53988533875972</v>
      </c>
      <c r="M227" s="6">
        <f>_xlfn.RRI(5,Table1[[#This Row],[2019 U.S. Sales ($000)]],Table1[[#This Row],[2024 U.S. Sales ($000)]])</f>
        <v>-4.5602803374488854E-2</v>
      </c>
      <c r="N227" s="9">
        <f>(Table1[[#This Row],[2024 Market share (%)]]-Table1[[#This Row],[2019 Market share (%)]])*10000</f>
        <v>70.911420982404039</v>
      </c>
      <c r="O227" s="6">
        <f>IF(Table1[[#This Row],[2024 AUV]]=0,"",_xlfn.RRI(5,Table1[[#This Row],[2019 AUV]],Table1[[#This Row],[2024 AUV]]))</f>
        <v>1.0073662230087876E-3</v>
      </c>
      <c r="P227" s="6">
        <f>_xlfn.RRI(5,Table1[[#This Row],[2019 U.S. Units]],Table1[[#This Row],[2024 U.S. Units]])</f>
        <v>-4.6563263338777139E-2</v>
      </c>
      <c r="Q227" s="5">
        <v>158500</v>
      </c>
      <c r="R227" s="6">
        <f>Table1[[#This Row],[2023 U.S. Sales ($000)]]/SUMIF($E:$E, E227, $Q:$Q)</f>
        <v>3.0803219704110298E-2</v>
      </c>
      <c r="S227" s="8">
        <f>(Table1[[#This Row],[2023 Market share (%)]]-Table1[[#This Row],[2022 Market share (%)]])*10000</f>
        <v>31.334720254010684</v>
      </c>
      <c r="T227" s="10">
        <v>9.6885813148788927E-2</v>
      </c>
      <c r="U227" s="5">
        <v>25</v>
      </c>
      <c r="V227" s="5">
        <f t="shared" si="24"/>
        <v>6340</v>
      </c>
      <c r="W227" s="10">
        <v>4.1666666666666664E-2</v>
      </c>
      <c r="X227" s="10">
        <f t="shared" si="25"/>
        <v>-7.9742748702442912E-2</v>
      </c>
      <c r="Y227" s="8">
        <f>(Table1[[#This Row],[2023 Market share (%)]]-Table1[[#This Row],[2019 Market share (%)]])*10000</f>
        <v>-121.62846435635568</v>
      </c>
      <c r="Z227" s="10">
        <f t="shared" si="26"/>
        <v>-1.3600755353790794E-2</v>
      </c>
      <c r="AA227" s="10">
        <f t="shared" si="27"/>
        <v>-6.7053978100292677E-2</v>
      </c>
      <c r="AB227" s="5">
        <v>144500</v>
      </c>
      <c r="AC227" s="6">
        <f>Table1[[#This Row],[2022 U.S. Sales ($000)]]/SUMIF($E:$E, E227, $AB:$AB)</f>
        <v>2.7669747678709229E-2</v>
      </c>
      <c r="AD227" s="5">
        <v>24</v>
      </c>
      <c r="AE227" s="5">
        <f t="shared" si="28"/>
        <v>6020.833333333333</v>
      </c>
      <c r="AF227" s="5">
        <v>130400</v>
      </c>
      <c r="AG227" s="6">
        <f>Table1[[#This Row],[2021 U.S. Sales ($000)]]/SUMIF($E:$E, E227, $AF:$AF)</f>
        <v>2.7084476565488978E-2</v>
      </c>
      <c r="AH227" s="5">
        <v>23</v>
      </c>
      <c r="AI227" s="12">
        <f t="shared" si="29"/>
        <v>5669.565217391304</v>
      </c>
      <c r="AJ227" s="5">
        <v>92800</v>
      </c>
      <c r="AK227" s="6">
        <f>Table1[[#This Row],[2020 U.S. Sales ($000)]]/SUMIF($E:$E, E227, $AJ:$AJ)</f>
        <v>2.7240877755093356E-2</v>
      </c>
      <c r="AL227" s="5">
        <v>28</v>
      </c>
      <c r="AM227" s="5">
        <f t="shared" si="30"/>
        <v>3314.2857142857142</v>
      </c>
      <c r="AN227" s="5">
        <v>221000</v>
      </c>
      <c r="AO227" s="6">
        <f>Table1[[#This Row],[2019 U.S. Sales ($000)]]/SUMIF($E:$E, E227, $AN:$AN)</f>
        <v>4.2966066139745865E-2</v>
      </c>
      <c r="AP227" s="5">
        <v>33</v>
      </c>
      <c r="AQ227" s="5">
        <f t="shared" si="31"/>
        <v>6696.969696969697</v>
      </c>
    </row>
    <row r="228" spans="1:43" x14ac:dyDescent="0.25">
      <c r="A228" t="s">
        <v>293</v>
      </c>
      <c r="B228">
        <v>29824</v>
      </c>
      <c r="C228" t="s">
        <v>44</v>
      </c>
      <c r="D228" t="s">
        <v>56</v>
      </c>
      <c r="E228" t="s">
        <v>63</v>
      </c>
      <c r="F228" s="5">
        <v>230</v>
      </c>
      <c r="G228" s="5">
        <v>173000</v>
      </c>
      <c r="H228" s="6">
        <f>Table1[[#This Row],[2024 U.S. Sales ($000)]]/SUMIF($E:$E, E228, $G:$G)</f>
        <v>2.2122762148337596E-2</v>
      </c>
      <c r="I228" s="5">
        <v>193</v>
      </c>
      <c r="J228" s="5">
        <f>Table1[[#This Row],[2024 U.S. Sales ($000)]]/Table1[[#This Row],[2024 U.S. Units]]</f>
        <v>896.37305699481863</v>
      </c>
      <c r="K228" s="6">
        <f>Table1[[#This Row],[2024 U.S. Units]]/Table1[[#This Row],[2023 U.S. Units]]-1</f>
        <v>1.0471204188481575E-2</v>
      </c>
      <c r="L228" s="8">
        <f>(Table1[[#This Row],[2024 Market share (%)]]-Table1[[#This Row],[2023 Market share (%)]])*10000</f>
        <v>16.643368778419369</v>
      </c>
      <c r="M228" s="6">
        <f>_xlfn.RRI(5,Table1[[#This Row],[2019 U.S. Sales ($000)]],Table1[[#This Row],[2024 U.S. Sales ($000)]])</f>
        <v>5.4691415300825108E-2</v>
      </c>
      <c r="N228" s="9">
        <f>(Table1[[#This Row],[2024 Market share (%)]]-Table1[[#This Row],[2019 Market share (%)]])*10000</f>
        <v>-5.9515501888918187</v>
      </c>
      <c r="O228" s="6">
        <f>IF(Table1[[#This Row],[2024 AUV]]=0,"",_xlfn.RRI(5,Table1[[#This Row],[2019 AUV]],Table1[[#This Row],[2024 AUV]]))</f>
        <v>5.2496408929906924E-2</v>
      </c>
      <c r="P228" s="6">
        <f>_xlfn.RRI(5,Table1[[#This Row],[2019 U.S. Units]],Table1[[#This Row],[2024 U.S. Units]])</f>
        <v>2.0855238576538149E-3</v>
      </c>
      <c r="Q228" s="5">
        <v>168953</v>
      </c>
      <c r="R228" s="6">
        <f>Table1[[#This Row],[2023 U.S. Sales ($000)]]/SUMIF($E:$E, E228, $Q:$Q)</f>
        <v>2.0458425270495659E-2</v>
      </c>
      <c r="S228" s="8">
        <f>(Table1[[#This Row],[2023 Market share (%)]]-Table1[[#This Row],[2022 Market share (%)]])*10000</f>
        <v>-25.117269311059136</v>
      </c>
      <c r="T228" s="10">
        <v>-3.2802276123034296E-2</v>
      </c>
      <c r="U228" s="5">
        <v>191</v>
      </c>
      <c r="V228" s="5">
        <f t="shared" si="24"/>
        <v>884.57068062827227</v>
      </c>
      <c r="W228" s="10">
        <v>0</v>
      </c>
      <c r="X228" s="10">
        <f t="shared" si="25"/>
        <v>6.2519024752820229E-2</v>
      </c>
      <c r="Y228" s="8">
        <f>(Table1[[#This Row],[2023 Market share (%)]]-Table1[[#This Row],[2019 Market share (%)]])*10000</f>
        <v>-22.594918967311187</v>
      </c>
      <c r="Z228" s="10">
        <f t="shared" si="26"/>
        <v>6.2519024752820229E-2</v>
      </c>
      <c r="AA228" s="10">
        <f t="shared" si="27"/>
        <v>0</v>
      </c>
      <c r="AB228" s="5">
        <v>174683</v>
      </c>
      <c r="AC228" s="6">
        <f>Table1[[#This Row],[2022 U.S. Sales ($000)]]/SUMIF($E:$E, E228, $AB:$AB)</f>
        <v>2.2970152201601573E-2</v>
      </c>
      <c r="AD228" s="5">
        <v>191</v>
      </c>
      <c r="AE228" s="5">
        <f t="shared" si="28"/>
        <v>914.57068062827227</v>
      </c>
      <c r="AF228" s="5">
        <v>168239</v>
      </c>
      <c r="AG228" s="6">
        <f>Table1[[#This Row],[2021 U.S. Sales ($000)]]/SUMIF($E:$E, E228, $AF:$AF)</f>
        <v>2.539449704136653E-2</v>
      </c>
      <c r="AH228" s="5">
        <v>189</v>
      </c>
      <c r="AI228" s="12">
        <f t="shared" si="29"/>
        <v>890.15343915343919</v>
      </c>
      <c r="AJ228" s="5">
        <v>136097</v>
      </c>
      <c r="AK228" s="6">
        <f>Table1[[#This Row],[2020 U.S. Sales ($000)]]/SUMIF($E:$E, E228, $AJ:$AJ)</f>
        <v>2.4812900950951233E-2</v>
      </c>
      <c r="AL228" s="5">
        <v>191</v>
      </c>
      <c r="AM228" s="5">
        <f t="shared" si="30"/>
        <v>712.54973821989529</v>
      </c>
      <c r="AN228" s="5">
        <v>132562</v>
      </c>
      <c r="AO228" s="6">
        <f>Table1[[#This Row],[2019 U.S. Sales ($000)]]/SUMIF($E:$E, E228, $AN:$AN)</f>
        <v>2.2717917167226778E-2</v>
      </c>
      <c r="AP228" s="5">
        <v>191</v>
      </c>
      <c r="AQ228" s="5">
        <f t="shared" si="31"/>
        <v>694.04188481675396</v>
      </c>
    </row>
    <row r="229" spans="1:43" x14ac:dyDescent="0.25">
      <c r="A229" t="s">
        <v>294</v>
      </c>
      <c r="B229">
        <v>62607</v>
      </c>
      <c r="C229" t="s">
        <v>68</v>
      </c>
      <c r="D229" t="s">
        <v>69</v>
      </c>
      <c r="E229" t="s">
        <v>52</v>
      </c>
      <c r="F229" s="5">
        <v>245</v>
      </c>
      <c r="G229" s="5">
        <v>172000</v>
      </c>
      <c r="H229" s="6">
        <f>Table1[[#This Row],[2024 U.S. Sales ($000)]]/SUMIF($E:$E, E229, $G:$G)</f>
        <v>5.1087085659973861E-3</v>
      </c>
      <c r="I229" s="5">
        <v>52</v>
      </c>
      <c r="J229" s="5">
        <f>Table1[[#This Row],[2024 U.S. Sales ($000)]]/Table1[[#This Row],[2024 U.S. Units]]</f>
        <v>3307.6923076923076</v>
      </c>
      <c r="K229" s="6">
        <f>Table1[[#This Row],[2024 U.S. Units]]/Table1[[#This Row],[2023 U.S. Units]]-1</f>
        <v>6.1224489795918435E-2</v>
      </c>
      <c r="L229" s="8">
        <f>(Table1[[#This Row],[2024 Market share (%)]]-Table1[[#This Row],[2023 Market share (%)]])*10000</f>
        <v>5.51281295343869</v>
      </c>
      <c r="M229" s="6">
        <f>_xlfn.RRI(5,Table1[[#This Row],[2019 U.S. Sales ($000)]],Table1[[#This Row],[2024 U.S. Sales ($000)]])</f>
        <v>0.25160728984411285</v>
      </c>
      <c r="N229" s="9">
        <f>(Table1[[#This Row],[2024 Market share (%)]]-Table1[[#This Row],[2019 Market share (%)]])*10000</f>
        <v>27.987443704424173</v>
      </c>
      <c r="O229" s="6">
        <f>IF(Table1[[#This Row],[2024 AUV]]=0,"",_xlfn.RRI(5,Table1[[#This Row],[2019 AUV]],Table1[[#This Row],[2024 AUV]]))</f>
        <v>8.2282064194494353E-4</v>
      </c>
      <c r="P229" s="6">
        <f>_xlfn.RRI(5,Table1[[#This Row],[2019 U.S. Units]],Table1[[#This Row],[2024 U.S. Units]])</f>
        <v>0.25057828821420203</v>
      </c>
      <c r="Q229" s="5">
        <v>150800</v>
      </c>
      <c r="R229" s="6">
        <f>Table1[[#This Row],[2023 U.S. Sales ($000)]]/SUMIF($E:$E, E229, $Q:$Q)</f>
        <v>4.5574272706535171E-3</v>
      </c>
      <c r="S229" s="8">
        <f>(Table1[[#This Row],[2023 Market share (%)]]-Table1[[#This Row],[2022 Market share (%)]])*10000</f>
        <v>2.4555645588788826</v>
      </c>
      <c r="T229" s="10">
        <v>0.15467075038284839</v>
      </c>
      <c r="U229" s="5">
        <v>49</v>
      </c>
      <c r="V229" s="5">
        <f t="shared" si="24"/>
        <v>3077.5510204081634</v>
      </c>
      <c r="W229" s="10">
        <v>0.25641025641025639</v>
      </c>
      <c r="X229" s="10">
        <f t="shared" si="25"/>
        <v>0.28101238514586835</v>
      </c>
      <c r="Y229" s="8">
        <f>(Table1[[#This Row],[2023 Market share (%)]]-Table1[[#This Row],[2019 Market share (%)]])*10000</f>
        <v>22.474630750985483</v>
      </c>
      <c r="Z229" s="10">
        <f t="shared" si="26"/>
        <v>-1.6857345014791969E-2</v>
      </c>
      <c r="AA229" s="10">
        <f t="shared" si="27"/>
        <v>0.30297712000415822</v>
      </c>
      <c r="AB229" s="5">
        <v>130600</v>
      </c>
      <c r="AC229" s="6">
        <f>Table1[[#This Row],[2022 U.S. Sales ($000)]]/SUMIF($E:$E, E229, $AB:$AB)</f>
        <v>4.3118708147656289E-3</v>
      </c>
      <c r="AD229" s="5">
        <v>39</v>
      </c>
      <c r="AE229" s="5">
        <f t="shared" si="28"/>
        <v>3348.7179487179487</v>
      </c>
      <c r="AF229" s="5">
        <v>89400</v>
      </c>
      <c r="AG229" s="6">
        <f>Table1[[#This Row],[2021 U.S. Sales ($000)]]/SUMIF($E:$E, E229, $AF:$AF)</f>
        <v>3.2616718965301356E-3</v>
      </c>
      <c r="AH229" s="5">
        <v>30</v>
      </c>
      <c r="AI229" s="12">
        <f t="shared" si="29"/>
        <v>2980</v>
      </c>
      <c r="AJ229" s="5">
        <v>53400</v>
      </c>
      <c r="AK229" s="6">
        <f>Table1[[#This Row],[2020 U.S. Sales ($000)]]/SUMIF($E:$E, E229, $AJ:$AJ)</f>
        <v>2.2654345135214833E-3</v>
      </c>
      <c r="AL229" s="5">
        <v>22</v>
      </c>
      <c r="AM229" s="5">
        <f t="shared" si="30"/>
        <v>2427.2727272727275</v>
      </c>
      <c r="AN229" s="5">
        <v>56000</v>
      </c>
      <c r="AO229" s="6">
        <f>Table1[[#This Row],[2019 U.S. Sales ($000)]]/SUMIF($E:$E, E229, $AN:$AN)</f>
        <v>2.3099641955549688E-3</v>
      </c>
      <c r="AP229" s="5">
        <v>17</v>
      </c>
      <c r="AQ229" s="5">
        <f t="shared" si="31"/>
        <v>3294.1176470588234</v>
      </c>
    </row>
    <row r="230" spans="1:43" x14ac:dyDescent="0.25">
      <c r="A230" t="s">
        <v>295</v>
      </c>
      <c r="B230">
        <v>33380</v>
      </c>
      <c r="C230" t="s">
        <v>44</v>
      </c>
      <c r="D230" t="s">
        <v>56</v>
      </c>
      <c r="E230" t="s">
        <v>128</v>
      </c>
      <c r="F230" s="5">
        <v>241</v>
      </c>
      <c r="G230" s="5">
        <v>172000</v>
      </c>
      <c r="H230" s="6">
        <f>Table1[[#This Row],[2024 U.S. Sales ($000)]]/SUMIF($E:$E, E230, $G:$G)</f>
        <v>3.9287345820009138E-2</v>
      </c>
      <c r="I230" s="5">
        <v>144</v>
      </c>
      <c r="J230" s="5">
        <f>Table1[[#This Row],[2024 U.S. Sales ($000)]]/Table1[[#This Row],[2024 U.S. Units]]</f>
        <v>1194.4444444444443</v>
      </c>
      <c r="K230" s="6">
        <f>Table1[[#This Row],[2024 U.S. Units]]/Table1[[#This Row],[2023 U.S. Units]]-1</f>
        <v>0.10769230769230775</v>
      </c>
      <c r="L230" s="8">
        <f>(Table1[[#This Row],[2024 Market share (%)]]-Table1[[#This Row],[2023 Market share (%)]])*10000</f>
        <v>93.4879296807337</v>
      </c>
      <c r="M230" s="6">
        <f>_xlfn.RRI(5,Table1[[#This Row],[2019 U.S. Sales ($000)]],Table1[[#This Row],[2024 U.S. Sales ($000)]])</f>
        <v>0.13257077064791534</v>
      </c>
      <c r="N230" s="9">
        <f>(Table1[[#This Row],[2024 Market share (%)]]-Table1[[#This Row],[2019 Market share (%)]])*10000</f>
        <v>134.22926378148176</v>
      </c>
      <c r="O230" s="6">
        <f>IF(Table1[[#This Row],[2024 AUV]]=0,"",_xlfn.RRI(5,Table1[[#This Row],[2019 AUV]],Table1[[#This Row],[2024 AUV]]))</f>
        <v>3.0958901217627677E-2</v>
      </c>
      <c r="P230" s="6">
        <f>_xlfn.RRI(5,Table1[[#This Row],[2019 U.S. Units]],Table1[[#This Row],[2024 U.S. Units]])</f>
        <v>9.8560543306117854E-2</v>
      </c>
      <c r="Q230" s="5">
        <v>155600</v>
      </c>
      <c r="R230" s="6">
        <f>Table1[[#This Row],[2023 U.S. Sales ($000)]]/SUMIF($E:$E, E230, $Q:$Q)</f>
        <v>2.9938552851935769E-2</v>
      </c>
      <c r="S230" s="8">
        <f>(Table1[[#This Row],[2023 Market share (%)]]-Table1[[#This Row],[2022 Market share (%)]])*10000</f>
        <v>-13.249062364985125</v>
      </c>
      <c r="T230" s="10">
        <v>0.12346570397111914</v>
      </c>
      <c r="U230" s="5">
        <v>130</v>
      </c>
      <c r="V230" s="5">
        <f t="shared" si="24"/>
        <v>1196.9230769230769</v>
      </c>
      <c r="W230" s="10">
        <v>8.3333333333333329E-2</v>
      </c>
      <c r="X230" s="10">
        <f t="shared" si="25"/>
        <v>0.13946757924230169</v>
      </c>
      <c r="Y230" s="8">
        <f>(Table1[[#This Row],[2023 Market share (%)]]-Table1[[#This Row],[2019 Market share (%)]])*10000</f>
        <v>40.741334100748084</v>
      </c>
      <c r="Z230" s="10">
        <f t="shared" si="26"/>
        <v>3.9385759210947002E-2</v>
      </c>
      <c r="AA230" s="10">
        <f t="shared" si="27"/>
        <v>9.6289389328686026E-2</v>
      </c>
      <c r="AB230" s="5">
        <v>138500</v>
      </c>
      <c r="AC230" s="6">
        <f>Table1[[#This Row],[2022 U.S. Sales ($000)]]/SUMIF($E:$E, E230, $AB:$AB)</f>
        <v>3.1263459088434281E-2</v>
      </c>
      <c r="AD230" s="5">
        <v>120</v>
      </c>
      <c r="AE230" s="5">
        <f t="shared" si="28"/>
        <v>1154.1666666666667</v>
      </c>
      <c r="AF230" s="5">
        <v>114300</v>
      </c>
      <c r="AG230" s="6">
        <f>Table1[[#This Row],[2021 U.S. Sales ($000)]]/SUMIF($E:$E, E230, $AF:$AF)</f>
        <v>3.0295416088853833E-2</v>
      </c>
      <c r="AH230" s="5">
        <v>108</v>
      </c>
      <c r="AI230" s="12">
        <f t="shared" si="29"/>
        <v>1058.3333333333333</v>
      </c>
      <c r="AJ230" s="5">
        <v>84600</v>
      </c>
      <c r="AK230" s="6">
        <f>Table1[[#This Row],[2020 U.S. Sales ($000)]]/SUMIF($E:$E, E230, $AJ:$AJ)</f>
        <v>2.7607632237621436E-2</v>
      </c>
      <c r="AL230" s="5">
        <v>98</v>
      </c>
      <c r="AM230" s="5">
        <f t="shared" si="30"/>
        <v>863.26530612244903</v>
      </c>
      <c r="AN230" s="5">
        <v>92300</v>
      </c>
      <c r="AO230" s="6">
        <f>Table1[[#This Row],[2019 U.S. Sales ($000)]]/SUMIF($E:$E, E230, $AN:$AN)</f>
        <v>2.5864419441860961E-2</v>
      </c>
      <c r="AP230" s="5">
        <v>90</v>
      </c>
      <c r="AQ230" s="5">
        <f t="shared" si="31"/>
        <v>1025.5555555555557</v>
      </c>
    </row>
    <row r="231" spans="1:43" x14ac:dyDescent="0.25">
      <c r="A231" t="s">
        <v>296</v>
      </c>
      <c r="B231">
        <v>2561</v>
      </c>
      <c r="C231" t="s">
        <v>44</v>
      </c>
      <c r="D231" t="s">
        <v>56</v>
      </c>
      <c r="E231" t="s">
        <v>128</v>
      </c>
      <c r="F231" s="5">
        <v>201</v>
      </c>
      <c r="G231" s="5">
        <v>172000</v>
      </c>
      <c r="H231" s="6">
        <f>Table1[[#This Row],[2024 U.S. Sales ($000)]]/SUMIF($E:$E, E231, $G:$G)</f>
        <v>3.9287345820009138E-2</v>
      </c>
      <c r="I231" s="5">
        <v>75</v>
      </c>
      <c r="J231" s="5">
        <f>Table1[[#This Row],[2024 U.S. Sales ($000)]]/Table1[[#This Row],[2024 U.S. Units]]</f>
        <v>2293.3333333333335</v>
      </c>
      <c r="K231" s="6">
        <f>Table1[[#This Row],[2024 U.S. Units]]/Table1[[#This Row],[2023 U.S. Units]]-1</f>
        <v>-2.5974025974025983E-2</v>
      </c>
      <c r="L231" s="8">
        <f>(Table1[[#This Row],[2024 Market share (%)]]-Table1[[#This Row],[2023 Market share (%)]])*10000</f>
        <v>6.9047112786058129</v>
      </c>
      <c r="M231" s="6">
        <f>_xlfn.RRI(5,Table1[[#This Row],[2019 U.S. Sales ($000)]],Table1[[#This Row],[2024 U.S. Sales ($000)]])</f>
        <v>1.6359049861967012E-3</v>
      </c>
      <c r="N231" s="9">
        <f>(Table1[[#This Row],[2024 Market share (%)]]-Table1[[#This Row],[2019 Market share (%)]])*10000</f>
        <v>-85.183958569299691</v>
      </c>
      <c r="O231" s="6">
        <f>IF(Table1[[#This Row],[2024 AUV]]=0,"",_xlfn.RRI(5,Table1[[#This Row],[2019 AUV]],Table1[[#This Row],[2024 AUV]]))</f>
        <v>1.6359049861967012E-3</v>
      </c>
      <c r="P231" s="6">
        <f>_xlfn.RRI(5,Table1[[#This Row],[2019 U.S. Units]],Table1[[#This Row],[2024 U.S. Units]])</f>
        <v>0</v>
      </c>
      <c r="Q231" s="5">
        <v>200600</v>
      </c>
      <c r="R231" s="6">
        <f>Table1[[#This Row],[2023 U.S. Sales ($000)]]/SUMIF($E:$E, E231, $Q:$Q)</f>
        <v>3.8596874692148557E-2</v>
      </c>
      <c r="S231" s="8">
        <f>(Table1[[#This Row],[2023 Market share (%)]]-Table1[[#This Row],[2022 Market share (%)]])*10000</f>
        <v>-37.950214580894091</v>
      </c>
      <c r="T231" s="10">
        <v>6.8157614483493084E-2</v>
      </c>
      <c r="U231" s="5">
        <v>77</v>
      </c>
      <c r="V231" s="5">
        <f t="shared" si="24"/>
        <v>2605.1948051948052</v>
      </c>
      <c r="W231" s="10">
        <v>0</v>
      </c>
      <c r="X231" s="10">
        <f t="shared" si="25"/>
        <v>4.1329029311869325E-2</v>
      </c>
      <c r="Y231" s="8">
        <f>(Table1[[#This Row],[2023 Market share (%)]]-Table1[[#This Row],[2019 Market share (%)]])*10000</f>
        <v>-92.088669847905507</v>
      </c>
      <c r="Z231" s="10">
        <f t="shared" si="26"/>
        <v>3.4500273971595607E-2</v>
      </c>
      <c r="AA231" s="10">
        <f t="shared" si="27"/>
        <v>6.6010183970828251E-3</v>
      </c>
      <c r="AB231" s="5">
        <v>187800</v>
      </c>
      <c r="AC231" s="6">
        <f>Table1[[#This Row],[2022 U.S. Sales ($000)]]/SUMIF($E:$E, E231, $AB:$AB)</f>
        <v>4.2391896150237966E-2</v>
      </c>
      <c r="AD231" s="5">
        <v>77</v>
      </c>
      <c r="AE231" s="5">
        <f t="shared" si="28"/>
        <v>2438.9610389610389</v>
      </c>
      <c r="AF231" s="5">
        <v>173700</v>
      </c>
      <c r="AG231" s="6">
        <f>Table1[[#This Row],[2021 U.S. Sales ($000)]]/SUMIF($E:$E, E231, $AF:$AF)</f>
        <v>4.603949059172275E-2</v>
      </c>
      <c r="AH231" s="5">
        <v>76</v>
      </c>
      <c r="AI231" s="12">
        <f t="shared" si="29"/>
        <v>2285.5263157894738</v>
      </c>
      <c r="AJ231" s="5">
        <v>148500</v>
      </c>
      <c r="AK231" s="6">
        <f>Table1[[#This Row],[2020 U.S. Sales ($000)]]/SUMIF($E:$E, E231, $AJ:$AJ)</f>
        <v>4.8460205523484436E-2</v>
      </c>
      <c r="AL231" s="5">
        <v>76</v>
      </c>
      <c r="AM231" s="5">
        <f t="shared" si="30"/>
        <v>1953.9473684210527</v>
      </c>
      <c r="AN231" s="5">
        <v>170600</v>
      </c>
      <c r="AO231" s="6">
        <f>Table1[[#This Row],[2019 U.S. Sales ($000)]]/SUMIF($E:$E, E231, $AN:$AN)</f>
        <v>4.7805741676939108E-2</v>
      </c>
      <c r="AP231" s="5">
        <v>75</v>
      </c>
      <c r="AQ231" s="5">
        <f t="shared" si="31"/>
        <v>2274.6666666666665</v>
      </c>
    </row>
    <row r="232" spans="1:43" x14ac:dyDescent="0.25">
      <c r="A232" t="s">
        <v>297</v>
      </c>
      <c r="B232">
        <v>33366</v>
      </c>
      <c r="C232" t="s">
        <v>68</v>
      </c>
      <c r="D232" t="s">
        <v>69</v>
      </c>
      <c r="E232" t="s">
        <v>125</v>
      </c>
      <c r="F232" s="5">
        <v>242</v>
      </c>
      <c r="G232" s="5">
        <v>171000</v>
      </c>
      <c r="H232" s="6">
        <f>Table1[[#This Row],[2024 U.S. Sales ($000)]]/SUMIF($E:$E, E232, $G:$G)</f>
        <v>5.0968703427719822E-2</v>
      </c>
      <c r="I232" s="5">
        <v>68</v>
      </c>
      <c r="J232" s="5">
        <f>Table1[[#This Row],[2024 U.S. Sales ($000)]]/Table1[[#This Row],[2024 U.S. Units]]</f>
        <v>2514.705882352941</v>
      </c>
      <c r="K232" s="6">
        <f>Table1[[#This Row],[2024 U.S. Units]]/Table1[[#This Row],[2023 U.S. Units]]-1</f>
        <v>0.21428571428571419</v>
      </c>
      <c r="L232" s="8">
        <f>(Table1[[#This Row],[2024 Market share (%)]]-Table1[[#This Row],[2023 Market share (%)]])*10000</f>
        <v>73.991026536659803</v>
      </c>
      <c r="M232" s="6">
        <f>_xlfn.RRI(5,Table1[[#This Row],[2019 U.S. Sales ($000)]],Table1[[#This Row],[2024 U.S. Sales ($000)]])</f>
        <v>0.17768879304627361</v>
      </c>
      <c r="N232" s="9">
        <f>(Table1[[#This Row],[2024 Market share (%)]]-Table1[[#This Row],[2019 Market share (%)]])*10000</f>
        <v>225.36847484666404</v>
      </c>
      <c r="O232" s="6">
        <f>IF(Table1[[#This Row],[2024 AUV]]=0,"",_xlfn.RRI(5,Table1[[#This Row],[2019 AUV]],Table1[[#This Row],[2024 AUV]]))</f>
        <v>6.4706122572595337E-3</v>
      </c>
      <c r="P232" s="6">
        <f>_xlfn.RRI(5,Table1[[#This Row],[2019 U.S. Units]],Table1[[#This Row],[2024 U.S. Units]])</f>
        <v>0.17011741694575178</v>
      </c>
      <c r="Q232" s="5">
        <v>154363</v>
      </c>
      <c r="R232" s="6">
        <f>Table1[[#This Row],[2023 U.S. Sales ($000)]]/SUMIF($E:$E, E232, $Q:$Q)</f>
        <v>4.3569600774053842E-2</v>
      </c>
      <c r="S232" s="8">
        <f>(Table1[[#This Row],[2023 Market share (%)]]-Table1[[#This Row],[2022 Market share (%)]])*10000</f>
        <v>33.067979676390316</v>
      </c>
      <c r="T232" s="10">
        <v>0.21779639622581967</v>
      </c>
      <c r="U232" s="5">
        <v>56</v>
      </c>
      <c r="V232" s="5">
        <f t="shared" si="24"/>
        <v>2756.4821428571427</v>
      </c>
      <c r="W232" s="10">
        <v>0.30232558139534882</v>
      </c>
      <c r="X232" s="10">
        <f t="shared" si="25"/>
        <v>0.19584516755653336</v>
      </c>
      <c r="Y232" s="8">
        <f>(Table1[[#This Row],[2023 Market share (%)]]-Table1[[#This Row],[2019 Market share (%)]])*10000</f>
        <v>151.37744831000424</v>
      </c>
      <c r="Z232" s="10">
        <f t="shared" si="26"/>
        <v>3.1497950918532913E-2</v>
      </c>
      <c r="AA232" s="10">
        <f t="shared" si="27"/>
        <v>0.15932868939938438</v>
      </c>
      <c r="AB232" s="5">
        <v>126756</v>
      </c>
      <c r="AC232" s="6">
        <f>Table1[[#This Row],[2022 U.S. Sales ($000)]]/SUMIF($E:$E, E232, $AB:$AB)</f>
        <v>4.026280280641481E-2</v>
      </c>
      <c r="AD232" s="5">
        <v>43</v>
      </c>
      <c r="AE232" s="5">
        <f t="shared" si="28"/>
        <v>2947.8139534883721</v>
      </c>
      <c r="AF232" s="5">
        <v>94831</v>
      </c>
      <c r="AG232" s="6">
        <f>Table1[[#This Row],[2021 U.S. Sales ($000)]]/SUMIF($E:$E, E232, $AF:$AF)</f>
        <v>3.5659385204538242E-2</v>
      </c>
      <c r="AH232" s="5">
        <v>39</v>
      </c>
      <c r="AI232" s="12">
        <f t="shared" si="29"/>
        <v>2431.5641025641025</v>
      </c>
      <c r="AJ232" s="5">
        <v>63000</v>
      </c>
      <c r="AK232" s="6">
        <f>Table1[[#This Row],[2020 U.S. Sales ($000)]]/SUMIF($E:$E, E232, $AJ:$AJ)</f>
        <v>3.3245575567984825E-2</v>
      </c>
      <c r="AL232" s="5">
        <v>34</v>
      </c>
      <c r="AM232" s="5">
        <f t="shared" si="30"/>
        <v>1852.9411764705883</v>
      </c>
      <c r="AN232" s="5">
        <v>75482</v>
      </c>
      <c r="AO232" s="6">
        <f>Table1[[#This Row],[2019 U.S. Sales ($000)]]/SUMIF($E:$E, E232, $AN:$AN)</f>
        <v>2.8431855943053419E-2</v>
      </c>
      <c r="AP232" s="5">
        <v>31</v>
      </c>
      <c r="AQ232" s="5">
        <f t="shared" si="31"/>
        <v>2434.9032258064517</v>
      </c>
    </row>
    <row r="233" spans="1:43" x14ac:dyDescent="0.25">
      <c r="A233" t="s">
        <v>298</v>
      </c>
      <c r="B233">
        <v>2291</v>
      </c>
      <c r="C233" t="s">
        <v>68</v>
      </c>
      <c r="D233" t="s">
        <v>69</v>
      </c>
      <c r="E233" t="s">
        <v>79</v>
      </c>
      <c r="F233" s="5">
        <v>211</v>
      </c>
      <c r="G233" s="5">
        <v>170000</v>
      </c>
      <c r="H233" s="6">
        <f>Table1[[#This Row],[2024 U.S. Sales ($000)]]/SUMIF($E:$E, E233, $G:$G)</f>
        <v>8.172684005576655E-3</v>
      </c>
      <c r="I233" s="5">
        <v>60</v>
      </c>
      <c r="J233" s="5">
        <f>Table1[[#This Row],[2024 U.S. Sales ($000)]]/Table1[[#This Row],[2024 U.S. Units]]</f>
        <v>2833.3333333333335</v>
      </c>
      <c r="K233" s="6">
        <f>Table1[[#This Row],[2024 U.S. Units]]/Table1[[#This Row],[2023 U.S. Units]]-1</f>
        <v>-9.0909090909090939E-2</v>
      </c>
      <c r="L233" s="8">
        <f>(Table1[[#This Row],[2024 Market share (%)]]-Table1[[#This Row],[2023 Market share (%)]])*10000</f>
        <v>3.4445127892258376</v>
      </c>
      <c r="M233" s="6">
        <f>_xlfn.RRI(5,Table1[[#This Row],[2019 U.S. Sales ($000)]],Table1[[#This Row],[2024 U.S. Sales ($000)]])</f>
        <v>-0.14395537858740692</v>
      </c>
      <c r="N233" s="9">
        <f>(Table1[[#This Row],[2024 Market share (%)]]-Table1[[#This Row],[2019 Market share (%)]])*10000</f>
        <v>-80.204311092556523</v>
      </c>
      <c r="O233" s="6">
        <f>IF(Table1[[#This Row],[2024 AUV]]=0,"",_xlfn.RRI(5,Table1[[#This Row],[2019 AUV]],Table1[[#This Row],[2024 AUV]]))</f>
        <v>5.2801623454044044E-3</v>
      </c>
      <c r="P233" s="6">
        <f>_xlfn.RRI(5,Table1[[#This Row],[2019 U.S. Units]],Table1[[#This Row],[2024 U.S. Units]])</f>
        <v>-0.14845169189913388</v>
      </c>
      <c r="Q233" s="5">
        <v>188838</v>
      </c>
      <c r="R233" s="6">
        <f>Table1[[#This Row],[2023 U.S. Sales ($000)]]/SUMIF($E:$E, E233, $Q:$Q)</f>
        <v>7.8282327266540712E-3</v>
      </c>
      <c r="S233" s="8">
        <f>(Table1[[#This Row],[2023 Market share (%)]]-Table1[[#This Row],[2022 Market share (%)]])*10000</f>
        <v>-3.9363104746596362</v>
      </c>
      <c r="T233" s="10">
        <v>-2.3346021763415947E-2</v>
      </c>
      <c r="U233" s="5">
        <v>66</v>
      </c>
      <c r="V233" s="5">
        <f t="shared" si="24"/>
        <v>2861.181818181818</v>
      </c>
      <c r="W233" s="10">
        <v>-1.4925373134328358E-2</v>
      </c>
      <c r="X233" s="10">
        <f t="shared" si="25"/>
        <v>-0.15466155363879819</v>
      </c>
      <c r="Y233" s="8">
        <f>(Table1[[#This Row],[2023 Market share (%)]]-Table1[[#This Row],[2019 Market share (%)]])*10000</f>
        <v>-83.648823881782363</v>
      </c>
      <c r="Z233" s="10">
        <f t="shared" si="26"/>
        <v>9.06893676340359E-3</v>
      </c>
      <c r="AA233" s="10">
        <f t="shared" si="27"/>
        <v>-0.16225897402745215</v>
      </c>
      <c r="AB233" s="5">
        <v>193352</v>
      </c>
      <c r="AC233" s="6">
        <f>Table1[[#This Row],[2022 U.S. Sales ($000)]]/SUMIF($E:$E, E233, $AB:$AB)</f>
        <v>8.2218637741200348E-3</v>
      </c>
      <c r="AD233" s="5">
        <v>67</v>
      </c>
      <c r="AE233" s="5">
        <f t="shared" si="28"/>
        <v>2885.8507462686566</v>
      </c>
      <c r="AF233" s="5">
        <v>183359</v>
      </c>
      <c r="AG233" s="6">
        <f>Table1[[#This Row],[2021 U.S. Sales ($000)]]/SUMIF($E:$E, E233, $AF:$AF)</f>
        <v>8.4419020994603855E-3</v>
      </c>
      <c r="AH233" s="5">
        <v>69</v>
      </c>
      <c r="AI233" s="12">
        <f t="shared" si="29"/>
        <v>2657.376811594203</v>
      </c>
      <c r="AJ233" s="5">
        <v>182400</v>
      </c>
      <c r="AK233" s="6">
        <f>Table1[[#This Row],[2020 U.S. Sales ($000)]]/SUMIF($E:$E, E233, $AJ:$AJ)</f>
        <v>1.1185862737566965E-2</v>
      </c>
      <c r="AL233" s="5">
        <v>71</v>
      </c>
      <c r="AM233" s="5">
        <f t="shared" si="30"/>
        <v>2569.0140845070423</v>
      </c>
      <c r="AN233" s="5">
        <v>369800</v>
      </c>
      <c r="AO233" s="6">
        <f>Table1[[#This Row],[2019 U.S. Sales ($000)]]/SUMIF($E:$E, E233, $AN:$AN)</f>
        <v>1.6193115114832308E-2</v>
      </c>
      <c r="AP233" s="5">
        <v>134</v>
      </c>
      <c r="AQ233" s="5">
        <f t="shared" si="31"/>
        <v>2759.7014925373132</v>
      </c>
    </row>
    <row r="234" spans="1:43" x14ac:dyDescent="0.25">
      <c r="A234" t="s">
        <v>299</v>
      </c>
      <c r="B234">
        <v>1183</v>
      </c>
      <c r="C234" t="s">
        <v>44</v>
      </c>
      <c r="D234" t="s">
        <v>56</v>
      </c>
      <c r="E234" t="s">
        <v>52</v>
      </c>
      <c r="F234" s="5">
        <v>188</v>
      </c>
      <c r="G234" s="5">
        <v>169000</v>
      </c>
      <c r="H234" s="6">
        <f>Table1[[#This Row],[2024 U.S. Sales ($000)]]/SUMIF($E:$E, E234, $G:$G)</f>
        <v>5.0196031840323155E-3</v>
      </c>
      <c r="I234" s="5">
        <v>83</v>
      </c>
      <c r="J234" s="5">
        <f>Table1[[#This Row],[2024 U.S. Sales ($000)]]/Table1[[#This Row],[2024 U.S. Units]]</f>
        <v>2036.1445783132531</v>
      </c>
      <c r="K234" s="6">
        <f>Table1[[#This Row],[2024 U.S. Units]]/Table1[[#This Row],[2023 U.S. Units]]-1</f>
        <v>-0.43918918918918914</v>
      </c>
      <c r="L234" s="8">
        <f>(Table1[[#This Row],[2024 Market share (%)]]-Table1[[#This Row],[2023 Market share (%)]])*10000</f>
        <v>-16.381090044019498</v>
      </c>
      <c r="M234" s="6">
        <f>_xlfn.RRI(5,Table1[[#This Row],[2019 U.S. Sales ($000)]],Table1[[#This Row],[2024 U.S. Sales ($000)]])</f>
        <v>-6.1733136409826361E-2</v>
      </c>
      <c r="N234" s="9">
        <f>(Table1[[#This Row],[2024 Market share (%)]]-Table1[[#This Row],[2019 Market share (%)]])*10000</f>
        <v>-45.671607211271542</v>
      </c>
      <c r="O234" s="6">
        <f>IF(Table1[[#This Row],[2024 AUV]]=0,"",_xlfn.RRI(5,Table1[[#This Row],[2019 AUV]],Table1[[#This Row],[2024 AUV]]))</f>
        <v>0.11533159633015178</v>
      </c>
      <c r="P234" s="6">
        <f>_xlfn.RRI(5,Table1[[#This Row],[2019 U.S. Units]],Table1[[#This Row],[2024 U.S. Units]])</f>
        <v>-0.15875523774506684</v>
      </c>
      <c r="Q234" s="5">
        <v>220296</v>
      </c>
      <c r="R234" s="6">
        <f>Table1[[#This Row],[2023 U.S. Sales ($000)]]/SUMIF($E:$E, E234, $Q:$Q)</f>
        <v>6.6577121884342652E-3</v>
      </c>
      <c r="S234" s="8">
        <f>(Table1[[#This Row],[2023 Market share (%)]]-Table1[[#This Row],[2022 Market share (%)]])*10000</f>
        <v>-5.654307909898904</v>
      </c>
      <c r="T234" s="10">
        <v>6.9385404382524751E-3</v>
      </c>
      <c r="U234" s="5">
        <v>148</v>
      </c>
      <c r="V234" s="5">
        <f t="shared" si="24"/>
        <v>1488.4864864864865</v>
      </c>
      <c r="W234" s="10">
        <v>-4.5161290322580643E-2</v>
      </c>
      <c r="X234" s="10">
        <f t="shared" si="25"/>
        <v>-1.3293588464473927E-2</v>
      </c>
      <c r="Y234" s="8">
        <f>(Table1[[#This Row],[2023 Market share (%)]]-Table1[[#This Row],[2019 Market share (%)]])*10000</f>
        <v>-29.290517167252045</v>
      </c>
      <c r="Z234" s="10">
        <f t="shared" si="26"/>
        <v>5.9837001957532499E-2</v>
      </c>
      <c r="AA234" s="10">
        <f t="shared" si="27"/>
        <v>-6.9001733556134925E-2</v>
      </c>
      <c r="AB234" s="5">
        <v>218778</v>
      </c>
      <c r="AC234" s="6">
        <f>Table1[[#This Row],[2022 U.S. Sales ($000)]]/SUMIF($E:$E, E234, $AB:$AB)</f>
        <v>7.2231429794241556E-3</v>
      </c>
      <c r="AD234" s="5">
        <v>155</v>
      </c>
      <c r="AE234" s="5">
        <f t="shared" si="28"/>
        <v>1411.4709677419355</v>
      </c>
      <c r="AF234" s="5">
        <v>207697</v>
      </c>
      <c r="AG234" s="6">
        <f>Table1[[#This Row],[2021 U.S. Sales ($000)]]/SUMIF($E:$E, E234, $AF:$AF)</f>
        <v>7.5776226833738211E-3</v>
      </c>
      <c r="AH234" s="5">
        <v>156</v>
      </c>
      <c r="AI234" s="12">
        <f t="shared" si="29"/>
        <v>1331.3910256410256</v>
      </c>
      <c r="AJ234" s="5">
        <v>178412</v>
      </c>
      <c r="AK234" s="6">
        <f>Table1[[#This Row],[2020 U.S. Sales ($000)]]/SUMIF($E:$E, E234, $AJ:$AJ)</f>
        <v>7.5689270117302414E-3</v>
      </c>
      <c r="AL234" s="5">
        <v>159</v>
      </c>
      <c r="AM234" s="5">
        <f t="shared" si="30"/>
        <v>1122.0880503144654</v>
      </c>
      <c r="AN234" s="5">
        <v>232410</v>
      </c>
      <c r="AO234" s="6">
        <f>Table1[[#This Row],[2019 U.S. Sales ($000)]]/SUMIF($E:$E, E234, $AN:$AN)</f>
        <v>9.5867639051594698E-3</v>
      </c>
      <c r="AP234" s="5">
        <v>197</v>
      </c>
      <c r="AQ234" s="5">
        <f t="shared" si="31"/>
        <v>1179.746192893401</v>
      </c>
    </row>
    <row r="235" spans="1:43" x14ac:dyDescent="0.25">
      <c r="A235" t="s">
        <v>300</v>
      </c>
      <c r="B235">
        <v>33083</v>
      </c>
      <c r="C235" t="s">
        <v>68</v>
      </c>
      <c r="D235" t="s">
        <v>69</v>
      </c>
      <c r="E235" t="s">
        <v>107</v>
      </c>
      <c r="F235" s="5">
        <v>244</v>
      </c>
      <c r="G235" s="5">
        <v>168000</v>
      </c>
      <c r="H235" s="6">
        <f>Table1[[#This Row],[2024 U.S. Sales ($000)]]/SUMIF($E:$E, E235, $G:$G)</f>
        <v>4.8054919908466817E-2</v>
      </c>
      <c r="I235" s="5">
        <v>26</v>
      </c>
      <c r="J235" s="5">
        <f>Table1[[#This Row],[2024 U.S. Sales ($000)]]/Table1[[#This Row],[2024 U.S. Units]]</f>
        <v>6461.5384615384619</v>
      </c>
      <c r="K235" s="6">
        <f>Table1[[#This Row],[2024 U.S. Units]]/Table1[[#This Row],[2023 U.S. Units]]-1</f>
        <v>8.3333333333333259E-2</v>
      </c>
      <c r="L235" s="8">
        <f>(Table1[[#This Row],[2024 Market share (%)]]-Table1[[#This Row],[2023 Market share (%)]])*10000</f>
        <v>183.01147437177943</v>
      </c>
      <c r="M235" s="6">
        <f>_xlfn.RRI(5,Table1[[#This Row],[2019 U.S. Sales ($000)]],Table1[[#This Row],[2024 U.S. Sales ($000)]])</f>
        <v>6.8543962461622865E-2</v>
      </c>
      <c r="N235" s="9">
        <f>(Table1[[#This Row],[2024 Market share (%)]]-Table1[[#This Row],[2019 Market share (%)]])*10000</f>
        <v>246.0827929103084</v>
      </c>
      <c r="O235" s="6">
        <f>IF(Table1[[#This Row],[2024 AUV]]=0,"",_xlfn.RRI(5,Table1[[#This Row],[2019 AUV]],Table1[[#This Row],[2024 AUV]]))</f>
        <v>1.3920080642603638E-2</v>
      </c>
      <c r="P235" s="6">
        <f>_xlfn.RRI(5,Table1[[#This Row],[2019 U.S. Units]],Table1[[#This Row],[2024 U.S. Units]])</f>
        <v>5.387395206178347E-2</v>
      </c>
      <c r="Q235" s="5">
        <v>153100</v>
      </c>
      <c r="R235" s="6">
        <f>Table1[[#This Row],[2023 U.S. Sales ($000)]]/SUMIF($E:$E, E235, $Q:$Q)</f>
        <v>2.9753772471288874E-2</v>
      </c>
      <c r="S235" s="8">
        <f>(Table1[[#This Row],[2023 Market share (%)]]-Table1[[#This Row],[2022 Market share (%)]])*10000</f>
        <v>36.925083946637777</v>
      </c>
      <c r="T235" s="10">
        <v>0.12490815576781777</v>
      </c>
      <c r="U235" s="5">
        <v>24</v>
      </c>
      <c r="V235" s="5">
        <f t="shared" si="24"/>
        <v>6379.166666666667</v>
      </c>
      <c r="W235" s="10">
        <v>9.0909090909090912E-2</v>
      </c>
      <c r="X235" s="10">
        <f t="shared" si="25"/>
        <v>6.1468158058592293E-2</v>
      </c>
      <c r="Y235" s="8">
        <f>(Table1[[#This Row],[2023 Market share (%)]]-Table1[[#This Row],[2019 Market share (%)]])*10000</f>
        <v>63.071318538528949</v>
      </c>
      <c r="Z235" s="10">
        <f t="shared" si="26"/>
        <v>1.417210077152764E-2</v>
      </c>
      <c r="AA235" s="10">
        <f t="shared" si="27"/>
        <v>4.6635139392105618E-2</v>
      </c>
      <c r="AB235" s="5">
        <v>136100</v>
      </c>
      <c r="AC235" s="6">
        <f>Table1[[#This Row],[2022 U.S. Sales ($000)]]/SUMIF($E:$E, E235, $AB:$AB)</f>
        <v>2.6061264076625096E-2</v>
      </c>
      <c r="AD235" s="5">
        <v>22</v>
      </c>
      <c r="AE235" s="5">
        <f t="shared" si="28"/>
        <v>6186.363636363636</v>
      </c>
      <c r="AF235" s="5">
        <v>115800</v>
      </c>
      <c r="AG235" s="6">
        <f>Table1[[#This Row],[2021 U.S. Sales ($000)]]/SUMIF($E:$E, E235, $AF:$AF)</f>
        <v>2.4052012164751713E-2</v>
      </c>
      <c r="AH235" s="5">
        <v>21</v>
      </c>
      <c r="AI235" s="12">
        <f t="shared" si="29"/>
        <v>5514.2857142857147</v>
      </c>
      <c r="AJ235" s="5">
        <v>79000</v>
      </c>
      <c r="AK235" s="6">
        <f>Table1[[#This Row],[2020 U.S. Sales ($000)]]/SUMIF($E:$E, E235, $AJ:$AJ)</f>
        <v>2.3189971364788523E-2</v>
      </c>
      <c r="AL235" s="5">
        <v>20</v>
      </c>
      <c r="AM235" s="5">
        <f t="shared" si="30"/>
        <v>3950</v>
      </c>
      <c r="AN235" s="5">
        <v>120600</v>
      </c>
      <c r="AO235" s="6">
        <f>Table1[[#This Row],[2019 U.S. Sales ($000)]]/SUMIF($E:$E, E235, $AN:$AN)</f>
        <v>2.3446640617435979E-2</v>
      </c>
      <c r="AP235" s="5">
        <v>20</v>
      </c>
      <c r="AQ235" s="5">
        <f t="shared" si="31"/>
        <v>6030</v>
      </c>
    </row>
    <row r="236" spans="1:43" x14ac:dyDescent="0.25">
      <c r="A236" t="s">
        <v>301</v>
      </c>
      <c r="B236">
        <v>436</v>
      </c>
      <c r="C236" t="s">
        <v>68</v>
      </c>
      <c r="D236" t="s">
        <v>92</v>
      </c>
      <c r="E236" t="s">
        <v>93</v>
      </c>
      <c r="F236" s="5">
        <v>224</v>
      </c>
      <c r="G236" s="5">
        <v>168000</v>
      </c>
      <c r="H236" s="6">
        <f>Table1[[#This Row],[2024 U.S. Sales ($000)]]/SUMIF($E:$E, E236, $G:$G)</f>
        <v>1.0453612096322569E-2</v>
      </c>
      <c r="I236" s="5">
        <v>112</v>
      </c>
      <c r="J236" s="5">
        <f>Table1[[#This Row],[2024 U.S. Sales ($000)]]/Table1[[#This Row],[2024 U.S. Units]]</f>
        <v>1500</v>
      </c>
      <c r="K236" s="6">
        <f>Table1[[#This Row],[2024 U.S. Units]]/Table1[[#This Row],[2023 U.S. Units]]-1</f>
        <v>-1.7543859649122862E-2</v>
      </c>
      <c r="L236" s="8">
        <f>(Table1[[#This Row],[2024 Market share (%)]]-Table1[[#This Row],[2023 Market share (%)]])*10000</f>
        <v>3.7381081240502394</v>
      </c>
      <c r="M236" s="6">
        <f>_xlfn.RRI(5,Table1[[#This Row],[2019 U.S. Sales ($000)]],Table1[[#This Row],[2024 U.S. Sales ($000)]])</f>
        <v>-0.12289612814278805</v>
      </c>
      <c r="N236" s="9">
        <f>(Table1[[#This Row],[2024 Market share (%)]]-Table1[[#This Row],[2019 Market share (%)]])*10000</f>
        <v>-86.46132568807505</v>
      </c>
      <c r="O236" s="6">
        <f>IF(Table1[[#This Row],[2024 AUV]]=0,"",_xlfn.RRI(5,Table1[[#This Row],[2019 AUV]],Table1[[#This Row],[2024 AUV]]))</f>
        <v>-3.1340843247669392E-2</v>
      </c>
      <c r="P236" s="6">
        <f>_xlfn.RRI(5,Table1[[#This Row],[2019 U.S. Units]],Table1[[#This Row],[2024 U.S. Units]])</f>
        <v>-9.4517544439553292E-2</v>
      </c>
      <c r="Q236" s="5">
        <v>176400</v>
      </c>
      <c r="R236" s="6">
        <f>Table1[[#This Row],[2023 U.S. Sales ($000)]]/SUMIF($E:$E, E236, $Q:$Q)</f>
        <v>1.0079801283917545E-2</v>
      </c>
      <c r="S236" s="8">
        <f>(Table1[[#This Row],[2023 Market share (%)]]-Table1[[#This Row],[2022 Market share (%)]])*10000</f>
        <v>-12.120370963932675</v>
      </c>
      <c r="T236" s="10">
        <v>-5.4155495978552279E-2</v>
      </c>
      <c r="U236" s="5">
        <v>114</v>
      </c>
      <c r="V236" s="5">
        <f t="shared" si="24"/>
        <v>1547.3684210526317</v>
      </c>
      <c r="W236" s="10">
        <v>-6.5573770491803282E-2</v>
      </c>
      <c r="X236" s="10">
        <f t="shared" si="25"/>
        <v>-0.14076668025830752</v>
      </c>
      <c r="Y236" s="8">
        <f>(Table1[[#This Row],[2023 Market share (%)]]-Table1[[#This Row],[2019 Market share (%)]])*10000</f>
        <v>-90.199433812125292</v>
      </c>
      <c r="Z236" s="10">
        <f t="shared" si="26"/>
        <v>-3.1522907253480281E-2</v>
      </c>
      <c r="AA236" s="10">
        <f t="shared" si="27"/>
        <v>-0.11279954252198277</v>
      </c>
      <c r="AB236" s="5">
        <v>186500</v>
      </c>
      <c r="AC236" s="6">
        <f>Table1[[#This Row],[2022 U.S. Sales ($000)]]/SUMIF($E:$E, E236, $AB:$AB)</f>
        <v>1.1291838380310813E-2</v>
      </c>
      <c r="AD236" s="5">
        <v>122</v>
      </c>
      <c r="AE236" s="5">
        <f t="shared" si="28"/>
        <v>1528.688524590164</v>
      </c>
      <c r="AF236" s="5">
        <v>192400</v>
      </c>
      <c r="AG236" s="6">
        <f>Table1[[#This Row],[2021 U.S. Sales ($000)]]/SUMIF($E:$E, E236, $AF:$AF)</f>
        <v>1.2743761700134386E-2</v>
      </c>
      <c r="AH236" s="5">
        <v>130</v>
      </c>
      <c r="AI236" s="12">
        <f t="shared" si="29"/>
        <v>1480</v>
      </c>
      <c r="AJ236" s="5">
        <v>164948</v>
      </c>
      <c r="AK236" s="6">
        <f>Table1[[#This Row],[2020 U.S. Sales ($000)]]/SUMIF($E:$E, E236, $AJ:$AJ)</f>
        <v>1.5456275825388723E-2</v>
      </c>
      <c r="AL236" s="5">
        <v>142</v>
      </c>
      <c r="AM236" s="5">
        <f t="shared" si="30"/>
        <v>1161.605633802817</v>
      </c>
      <c r="AN236" s="5">
        <v>323634</v>
      </c>
      <c r="AO236" s="6">
        <f>Table1[[#This Row],[2019 U.S. Sales ($000)]]/SUMIF($E:$E, E236, $AN:$AN)</f>
        <v>1.9099744665130074E-2</v>
      </c>
      <c r="AP236" s="5">
        <v>184</v>
      </c>
      <c r="AQ236" s="5">
        <f t="shared" si="31"/>
        <v>1758.8804347826087</v>
      </c>
    </row>
    <row r="237" spans="1:43" x14ac:dyDescent="0.25">
      <c r="A237" t="s">
        <v>302</v>
      </c>
      <c r="B237">
        <v>1117</v>
      </c>
      <c r="C237" t="s">
        <v>68</v>
      </c>
      <c r="D237" t="s">
        <v>69</v>
      </c>
      <c r="E237" t="s">
        <v>73</v>
      </c>
      <c r="F237" s="5">
        <v>220</v>
      </c>
      <c r="G237" s="5">
        <v>166000</v>
      </c>
      <c r="H237" s="6">
        <f>Table1[[#This Row],[2024 U.S. Sales ($000)]]/SUMIF($E:$E, E237, $G:$G)</f>
        <v>2.081148493079241E-2</v>
      </c>
      <c r="I237" s="5">
        <v>60</v>
      </c>
      <c r="J237" s="5">
        <f>Table1[[#This Row],[2024 U.S. Sales ($000)]]/Table1[[#This Row],[2024 U.S. Units]]</f>
        <v>2766.6666666666665</v>
      </c>
      <c r="K237" s="6">
        <f>Table1[[#This Row],[2024 U.S. Units]]/Table1[[#This Row],[2023 U.S. Units]]-1</f>
        <v>-6.25E-2</v>
      </c>
      <c r="L237" s="8">
        <f>(Table1[[#This Row],[2024 Market share (%)]]-Table1[[#This Row],[2023 Market share (%)]])*10000</f>
        <v>18.881817851014031</v>
      </c>
      <c r="M237" s="6">
        <f>_xlfn.RRI(5,Table1[[#This Row],[2019 U.S. Sales ($000)]],Table1[[#This Row],[2024 U.S. Sales ($000)]])</f>
        <v>1.67586258906538E-3</v>
      </c>
      <c r="N237" s="9">
        <f>(Table1[[#This Row],[2024 Market share (%)]]-Table1[[#This Row],[2019 Market share (%)]])*10000</f>
        <v>27.640258230615249</v>
      </c>
      <c r="O237" s="6">
        <f>IF(Table1[[#This Row],[2024 AUV]]=0,"",_xlfn.RRI(5,Table1[[#This Row],[2019 AUV]],Table1[[#This Row],[2024 AUV]]))</f>
        <v>2.0952990849065101E-2</v>
      </c>
      <c r="P237" s="6">
        <f>_xlfn.RRI(5,Table1[[#This Row],[2019 U.S. Units]],Table1[[#This Row],[2024 U.S. Units]])</f>
        <v>-1.8881504273735694E-2</v>
      </c>
      <c r="Q237" s="5">
        <v>181853</v>
      </c>
      <c r="R237" s="6">
        <f>Table1[[#This Row],[2023 U.S. Sales ($000)]]/SUMIF($E:$E, E237, $Q:$Q)</f>
        <v>1.8923303145691007E-2</v>
      </c>
      <c r="S237" s="8">
        <f>(Table1[[#This Row],[2023 Market share (%)]]-Table1[[#This Row],[2022 Market share (%)]])*10000</f>
        <v>-1.4698401435963779</v>
      </c>
      <c r="T237" s="10">
        <v>3.8335265132266372E-2</v>
      </c>
      <c r="U237" s="5">
        <v>64</v>
      </c>
      <c r="V237" s="5">
        <f t="shared" si="24"/>
        <v>2841.453125</v>
      </c>
      <c r="W237" s="10">
        <v>-3.0303030303030304E-2</v>
      </c>
      <c r="X237" s="10">
        <f t="shared" si="25"/>
        <v>2.5208283012217336E-2</v>
      </c>
      <c r="Y237" s="8">
        <f>(Table1[[#This Row],[2023 Market share (%)]]-Table1[[#This Row],[2019 Market share (%)]])*10000</f>
        <v>8.7584403796012182</v>
      </c>
      <c r="Z237" s="10">
        <f t="shared" si="26"/>
        <v>3.3125537183542164E-2</v>
      </c>
      <c r="AA237" s="10">
        <f t="shared" si="27"/>
        <v>-7.6633999319274393E-3</v>
      </c>
      <c r="AB237" s="5">
        <v>175139</v>
      </c>
      <c r="AC237" s="6">
        <f>Table1[[#This Row],[2022 U.S. Sales ($000)]]/SUMIF($E:$E, E237, $AB:$AB)</f>
        <v>1.9070287160050645E-2</v>
      </c>
      <c r="AD237" s="5">
        <v>66</v>
      </c>
      <c r="AE237" s="5">
        <f t="shared" si="28"/>
        <v>2653.621212121212</v>
      </c>
      <c r="AF237" s="5">
        <v>176567</v>
      </c>
      <c r="AG237" s="6">
        <f>Table1[[#This Row],[2021 U.S. Sales ($000)]]/SUMIF($E:$E, E237, $AF:$AF)</f>
        <v>2.1086549593345244E-2</v>
      </c>
      <c r="AH237" s="5">
        <v>66</v>
      </c>
      <c r="AI237" s="12">
        <f t="shared" si="29"/>
        <v>2675.257575757576</v>
      </c>
      <c r="AJ237" s="5">
        <v>161528</v>
      </c>
      <c r="AK237" s="6">
        <f>Table1[[#This Row],[2020 U.S. Sales ($000)]]/SUMIF($E:$E, E237, $AJ:$AJ)</f>
        <v>2.3413658943721147E-2</v>
      </c>
      <c r="AL237" s="5">
        <v>64</v>
      </c>
      <c r="AM237" s="5">
        <f t="shared" si="30"/>
        <v>2523.875</v>
      </c>
      <c r="AN237" s="5">
        <v>164616</v>
      </c>
      <c r="AO237" s="6">
        <f>Table1[[#This Row],[2019 U.S. Sales ($000)]]/SUMIF($E:$E, E237, $AN:$AN)</f>
        <v>1.8047459107730885E-2</v>
      </c>
      <c r="AP237" s="5">
        <v>66</v>
      </c>
      <c r="AQ237" s="5">
        <f t="shared" si="31"/>
        <v>2494.181818181818</v>
      </c>
    </row>
    <row r="238" spans="1:43" x14ac:dyDescent="0.25">
      <c r="A238" t="s">
        <v>303</v>
      </c>
      <c r="B238">
        <v>562814</v>
      </c>
      <c r="C238" t="s">
        <v>44</v>
      </c>
      <c r="D238" t="s">
        <v>45</v>
      </c>
      <c r="E238" t="s">
        <v>48</v>
      </c>
      <c r="F238" s="5">
        <v>257</v>
      </c>
      <c r="G238" s="5">
        <v>165000</v>
      </c>
      <c r="H238" s="6">
        <f>Table1[[#This Row],[2024 U.S. Sales ($000)]]/SUMIF($E:$E, E238, $G:$G)</f>
        <v>3.2653212434913242E-3</v>
      </c>
      <c r="I238" s="5">
        <v>145</v>
      </c>
      <c r="J238" s="5">
        <f>Table1[[#This Row],[2024 U.S. Sales ($000)]]/Table1[[#This Row],[2024 U.S. Units]]</f>
        <v>1137.9310344827586</v>
      </c>
      <c r="K238" s="6">
        <f>Table1[[#This Row],[2024 U.S. Units]]/Table1[[#This Row],[2023 U.S. Units]]-1</f>
        <v>0.15999999999999992</v>
      </c>
      <c r="L238" s="8">
        <f>(Table1[[#This Row],[2024 Market share (%)]]-Table1[[#This Row],[2023 Market share (%)]])*10000</f>
        <v>2.7810680035722384</v>
      </c>
      <c r="M238" s="6">
        <f>_xlfn.RRI(5,Table1[[#This Row],[2019 U.S. Sales ($000)]],Table1[[#This Row],[2024 U.S. Sales ($000)]])</f>
        <v>0.15492472719418604</v>
      </c>
      <c r="N238" s="9">
        <f>(Table1[[#This Row],[2024 Market share (%)]]-Table1[[#This Row],[2019 Market share (%)]])*10000</f>
        <v>9.7009396139657209</v>
      </c>
      <c r="O238" s="6">
        <f>IF(Table1[[#This Row],[2024 AUV]]=0,"",_xlfn.RRI(5,Table1[[#This Row],[2019 AUV]],Table1[[#This Row],[2024 AUV]]))</f>
        <v>1.226059718186856E-2</v>
      </c>
      <c r="P238" s="6">
        <f>_xlfn.RRI(5,Table1[[#This Row],[2019 U.S. Units]],Table1[[#This Row],[2024 U.S. Units]])</f>
        <v>0.14093616842292778</v>
      </c>
      <c r="Q238" s="5">
        <v>146444</v>
      </c>
      <c r="R238" s="6">
        <f>Table1[[#This Row],[2023 U.S. Sales ($000)]]/SUMIF($E:$E, E238, $Q:$Q)</f>
        <v>2.9872144431341003E-3</v>
      </c>
      <c r="S238" s="8">
        <f>(Table1[[#This Row],[2023 Market share (%)]]-Table1[[#This Row],[2022 Market share (%)]])*10000</f>
        <v>-1.1430671150783378</v>
      </c>
      <c r="T238" s="10">
        <v>7.3077796748027057E-2</v>
      </c>
      <c r="U238" s="5">
        <v>125</v>
      </c>
      <c r="V238" s="5">
        <f t="shared" si="24"/>
        <v>1171.5519999999999</v>
      </c>
      <c r="W238" s="10">
        <v>6.8376068376068383E-2</v>
      </c>
      <c r="X238" s="10">
        <f t="shared" si="25"/>
        <v>0.16208798071774577</v>
      </c>
      <c r="Y238" s="8">
        <f>(Table1[[#This Row],[2023 Market share (%)]]-Table1[[#This Row],[2019 Market share (%)]])*10000</f>
        <v>6.919871610393483</v>
      </c>
      <c r="Z238" s="10">
        <f t="shared" si="26"/>
        <v>2.2767271016222557E-2</v>
      </c>
      <c r="AA238" s="10">
        <f t="shared" si="27"/>
        <v>0.13621936646749933</v>
      </c>
      <c r="AB238" s="5">
        <v>136471</v>
      </c>
      <c r="AC238" s="6">
        <f>Table1[[#This Row],[2022 U.S. Sales ($000)]]/SUMIF($E:$E, E238, $AB:$AB)</f>
        <v>3.1015211546419341E-3</v>
      </c>
      <c r="AD238" s="5">
        <v>117</v>
      </c>
      <c r="AE238" s="5">
        <f t="shared" si="28"/>
        <v>1166.4188034188035</v>
      </c>
      <c r="AF238" s="5">
        <v>114100</v>
      </c>
      <c r="AG238" s="6">
        <f>Table1[[#This Row],[2021 U.S. Sales ($000)]]/SUMIF($E:$E, E238, $AF:$AF)</f>
        <v>2.9399571848443841E-3</v>
      </c>
      <c r="AH238" s="5">
        <v>105</v>
      </c>
      <c r="AI238" s="12">
        <f t="shared" si="29"/>
        <v>1086.6666666666667</v>
      </c>
      <c r="AJ238" s="5">
        <v>90700</v>
      </c>
      <c r="AK238" s="6">
        <f>Table1[[#This Row],[2020 U.S. Sales ($000)]]/SUMIF($E:$E, E238, $AJ:$AJ)</f>
        <v>2.9250001894639043E-3</v>
      </c>
      <c r="AL238" s="5">
        <v>90</v>
      </c>
      <c r="AM238" s="5">
        <f t="shared" si="30"/>
        <v>1007.7777777777778</v>
      </c>
      <c r="AN238" s="5">
        <v>80300</v>
      </c>
      <c r="AO238" s="6">
        <f>Table1[[#This Row],[2019 U.S. Sales ($000)]]/SUMIF($E:$E, E238, $AN:$AN)</f>
        <v>2.295227282094752E-3</v>
      </c>
      <c r="AP238" s="5">
        <v>75</v>
      </c>
      <c r="AQ238" s="5">
        <f t="shared" si="31"/>
        <v>1070.6666666666667</v>
      </c>
    </row>
    <row r="239" spans="1:43" x14ac:dyDescent="0.25">
      <c r="A239" t="s">
        <v>304</v>
      </c>
      <c r="B239">
        <v>2425</v>
      </c>
      <c r="C239" t="s">
        <v>44</v>
      </c>
      <c r="D239" t="s">
        <v>56</v>
      </c>
      <c r="E239" t="s">
        <v>59</v>
      </c>
      <c r="F239" s="5">
        <v>246</v>
      </c>
      <c r="G239" s="5">
        <v>164000</v>
      </c>
      <c r="H239" s="6">
        <f>Table1[[#This Row],[2024 U.S. Sales ($000)]]/SUMIF($E:$E, E239, $G:$G)</f>
        <v>4.6960455860034934E-3</v>
      </c>
      <c r="I239" s="5">
        <v>68</v>
      </c>
      <c r="J239" s="5">
        <f>Table1[[#This Row],[2024 U.S. Sales ($000)]]/Table1[[#This Row],[2024 U.S. Units]]</f>
        <v>2411.7647058823532</v>
      </c>
      <c r="K239" s="6">
        <f>Table1[[#This Row],[2024 U.S. Units]]/Table1[[#This Row],[2023 U.S. Units]]-1</f>
        <v>9.6774193548387011E-2</v>
      </c>
      <c r="L239" s="8">
        <f>(Table1[[#This Row],[2024 Market share (%)]]-Table1[[#This Row],[2023 Market share (%)]])*10000</f>
        <v>7.1679508723369869</v>
      </c>
      <c r="M239" s="6">
        <f>_xlfn.RRI(5,Table1[[#This Row],[2019 U.S. Sales ($000)]],Table1[[#This Row],[2024 U.S. Sales ($000)]])</f>
        <v>-8.261655318645611E-2</v>
      </c>
      <c r="N239" s="9">
        <f>(Table1[[#This Row],[2024 Market share (%)]]-Table1[[#This Row],[2019 Market share (%)]])*10000</f>
        <v>-30.309000736082641</v>
      </c>
      <c r="O239" s="6">
        <f>IF(Table1[[#This Row],[2024 AUV]]=0,"",_xlfn.RRI(5,Table1[[#This Row],[2019 AUV]],Table1[[#This Row],[2024 AUV]]))</f>
        <v>-1.9169780579876283E-2</v>
      </c>
      <c r="P239" s="6">
        <f>_xlfn.RRI(5,Table1[[#This Row],[2019 U.S. Units]],Table1[[#This Row],[2024 U.S. Units]])</f>
        <v>-6.4686804454383573E-2</v>
      </c>
      <c r="Q239" s="5">
        <v>150300</v>
      </c>
      <c r="R239" s="6">
        <f>Table1[[#This Row],[2023 U.S. Sales ($000)]]/SUMIF($E:$E, E239, $Q:$Q)</f>
        <v>3.9792504987697947E-3</v>
      </c>
      <c r="S239" s="8">
        <f>(Table1[[#This Row],[2023 Market share (%)]]-Table1[[#This Row],[2022 Market share (%)]])*10000</f>
        <v>-0.95523333815188305</v>
      </c>
      <c r="T239" s="10">
        <v>3.0864197530864196E-2</v>
      </c>
      <c r="U239" s="5">
        <v>62</v>
      </c>
      <c r="V239" s="5">
        <f t="shared" si="24"/>
        <v>2424.1935483870966</v>
      </c>
      <c r="W239" s="10">
        <v>6.8965517241379309E-2</v>
      </c>
      <c r="X239" s="10">
        <f t="shared" si="25"/>
        <v>-0.12154927115496694</v>
      </c>
      <c r="Y239" s="8">
        <f>(Table1[[#This Row],[2023 Market share (%)]]-Table1[[#This Row],[2019 Market share (%)]])*10000</f>
        <v>-37.476951608419625</v>
      </c>
      <c r="Z239" s="10">
        <f t="shared" si="26"/>
        <v>-2.2649394292099001E-2</v>
      </c>
      <c r="AA239" s="10">
        <f t="shared" si="27"/>
        <v>-0.10119181006823452</v>
      </c>
      <c r="AB239" s="5">
        <v>145800</v>
      </c>
      <c r="AC239" s="6">
        <f>Table1[[#This Row],[2022 U.S. Sales ($000)]]/SUMIF($E:$E, E239, $AB:$AB)</f>
        <v>4.074773832584983E-3</v>
      </c>
      <c r="AD239" s="5">
        <v>58</v>
      </c>
      <c r="AE239" s="5">
        <f t="shared" si="28"/>
        <v>2513.7931034482758</v>
      </c>
      <c r="AF239" s="5">
        <v>156200</v>
      </c>
      <c r="AG239" s="6">
        <f>Table1[[#This Row],[2021 U.S. Sales ($000)]]/SUMIF($E:$E, E239, $AF:$AF)</f>
        <v>4.7079171433106254E-3</v>
      </c>
      <c r="AH239" s="5">
        <v>65</v>
      </c>
      <c r="AI239" s="12">
        <f t="shared" si="29"/>
        <v>2403.0769230769229</v>
      </c>
      <c r="AJ239" s="5">
        <v>163000</v>
      </c>
      <c r="AK239" s="6">
        <f>Table1[[#This Row],[2020 U.S. Sales ($000)]]/SUMIF($E:$E, E239, $AJ:$AJ)</f>
        <v>5.7234239305694601E-3</v>
      </c>
      <c r="AL239" s="5">
        <v>77</v>
      </c>
      <c r="AM239" s="5">
        <f t="shared" si="30"/>
        <v>2116.8831168831171</v>
      </c>
      <c r="AN239" s="5">
        <v>252400</v>
      </c>
      <c r="AO239" s="6">
        <f>Table1[[#This Row],[2019 U.S. Sales ($000)]]/SUMIF($E:$E, E239, $AN:$AN)</f>
        <v>7.7269456596117574E-3</v>
      </c>
      <c r="AP239" s="5">
        <v>95</v>
      </c>
      <c r="AQ239" s="5">
        <f t="shared" si="31"/>
        <v>2656.8421052631579</v>
      </c>
    </row>
    <row r="240" spans="1:43" x14ac:dyDescent="0.25">
      <c r="A240" t="s">
        <v>305</v>
      </c>
      <c r="B240">
        <v>31295</v>
      </c>
      <c r="C240" t="s">
        <v>44</v>
      </c>
      <c r="D240" t="s">
        <v>45</v>
      </c>
      <c r="E240" t="s">
        <v>112</v>
      </c>
      <c r="F240" s="5">
        <v>256</v>
      </c>
      <c r="G240" s="5">
        <v>163000</v>
      </c>
      <c r="H240" s="6">
        <f>Table1[[#This Row],[2024 U.S. Sales ($000)]]/SUMIF($E:$E, E240, $G:$G)</f>
        <v>1.9853836784409256E-2</v>
      </c>
      <c r="I240" s="5">
        <v>215</v>
      </c>
      <c r="J240" s="5">
        <f>Table1[[#This Row],[2024 U.S. Sales ($000)]]/Table1[[#This Row],[2024 U.S. Units]]</f>
        <v>758.1395348837209</v>
      </c>
      <c r="K240" s="6">
        <f>Table1[[#This Row],[2024 U.S. Units]]/Table1[[#This Row],[2023 U.S. Units]]-1</f>
        <v>3.8647342995169032E-2</v>
      </c>
      <c r="L240" s="8">
        <f>(Table1[[#This Row],[2024 Market share (%)]]-Table1[[#This Row],[2023 Market share (%)]])*10000</f>
        <v>21.384124708682013</v>
      </c>
      <c r="M240" s="6">
        <f>_xlfn.RRI(5,Table1[[#This Row],[2019 U.S. Sales ($000)]],Table1[[#This Row],[2024 U.S. Sales ($000)]])</f>
        <v>0.11448917208925535</v>
      </c>
      <c r="N240" s="9">
        <f>(Table1[[#This Row],[2024 Market share (%)]]-Table1[[#This Row],[2019 Market share (%)]])*10000</f>
        <v>3.3459890769877569</v>
      </c>
      <c r="O240" s="6">
        <f>IF(Table1[[#This Row],[2024 AUV]]=0,"",_xlfn.RRI(5,Table1[[#This Row],[2019 AUV]],Table1[[#This Row],[2024 AUV]]))</f>
        <v>4.9222478424439498E-2</v>
      </c>
      <c r="P240" s="6">
        <f>_xlfn.RRI(5,Table1[[#This Row],[2019 U.S. Units]],Table1[[#This Row],[2024 U.S. Units]])</f>
        <v>6.2204818336358159E-2</v>
      </c>
      <c r="Q240" s="5">
        <v>146601</v>
      </c>
      <c r="R240" s="6">
        <f>Table1[[#This Row],[2023 U.S. Sales ($000)]]/SUMIF($E:$E, E240, $Q:$Q)</f>
        <v>1.7715424313541055E-2</v>
      </c>
      <c r="S240" s="8">
        <f>(Table1[[#This Row],[2023 Market share (%)]]-Table1[[#This Row],[2022 Market share (%)]])*10000</f>
        <v>9.5662878108986735</v>
      </c>
      <c r="T240" s="10">
        <v>0.18525794950156443</v>
      </c>
      <c r="U240" s="5">
        <v>207</v>
      </c>
      <c r="V240" s="5">
        <f t="shared" si="24"/>
        <v>708.21739130434787</v>
      </c>
      <c r="W240" s="10">
        <v>0.20348837209302326</v>
      </c>
      <c r="X240" s="10">
        <f t="shared" si="25"/>
        <v>0.11514707312633909</v>
      </c>
      <c r="Y240" s="8">
        <f>(Table1[[#This Row],[2023 Market share (%)]]-Table1[[#This Row],[2019 Market share (%)]])*10000</f>
        <v>-18.038135631694256</v>
      </c>
      <c r="Z240" s="10">
        <f t="shared" si="26"/>
        <v>4.3971982695097944E-2</v>
      </c>
      <c r="AA240" s="10">
        <f t="shared" si="27"/>
        <v>6.8177203613737802E-2</v>
      </c>
      <c r="AB240" s="5">
        <v>123687</v>
      </c>
      <c r="AC240" s="6">
        <f>Table1[[#This Row],[2022 U.S. Sales ($000)]]/SUMIF($E:$E, E240, $AB:$AB)</f>
        <v>1.6758795532451187E-2</v>
      </c>
      <c r="AD240" s="5">
        <v>172</v>
      </c>
      <c r="AE240" s="5">
        <f t="shared" si="28"/>
        <v>719.1104651162791</v>
      </c>
      <c r="AF240" s="5">
        <v>98300</v>
      </c>
      <c r="AG240" s="6">
        <f>Table1[[#This Row],[2021 U.S. Sales ($000)]]/SUMIF($E:$E, E240, $AF:$AF)</f>
        <v>1.5713217005441281E-2</v>
      </c>
      <c r="AH240" s="5">
        <v>159</v>
      </c>
      <c r="AI240" s="12">
        <f t="shared" si="29"/>
        <v>618.23899371069183</v>
      </c>
      <c r="AJ240" s="5">
        <v>84400</v>
      </c>
      <c r="AK240" s="6">
        <f>Table1[[#This Row],[2020 U.S. Sales ($000)]]/SUMIF($E:$E, E240, $AJ:$AJ)</f>
        <v>1.8286835515114591E-2</v>
      </c>
      <c r="AL240" s="5">
        <v>148</v>
      </c>
      <c r="AM240" s="5">
        <f t="shared" si="30"/>
        <v>570.27027027027032</v>
      </c>
      <c r="AN240" s="5">
        <v>94800</v>
      </c>
      <c r="AO240" s="6">
        <f>Table1[[#This Row],[2019 U.S. Sales ($000)]]/SUMIF($E:$E, E240, $AN:$AN)</f>
        <v>1.951923787671048E-2</v>
      </c>
      <c r="AP240" s="5">
        <v>159</v>
      </c>
      <c r="AQ240" s="5">
        <f t="shared" si="31"/>
        <v>596.22641509433959</v>
      </c>
    </row>
    <row r="241" spans="1:43" x14ac:dyDescent="0.25">
      <c r="A241" t="s">
        <v>306</v>
      </c>
      <c r="B241">
        <v>27410</v>
      </c>
      <c r="C241" t="s">
        <v>68</v>
      </c>
      <c r="D241" t="s">
        <v>92</v>
      </c>
      <c r="E241" t="s">
        <v>93</v>
      </c>
      <c r="F241" s="5">
        <v>249</v>
      </c>
      <c r="G241" s="5">
        <v>162000</v>
      </c>
      <c r="H241" s="6">
        <f>Table1[[#This Row],[2024 U.S. Sales ($000)]]/SUMIF($E:$E, E241, $G:$G)</f>
        <v>1.0080268807168192E-2</v>
      </c>
      <c r="I241" s="5">
        <v>62</v>
      </c>
      <c r="J241" s="5">
        <f>Table1[[#This Row],[2024 U.S. Sales ($000)]]/Table1[[#This Row],[2024 U.S. Units]]</f>
        <v>2612.9032258064517</v>
      </c>
      <c r="K241" s="6">
        <f>Table1[[#This Row],[2024 U.S. Units]]/Table1[[#This Row],[2023 U.S. Units]]-1</f>
        <v>0.10714285714285721</v>
      </c>
      <c r="L241" s="8">
        <f>(Table1[[#This Row],[2024 Market share (%)]]-Table1[[#This Row],[2023 Market share (%)]])*10000</f>
        <v>15.713508401223995</v>
      </c>
      <c r="M241" s="6">
        <f>_xlfn.RRI(5,Table1[[#This Row],[2019 U.S. Sales ($000)]],Table1[[#This Row],[2024 U.S. Sales ($000)]])</f>
        <v>2.6559643999281013E-2</v>
      </c>
      <c r="N241" s="9">
        <f>(Table1[[#This Row],[2024 Market share (%)]]-Table1[[#This Row],[2019 Market share (%)]])*10000</f>
        <v>16.940247261538875</v>
      </c>
      <c r="O241" s="6">
        <f>IF(Table1[[#This Row],[2024 AUV]]=0,"",_xlfn.RRI(5,Table1[[#This Row],[2019 AUV]],Table1[[#This Row],[2024 AUV]]))</f>
        <v>4.5701261564259354E-2</v>
      </c>
      <c r="P241" s="6">
        <f>_xlfn.RRI(5,Table1[[#This Row],[2019 U.S. Units]],Table1[[#This Row],[2024 U.S. Units]])</f>
        <v>-1.8305053525845993E-2</v>
      </c>
      <c r="Q241" s="5">
        <v>148909</v>
      </c>
      <c r="R241" s="6">
        <f>Table1[[#This Row],[2023 U.S. Sales ($000)]]/SUMIF($E:$E, E241, $Q:$Q)</f>
        <v>8.5089179670457919E-3</v>
      </c>
      <c r="S241" s="8">
        <f>(Table1[[#This Row],[2023 Market share (%)]]-Table1[[#This Row],[2022 Market share (%)]])*10000</f>
        <v>1.8989065629670085</v>
      </c>
      <c r="T241" s="10">
        <v>8.3762736535662297E-2</v>
      </c>
      <c r="U241" s="5">
        <v>56</v>
      </c>
      <c r="V241" s="5">
        <f t="shared" si="24"/>
        <v>2659.0892857142858</v>
      </c>
      <c r="W241" s="10">
        <v>0</v>
      </c>
      <c r="X241" s="10">
        <f t="shared" si="25"/>
        <v>1.1769812008150415E-2</v>
      </c>
      <c r="Y241" s="8">
        <f>(Table1[[#This Row],[2023 Market share (%)]]-Table1[[#This Row],[2019 Market share (%)]])*10000</f>
        <v>1.2267388603148799</v>
      </c>
      <c r="Z241" s="10">
        <f t="shared" si="26"/>
        <v>6.2091513608051541E-2</v>
      </c>
      <c r="AA241" s="10">
        <f t="shared" si="27"/>
        <v>-4.7379817045098416E-2</v>
      </c>
      <c r="AB241" s="5">
        <v>137400</v>
      </c>
      <c r="AC241" s="6">
        <f>Table1[[#This Row],[2022 U.S. Sales ($000)]]/SUMIF($E:$E, E241, $AB:$AB)</f>
        <v>8.3190273107490911E-3</v>
      </c>
      <c r="AD241" s="5">
        <v>56</v>
      </c>
      <c r="AE241" s="5">
        <f t="shared" si="28"/>
        <v>2453.5714285714284</v>
      </c>
      <c r="AF241" s="5">
        <v>122100</v>
      </c>
      <c r="AG241" s="6">
        <f>Table1[[#This Row],[2021 U.S. Sales ($000)]]/SUMIF($E:$E, E241, $AF:$AF)</f>
        <v>8.0873872327775903E-3</v>
      </c>
      <c r="AH241" s="5">
        <v>58</v>
      </c>
      <c r="AI241" s="12">
        <f t="shared" si="29"/>
        <v>2105.1724137931033</v>
      </c>
      <c r="AJ241" s="5">
        <v>105000</v>
      </c>
      <c r="AK241" s="6">
        <f>Table1[[#This Row],[2020 U.S. Sales ($000)]]/SUMIF($E:$E, E241, $AJ:$AJ)</f>
        <v>9.8389126371087616E-3</v>
      </c>
      <c r="AL241" s="5">
        <v>60</v>
      </c>
      <c r="AM241" s="5">
        <f t="shared" si="30"/>
        <v>1750</v>
      </c>
      <c r="AN241" s="5">
        <v>142100</v>
      </c>
      <c r="AO241" s="6">
        <f>Table1[[#This Row],[2019 U.S. Sales ($000)]]/SUMIF($E:$E, E241, $AN:$AN)</f>
        <v>8.3862440810143039E-3</v>
      </c>
      <c r="AP241" s="5">
        <v>68</v>
      </c>
      <c r="AQ241" s="5">
        <f t="shared" si="31"/>
        <v>2089.705882352941</v>
      </c>
    </row>
    <row r="242" spans="1:43" x14ac:dyDescent="0.25">
      <c r="A242" t="s">
        <v>307</v>
      </c>
      <c r="B242">
        <v>255</v>
      </c>
      <c r="C242" t="s">
        <v>44</v>
      </c>
      <c r="D242" t="s">
        <v>45</v>
      </c>
      <c r="E242" t="s">
        <v>76</v>
      </c>
      <c r="F242" s="5">
        <v>306</v>
      </c>
      <c r="G242" s="5">
        <v>161000</v>
      </c>
      <c r="H242" s="6">
        <f>Table1[[#This Row],[2024 U.S. Sales ($000)]]/SUMIF($E:$E, E242, $G:$G)</f>
        <v>2.2882319499715746E-2</v>
      </c>
      <c r="I242" s="5">
        <v>336</v>
      </c>
      <c r="J242" s="5">
        <f>Table1[[#This Row],[2024 U.S. Sales ($000)]]/Table1[[#This Row],[2024 U.S. Units]]</f>
        <v>479.16666666666669</v>
      </c>
      <c r="K242" s="6">
        <f>Table1[[#This Row],[2024 U.S. Units]]/Table1[[#This Row],[2023 U.S. Units]]-1</f>
        <v>3.0674846625766916E-2</v>
      </c>
      <c r="L242" s="8">
        <f>(Table1[[#This Row],[2024 Market share (%)]]-Table1[[#This Row],[2023 Market share (%)]])*10000</f>
        <v>89.800240434000131</v>
      </c>
      <c r="M242" s="6">
        <f>_xlfn.RRI(5,Table1[[#This Row],[2019 U.S. Sales ($000)]],Table1[[#This Row],[2024 U.S. Sales ($000)]])</f>
        <v>7.016930846834768E-2</v>
      </c>
      <c r="N242" s="9">
        <f>(Table1[[#This Row],[2024 Market share (%)]]-Table1[[#This Row],[2019 Market share (%)]])*10000</f>
        <v>48.169319317894164</v>
      </c>
      <c r="O242" s="6">
        <f>IF(Table1[[#This Row],[2024 AUV]]=0,"",_xlfn.RRI(5,Table1[[#This Row],[2019 AUV]],Table1[[#This Row],[2024 AUV]]))</f>
        <v>5.2389077589346522E-2</v>
      </c>
      <c r="P242" s="6">
        <f>_xlfn.RRI(5,Table1[[#This Row],[2019 U.S. Units]],Table1[[#This Row],[2024 U.S. Units]])</f>
        <v>1.6895111568175469E-2</v>
      </c>
      <c r="Q242" s="5">
        <v>112800</v>
      </c>
      <c r="R242" s="6">
        <f>Table1[[#This Row],[2023 U.S. Sales ($000)]]/SUMIF($E:$E, E242, $Q:$Q)</f>
        <v>1.3902295456315734E-2</v>
      </c>
      <c r="S242" s="8">
        <f>(Table1[[#This Row],[2023 Market share (%)]]-Table1[[#This Row],[2022 Market share (%)]])*10000</f>
        <v>-7.9944839362076392</v>
      </c>
      <c r="T242" s="10">
        <v>1.8970189701897018E-2</v>
      </c>
      <c r="U242" s="5">
        <v>326</v>
      </c>
      <c r="V242" s="5">
        <f t="shared" si="24"/>
        <v>346.01226993865032</v>
      </c>
      <c r="W242" s="10">
        <v>-6.0975609756097563E-3</v>
      </c>
      <c r="X242" s="10">
        <f t="shared" si="25"/>
        <v>-4.1672142328047501E-3</v>
      </c>
      <c r="Y242" s="8">
        <f>(Table1[[#This Row],[2023 Market share (%)]]-Table1[[#This Row],[2019 Market share (%)]])*10000</f>
        <v>-41.630921116105959</v>
      </c>
      <c r="Z242" s="10">
        <f t="shared" si="26"/>
        <v>-1.7411582955629723E-2</v>
      </c>
      <c r="AA242" s="10">
        <f t="shared" si="27"/>
        <v>1.3479060502935791E-2</v>
      </c>
      <c r="AB242" s="5">
        <v>110700</v>
      </c>
      <c r="AC242" s="6">
        <f>Table1[[#This Row],[2022 U.S. Sales ($000)]]/SUMIF($E:$E, E242, $AB:$AB)</f>
        <v>1.4701743849936498E-2</v>
      </c>
      <c r="AD242" s="5">
        <v>328</v>
      </c>
      <c r="AE242" s="5">
        <f t="shared" si="28"/>
        <v>337.5</v>
      </c>
      <c r="AF242" s="5">
        <v>103300</v>
      </c>
      <c r="AG242" s="6">
        <f>Table1[[#This Row],[2021 U.S. Sales ($000)]]/SUMIF($E:$E, E242, $AF:$AF)</f>
        <v>1.4148645975949767E-2</v>
      </c>
      <c r="AH242" s="5">
        <v>325</v>
      </c>
      <c r="AI242" s="12">
        <f t="shared" si="29"/>
        <v>317.84615384615387</v>
      </c>
      <c r="AJ242" s="5">
        <v>83700</v>
      </c>
      <c r="AK242" s="6">
        <f>Table1[[#This Row],[2020 U.S. Sales ($000)]]/SUMIF($E:$E, E242, $AJ:$AJ)</f>
        <v>1.3098152894410109E-2</v>
      </c>
      <c r="AL242" s="5">
        <v>311</v>
      </c>
      <c r="AM242" s="5">
        <f t="shared" si="30"/>
        <v>269.13183279742765</v>
      </c>
      <c r="AN242" s="5">
        <v>114700</v>
      </c>
      <c r="AO242" s="6">
        <f>Table1[[#This Row],[2019 U.S. Sales ($000)]]/SUMIF($E:$E, E242, $AN:$AN)</f>
        <v>1.806538756792633E-2</v>
      </c>
      <c r="AP242" s="5">
        <v>309</v>
      </c>
      <c r="AQ242" s="5">
        <f t="shared" si="31"/>
        <v>371.19741100323625</v>
      </c>
    </row>
    <row r="243" spans="1:43" x14ac:dyDescent="0.25">
      <c r="A243" t="s">
        <v>308</v>
      </c>
      <c r="B243">
        <v>7710</v>
      </c>
      <c r="C243" t="s">
        <v>68</v>
      </c>
      <c r="D243" t="s">
        <v>69</v>
      </c>
      <c r="E243" t="s">
        <v>87</v>
      </c>
      <c r="F243" s="5">
        <v>235</v>
      </c>
      <c r="G243" s="5">
        <v>160000</v>
      </c>
      <c r="H243" s="6">
        <f>Table1[[#This Row],[2024 U.S. Sales ($000)]]/SUMIF($E:$E, E243, $G:$G)</f>
        <v>2.0047613081067537E-2</v>
      </c>
      <c r="I243" s="5">
        <v>43</v>
      </c>
      <c r="J243" s="5">
        <f>Table1[[#This Row],[2024 U.S. Sales ($000)]]/Table1[[#This Row],[2024 U.S. Units]]</f>
        <v>3720.9302325581393</v>
      </c>
      <c r="K243" s="6">
        <f>Table1[[#This Row],[2024 U.S. Units]]/Table1[[#This Row],[2023 U.S. Units]]-1</f>
        <v>0</v>
      </c>
      <c r="L243" s="8">
        <f>(Table1[[#This Row],[2024 Market share (%)]]-Table1[[#This Row],[2023 Market share (%)]])*10000</f>
        <v>32.389168626139679</v>
      </c>
      <c r="M243" s="6">
        <f>_xlfn.RRI(5,Table1[[#This Row],[2019 U.S. Sales ($000)]],Table1[[#This Row],[2024 U.S. Sales ($000)]])</f>
        <v>-4.0747126864341121E-3</v>
      </c>
      <c r="N243" s="9">
        <f>(Table1[[#This Row],[2024 Market share (%)]]-Table1[[#This Row],[2019 Market share (%)]])*10000</f>
        <v>9.6795146289725</v>
      </c>
      <c r="O243" s="6">
        <f>IF(Table1[[#This Row],[2024 AUV]]=0,"",_xlfn.RRI(5,Table1[[#This Row],[2019 AUV]],Table1[[#This Row],[2024 AUV]]))</f>
        <v>-8.7506248813031817E-3</v>
      </c>
      <c r="P243" s="6">
        <f>_xlfn.RRI(5,Table1[[#This Row],[2019 U.S. Units]],Table1[[#This Row],[2024 U.S. Units]])</f>
        <v>4.7171905599527886E-3</v>
      </c>
      <c r="Q243" s="5">
        <v>163900</v>
      </c>
      <c r="R243" s="6">
        <f>Table1[[#This Row],[2023 U.S. Sales ($000)]]/SUMIF($E:$E, E243, $Q:$Q)</f>
        <v>1.6808696218453569E-2</v>
      </c>
      <c r="S243" s="8">
        <f>(Table1[[#This Row],[2023 Market share (%)]]-Table1[[#This Row],[2022 Market share (%)]])*10000</f>
        <v>-3.4386718194920687</v>
      </c>
      <c r="T243" s="10">
        <v>2.0547945205479451E-2</v>
      </c>
      <c r="U243" s="5">
        <v>43</v>
      </c>
      <c r="V243" s="5">
        <f t="shared" si="24"/>
        <v>3811.6279069767443</v>
      </c>
      <c r="W243" s="10">
        <v>0</v>
      </c>
      <c r="X243" s="10">
        <f t="shared" si="25"/>
        <v>9.1729189845435322E-4</v>
      </c>
      <c r="Y243" s="8">
        <f>(Table1[[#This Row],[2023 Market share (%)]]-Table1[[#This Row],[2019 Market share (%)]])*10000</f>
        <v>-22.70965399716718</v>
      </c>
      <c r="Z243" s="10">
        <f t="shared" si="26"/>
        <v>-4.9534439410895414E-3</v>
      </c>
      <c r="AA243" s="10">
        <f t="shared" si="27"/>
        <v>5.8999609654406537E-3</v>
      </c>
      <c r="AB243" s="5">
        <v>160600</v>
      </c>
      <c r="AC243" s="6">
        <f>Table1[[#This Row],[2022 U.S. Sales ($000)]]/SUMIF($E:$E, E243, $AB:$AB)</f>
        <v>1.7152563400402776E-2</v>
      </c>
      <c r="AD243" s="5">
        <v>43</v>
      </c>
      <c r="AE243" s="5">
        <f t="shared" si="28"/>
        <v>3734.8837209302324</v>
      </c>
      <c r="AF243" s="5">
        <v>149500</v>
      </c>
      <c r="AG243" s="6">
        <f>Table1[[#This Row],[2021 U.S. Sales ($000)]]/SUMIF($E:$E, E243, $AF:$AF)</f>
        <v>1.752934083346798E-2</v>
      </c>
      <c r="AH243" s="5">
        <v>42</v>
      </c>
      <c r="AI243" s="12">
        <f t="shared" si="29"/>
        <v>3559.5238095238096</v>
      </c>
      <c r="AJ243" s="5">
        <v>123400</v>
      </c>
      <c r="AK243" s="6">
        <f>Table1[[#This Row],[2020 U.S. Sales ($000)]]/SUMIF($E:$E, E243, $AJ:$AJ)</f>
        <v>1.8624860445611107E-2</v>
      </c>
      <c r="AL243" s="5">
        <v>42</v>
      </c>
      <c r="AM243" s="5">
        <f t="shared" si="30"/>
        <v>2938.0952380952381</v>
      </c>
      <c r="AN243" s="5">
        <v>163300</v>
      </c>
      <c r="AO243" s="6">
        <f>Table1[[#This Row],[2019 U.S. Sales ($000)]]/SUMIF($E:$E, E243, $AN:$AN)</f>
        <v>1.9079661618170287E-2</v>
      </c>
      <c r="AP243" s="5">
        <v>42</v>
      </c>
      <c r="AQ243" s="5">
        <f t="shared" si="31"/>
        <v>3888.0952380952381</v>
      </c>
    </row>
    <row r="244" spans="1:43" x14ac:dyDescent="0.25">
      <c r="A244" t="s">
        <v>309</v>
      </c>
      <c r="B244">
        <v>31412</v>
      </c>
      <c r="C244" t="s">
        <v>44</v>
      </c>
      <c r="D244" t="s">
        <v>56</v>
      </c>
      <c r="E244" t="s">
        <v>63</v>
      </c>
      <c r="F244" s="5">
        <v>275</v>
      </c>
      <c r="G244" s="5">
        <v>159000</v>
      </c>
      <c r="H244" s="6">
        <f>Table1[[#This Row],[2024 U.S. Sales ($000)]]/SUMIF($E:$E, E244, $G:$G)</f>
        <v>2.0332480818414322E-2</v>
      </c>
      <c r="I244" s="5">
        <v>158</v>
      </c>
      <c r="J244" s="5">
        <f>Table1[[#This Row],[2024 U.S. Sales ($000)]]/Table1[[#This Row],[2024 U.S. Units]]</f>
        <v>1006.3291139240506</v>
      </c>
      <c r="K244" s="6">
        <f>Table1[[#This Row],[2024 U.S. Units]]/Table1[[#This Row],[2023 U.S. Units]]-1</f>
        <v>0.13669064748201443</v>
      </c>
      <c r="L244" s="8">
        <f>(Table1[[#This Row],[2024 Market share (%)]]-Table1[[#This Row],[2023 Market share (%)]])*10000</f>
        <v>44.403385790006276</v>
      </c>
      <c r="M244" s="6">
        <f>_xlfn.RRI(5,Table1[[#This Row],[2019 U.S. Sales ($000)]],Table1[[#This Row],[2024 U.S. Sales ($000)]])</f>
        <v>0.29838690297574355</v>
      </c>
      <c r="N244" s="9">
        <f>(Table1[[#This Row],[2024 Market share (%)]]-Table1[[#This Row],[2019 Market share (%)]])*10000</f>
        <v>129.47898127026127</v>
      </c>
      <c r="O244" s="6">
        <f>IF(Table1[[#This Row],[2024 AUV]]=0,"",_xlfn.RRI(5,Table1[[#This Row],[2019 AUV]],Table1[[#This Row],[2024 AUV]]))</f>
        <v>8.0291150705436465E-2</v>
      </c>
      <c r="P244" s="6">
        <f>_xlfn.RRI(5,Table1[[#This Row],[2019 U.S. Units]],Table1[[#This Row],[2024 U.S. Units]])</f>
        <v>0.20188608610548098</v>
      </c>
      <c r="Q244" s="5">
        <v>131243</v>
      </c>
      <c r="R244" s="6">
        <f>Table1[[#This Row],[2023 U.S. Sales ($000)]]/SUMIF($E:$E, E244, $Q:$Q)</f>
        <v>1.5892142239413695E-2</v>
      </c>
      <c r="S244" s="8">
        <f>(Table1[[#This Row],[2023 Market share (%)]]-Table1[[#This Row],[2022 Market share (%)]])*10000</f>
        <v>13.599702455287956</v>
      </c>
      <c r="T244" s="10">
        <v>0.18756899578333966</v>
      </c>
      <c r="U244" s="5">
        <v>139</v>
      </c>
      <c r="V244" s="5">
        <f t="shared" si="24"/>
        <v>944.19424460431651</v>
      </c>
      <c r="W244" s="10">
        <v>0.13934426229508196</v>
      </c>
      <c r="X244" s="10">
        <f t="shared" si="25"/>
        <v>0.32106721185414466</v>
      </c>
      <c r="Y244" s="8">
        <f>(Table1[[#This Row],[2023 Market share (%)]]-Table1[[#This Row],[2019 Market share (%)]])*10000</f>
        <v>85.075595480254989</v>
      </c>
      <c r="Z244" s="10">
        <f t="shared" si="26"/>
        <v>8.3942765302754241E-2</v>
      </c>
      <c r="AA244" s="10">
        <f t="shared" si="27"/>
        <v>0.21876103991999929</v>
      </c>
      <c r="AB244" s="5">
        <v>110514</v>
      </c>
      <c r="AC244" s="6">
        <f>Table1[[#This Row],[2022 U.S. Sales ($000)]]/SUMIF($E:$E, E244, $AB:$AB)</f>
        <v>1.45321719938849E-2</v>
      </c>
      <c r="AD244" s="5">
        <v>122</v>
      </c>
      <c r="AE244" s="5">
        <f t="shared" si="28"/>
        <v>905.85245901639348</v>
      </c>
      <c r="AF244" s="5">
        <v>92708</v>
      </c>
      <c r="AG244" s="6">
        <f>Table1[[#This Row],[2021 U.S. Sales ($000)]]/SUMIF($E:$E, E244, $AF:$AF)</f>
        <v>1.3993622356950577E-2</v>
      </c>
      <c r="AH244" s="5">
        <v>101</v>
      </c>
      <c r="AI244" s="12">
        <f t="shared" si="29"/>
        <v>917.90099009900985</v>
      </c>
      <c r="AJ244" s="5">
        <v>60437</v>
      </c>
      <c r="AK244" s="6">
        <f>Table1[[#This Row],[2020 U.S. Sales ($000)]]/SUMIF($E:$E, E244, $AJ:$AJ)</f>
        <v>1.1018738802270731E-2</v>
      </c>
      <c r="AL244" s="5">
        <v>88</v>
      </c>
      <c r="AM244" s="5">
        <f t="shared" si="30"/>
        <v>686.78409090909088</v>
      </c>
      <c r="AN244" s="5">
        <v>43090</v>
      </c>
      <c r="AO244" s="6">
        <f>Table1[[#This Row],[2019 U.S. Sales ($000)]]/SUMIF($E:$E, E244, $AN:$AN)</f>
        <v>7.3845826913881956E-3</v>
      </c>
      <c r="AP244" s="5">
        <v>63</v>
      </c>
      <c r="AQ244" s="5">
        <f t="shared" si="31"/>
        <v>683.96825396825398</v>
      </c>
    </row>
    <row r="245" spans="1:43" x14ac:dyDescent="0.25">
      <c r="A245" t="s">
        <v>310</v>
      </c>
      <c r="B245">
        <v>878</v>
      </c>
      <c r="C245" t="s">
        <v>44</v>
      </c>
      <c r="D245" t="s">
        <v>45</v>
      </c>
      <c r="E245" t="s">
        <v>112</v>
      </c>
      <c r="F245" s="5">
        <v>237</v>
      </c>
      <c r="G245" s="5">
        <v>159000</v>
      </c>
      <c r="H245" s="6">
        <f>Table1[[#This Row],[2024 U.S. Sales ($000)]]/SUMIF($E:$E, E245, $G:$G)</f>
        <v>1.9366626065773447E-2</v>
      </c>
      <c r="I245" s="5">
        <v>397</v>
      </c>
      <c r="J245" s="5">
        <f>Table1[[#This Row],[2024 U.S. Sales ($000)]]/Table1[[#This Row],[2024 U.S. Units]]</f>
        <v>400.50377833753151</v>
      </c>
      <c r="K245" s="6">
        <f>Table1[[#This Row],[2024 U.S. Units]]/Table1[[#This Row],[2023 U.S. Units]]-1</f>
        <v>-1.2437810945273631E-2</v>
      </c>
      <c r="L245" s="8">
        <f>(Table1[[#This Row],[2024 Market share (%)]]-Table1[[#This Row],[2023 Market share (%)]])*10000</f>
        <v>0.44861172018743206</v>
      </c>
      <c r="M245" s="6">
        <f>_xlfn.RRI(5,Table1[[#This Row],[2019 U.S. Sales ($000)]],Table1[[#This Row],[2024 U.S. Sales ($000)]])</f>
        <v>2.1724443287591377E-2</v>
      </c>
      <c r="N245" s="9">
        <f>(Table1[[#This Row],[2024 Market share (%)]]-Table1[[#This Row],[2019 Market share (%)]])*10000</f>
        <v>-100.35770229524621</v>
      </c>
      <c r="O245" s="6">
        <f>IF(Table1[[#This Row],[2024 AUV]]=0,"",_xlfn.RRI(5,Table1[[#This Row],[2019 AUV]],Table1[[#This Row],[2024 AUV]]))</f>
        <v>1.9272353509660611E-3</v>
      </c>
      <c r="P245" s="6">
        <f>_xlfn.RRI(5,Table1[[#This Row],[2019 U.S. Units]],Table1[[#This Row],[2024 U.S. Units]])</f>
        <v>1.9759127447703806E-2</v>
      </c>
      <c r="Q245" s="5">
        <v>159894</v>
      </c>
      <c r="R245" s="6">
        <f>Table1[[#This Row],[2023 U.S. Sales ($000)]]/SUMIF($E:$E, E245, $Q:$Q)</f>
        <v>1.9321764893754704E-2</v>
      </c>
      <c r="S245" s="8">
        <f>(Table1[[#This Row],[2023 Market share (%)]]-Table1[[#This Row],[2022 Market share (%)]])*10000</f>
        <v>1.3438227354445331</v>
      </c>
      <c r="T245" s="10">
        <v>0.12910720212412877</v>
      </c>
      <c r="U245" s="5">
        <v>402</v>
      </c>
      <c r="V245" s="5">
        <f t="shared" si="24"/>
        <v>397.74626865671644</v>
      </c>
      <c r="W245" s="10">
        <v>9.2391304347826081E-2</v>
      </c>
      <c r="X245" s="10">
        <f t="shared" si="25"/>
        <v>2.866980016672982E-2</v>
      </c>
      <c r="Y245" s="8">
        <f>(Table1[[#This Row],[2023 Market share (%)]]-Table1[[#This Row],[2019 Market share (%)]])*10000</f>
        <v>-100.80631401543364</v>
      </c>
      <c r="Z245" s="10">
        <f t="shared" si="26"/>
        <v>6.7972806283278508E-4</v>
      </c>
      <c r="AA245" s="10">
        <f t="shared" si="27"/>
        <v>2.7971059389882535E-2</v>
      </c>
      <c r="AB245" s="5">
        <v>141611</v>
      </c>
      <c r="AC245" s="6">
        <f>Table1[[#This Row],[2022 U.S. Sales ($000)]]/SUMIF($E:$E, E245, $AB:$AB)</f>
        <v>1.9187382620210251E-2</v>
      </c>
      <c r="AD245" s="5">
        <v>368</v>
      </c>
      <c r="AE245" s="5">
        <f t="shared" si="28"/>
        <v>384.8125</v>
      </c>
      <c r="AF245" s="5">
        <v>141847</v>
      </c>
      <c r="AG245" s="6">
        <f>Table1[[#This Row],[2021 U.S. Sales ($000)]]/SUMIF($E:$E, E245, $AF:$AF)</f>
        <v>2.2674188123813117E-2</v>
      </c>
      <c r="AH245" s="5">
        <v>365</v>
      </c>
      <c r="AI245" s="12">
        <f t="shared" si="29"/>
        <v>388.62191780821917</v>
      </c>
      <c r="AJ245" s="5">
        <v>115400</v>
      </c>
      <c r="AK245" s="6">
        <f>Table1[[#This Row],[2020 U.S. Sales ($000)]]/SUMIF($E:$E, E245, $AJ:$AJ)</f>
        <v>2.5003564199576108E-2</v>
      </c>
      <c r="AL245" s="5">
        <v>361</v>
      </c>
      <c r="AM245" s="5">
        <f t="shared" si="30"/>
        <v>319.66759002770084</v>
      </c>
      <c r="AN245" s="5">
        <v>142800</v>
      </c>
      <c r="AO245" s="6">
        <f>Table1[[#This Row],[2019 U.S. Sales ($000)]]/SUMIF($E:$E, E245, $AN:$AN)</f>
        <v>2.9402396295298068E-2</v>
      </c>
      <c r="AP245" s="5">
        <v>360</v>
      </c>
      <c r="AQ245" s="5">
        <f t="shared" si="31"/>
        <v>396.66666666666669</v>
      </c>
    </row>
    <row r="246" spans="1:43" x14ac:dyDescent="0.25">
      <c r="A246" t="s">
        <v>311</v>
      </c>
      <c r="B246">
        <v>1645</v>
      </c>
      <c r="C246" t="s">
        <v>68</v>
      </c>
      <c r="D246" t="s">
        <v>69</v>
      </c>
      <c r="E246" t="s">
        <v>73</v>
      </c>
      <c r="F246" s="5">
        <v>233</v>
      </c>
      <c r="G246" s="5">
        <v>158365</v>
      </c>
      <c r="H246" s="6">
        <f>Table1[[#This Row],[2024 U.S. Sales ($000)]]/SUMIF($E:$E, E246, $G:$G)</f>
        <v>1.9854281994367107E-2</v>
      </c>
      <c r="I246" s="5">
        <v>44</v>
      </c>
      <c r="J246" s="5">
        <f>Table1[[#This Row],[2024 U.S. Sales ($000)]]/Table1[[#This Row],[2024 U.S. Units]]</f>
        <v>3599.2045454545455</v>
      </c>
      <c r="K246" s="6">
        <f>Table1[[#This Row],[2024 U.S. Units]]/Table1[[#This Row],[2023 U.S. Units]]-1</f>
        <v>-0.29032258064516125</v>
      </c>
      <c r="L246" s="8">
        <f>(Table1[[#This Row],[2024 Market share (%)]]-Table1[[#This Row],[2023 Market share (%)]])*10000</f>
        <v>25.07773361643477</v>
      </c>
      <c r="M246" s="6">
        <f>_xlfn.RRI(5,Table1[[#This Row],[2019 U.S. Sales ($000)]],Table1[[#This Row],[2024 U.S. Sales ($000)]])</f>
        <v>-3.5464148558131181E-2</v>
      </c>
      <c r="N246" s="9">
        <f>(Table1[[#This Row],[2024 Market share (%)]]-Table1[[#This Row],[2019 Market share (%)]])*10000</f>
        <v>-9.432285315632317</v>
      </c>
      <c r="O246" s="6">
        <f>IF(Table1[[#This Row],[2024 AUV]]=0,"",_xlfn.RRI(5,Table1[[#This Row],[2019 AUV]],Table1[[#This Row],[2024 AUV]]))</f>
        <v>7.594620480916614E-2</v>
      </c>
      <c r="P246" s="6">
        <f>_xlfn.RRI(5,Table1[[#This Row],[2019 U.S. Units]],Table1[[#This Row],[2024 U.S. Units]])</f>
        <v>-0.10354639745865135</v>
      </c>
      <c r="Q246" s="5">
        <v>166700</v>
      </c>
      <c r="R246" s="6">
        <f>Table1[[#This Row],[2023 U.S. Sales ($000)]]/SUMIF($E:$E, E246, $Q:$Q)</f>
        <v>1.734650863272363E-2</v>
      </c>
      <c r="S246" s="8">
        <f>(Table1[[#This Row],[2023 Market share (%)]]-Table1[[#This Row],[2022 Market share (%)]])*10000</f>
        <v>-23.40185470458167</v>
      </c>
      <c r="T246" s="10">
        <v>-7.798672566371681E-2</v>
      </c>
      <c r="U246" s="5">
        <v>62</v>
      </c>
      <c r="V246" s="5">
        <f t="shared" si="24"/>
        <v>2688.7096774193546</v>
      </c>
      <c r="W246" s="10">
        <v>-8.8235294117647065E-2</v>
      </c>
      <c r="X246" s="10">
        <f t="shared" si="25"/>
        <v>-3.1795565943198212E-2</v>
      </c>
      <c r="Y246" s="8">
        <f>(Table1[[#This Row],[2023 Market share (%)]]-Table1[[#This Row],[2019 Market share (%)]])*10000</f>
        <v>-34.510018932067084</v>
      </c>
      <c r="Z246" s="10">
        <f t="shared" si="26"/>
        <v>1.8761543971248962E-2</v>
      </c>
      <c r="AA246" s="10">
        <f t="shared" si="27"/>
        <v>-4.9626048621122631E-2</v>
      </c>
      <c r="AB246" s="5">
        <v>180800</v>
      </c>
      <c r="AC246" s="6">
        <f>Table1[[#This Row],[2022 U.S. Sales ($000)]]/SUMIF($E:$E, E246, $AB:$AB)</f>
        <v>1.9686694103181798E-2</v>
      </c>
      <c r="AD246" s="5">
        <v>68</v>
      </c>
      <c r="AE246" s="5">
        <f t="shared" si="28"/>
        <v>2658.8235294117649</v>
      </c>
      <c r="AF246" s="5">
        <v>170600</v>
      </c>
      <c r="AG246" s="6">
        <f>Table1[[#This Row],[2021 U.S. Sales ($000)]]/SUMIF($E:$E, E246, $AF:$AF)</f>
        <v>2.0373939414639761E-2</v>
      </c>
      <c r="AH246" s="5">
        <v>70</v>
      </c>
      <c r="AI246" s="12">
        <f t="shared" si="29"/>
        <v>2437.1428571428573</v>
      </c>
      <c r="AJ246" s="5">
        <v>121400</v>
      </c>
      <c r="AK246" s="6">
        <f>Table1[[#This Row],[2020 U.S. Sales ($000)]]/SUMIF($E:$E, E246, $AJ:$AJ)</f>
        <v>1.7597061783515843E-2</v>
      </c>
      <c r="AL246" s="5">
        <v>74</v>
      </c>
      <c r="AM246" s="5">
        <f t="shared" si="30"/>
        <v>1640.5405405405406</v>
      </c>
      <c r="AN246" s="5">
        <v>189700</v>
      </c>
      <c r="AO246" s="6">
        <f>Table1[[#This Row],[2019 U.S. Sales ($000)]]/SUMIF($E:$E, E246, $AN:$AN)</f>
        <v>2.0797510525930339E-2</v>
      </c>
      <c r="AP246" s="5">
        <v>76</v>
      </c>
      <c r="AQ246" s="5">
        <f t="shared" si="31"/>
        <v>2496.0526315789475</v>
      </c>
    </row>
    <row r="247" spans="1:43" x14ac:dyDescent="0.25">
      <c r="A247" t="s">
        <v>312</v>
      </c>
      <c r="B247">
        <v>1839</v>
      </c>
      <c r="C247" t="s">
        <v>68</v>
      </c>
      <c r="D247" t="s">
        <v>69</v>
      </c>
      <c r="E247" t="s">
        <v>79</v>
      </c>
      <c r="F247" s="5">
        <v>225</v>
      </c>
      <c r="G247" s="5">
        <v>158000</v>
      </c>
      <c r="H247" s="6">
        <f>Table1[[#This Row],[2024 U.S. Sales ($000)]]/SUMIF($E:$E, E247, $G:$G)</f>
        <v>7.5957886640065381E-3</v>
      </c>
      <c r="I247" s="5">
        <v>55</v>
      </c>
      <c r="J247" s="5">
        <f>Table1[[#This Row],[2024 U.S. Sales ($000)]]/Table1[[#This Row],[2024 U.S. Units]]</f>
        <v>2872.7272727272725</v>
      </c>
      <c r="K247" s="6">
        <f>Table1[[#This Row],[2024 U.S. Units]]/Table1[[#This Row],[2023 U.S. Units]]-1</f>
        <v>-9.8360655737704916E-2</v>
      </c>
      <c r="L247" s="8">
        <f>(Table1[[#This Row],[2024 Market share (%)]]-Table1[[#This Row],[2023 Market share (%)]])*10000</f>
        <v>3.4157990798326567</v>
      </c>
      <c r="M247" s="6">
        <f>_xlfn.RRI(5,Table1[[#This Row],[2019 U.S. Sales ($000)]],Table1[[#This Row],[2024 U.S. Sales ($000)]])</f>
        <v>-2.4975879695872449E-2</v>
      </c>
      <c r="N247" s="9">
        <f>(Table1[[#This Row],[2024 Market share (%)]]-Table1[[#This Row],[2019 Market share (%)]])*10000</f>
        <v>-2.5555135786861811</v>
      </c>
      <c r="O247" s="6">
        <f>IF(Table1[[#This Row],[2024 AUV]]=0,"",_xlfn.RRI(5,Table1[[#This Row],[2019 AUV]],Table1[[#This Row],[2024 AUV]]))</f>
        <v>-4.574438965398997E-3</v>
      </c>
      <c r="P247" s="6">
        <f>_xlfn.RRI(5,Table1[[#This Row],[2019 U.S. Units]],Table1[[#This Row],[2024 U.S. Units]])</f>
        <v>-2.0495194747931822E-2</v>
      </c>
      <c r="Q247" s="5">
        <v>174991</v>
      </c>
      <c r="R247" s="6">
        <f>Table1[[#This Row],[2023 U.S. Sales ($000)]]/SUMIF($E:$E, E247, $Q:$Q)</f>
        <v>7.2542087560232725E-3</v>
      </c>
      <c r="S247" s="8">
        <f>(Table1[[#This Row],[2023 Market share (%)]]-Table1[[#This Row],[2022 Market share (%)]])*10000</f>
        <v>-8.2511867313601446</v>
      </c>
      <c r="T247" s="10">
        <v>-7.8994736842105256E-2</v>
      </c>
      <c r="U247" s="5">
        <v>61</v>
      </c>
      <c r="V247" s="5">
        <f t="shared" si="24"/>
        <v>2868.7049180327867</v>
      </c>
      <c r="W247" s="10">
        <v>0</v>
      </c>
      <c r="X247" s="10">
        <f t="shared" si="25"/>
        <v>-6.0630045020435563E-3</v>
      </c>
      <c r="Y247" s="8">
        <f>(Table1[[#This Row],[2023 Market share (%)]]-Table1[[#This Row],[2019 Market share (%)]])*10000</f>
        <v>-5.9713126585188379</v>
      </c>
      <c r="Z247" s="10">
        <f t="shared" si="26"/>
        <v>-6.0630045020435563E-3</v>
      </c>
      <c r="AA247" s="10">
        <f t="shared" si="27"/>
        <v>0</v>
      </c>
      <c r="AB247" s="5">
        <v>190000</v>
      </c>
      <c r="AC247" s="6">
        <f>Table1[[#This Row],[2022 U.S. Sales ($000)]]/SUMIF($E:$E, E247, $AB:$AB)</f>
        <v>8.079327429159287E-3</v>
      </c>
      <c r="AD247" s="5">
        <v>61</v>
      </c>
      <c r="AE247" s="5">
        <f t="shared" si="28"/>
        <v>3114.7540983606559</v>
      </c>
      <c r="AF247" s="5">
        <v>186000</v>
      </c>
      <c r="AG247" s="6">
        <f>Table1[[#This Row],[2021 U.S. Sales ($000)]]/SUMIF($E:$E, E247, $AF:$AF)</f>
        <v>8.5634945134933742E-3</v>
      </c>
      <c r="AH247" s="5">
        <v>61</v>
      </c>
      <c r="AI247" s="12">
        <f t="shared" si="29"/>
        <v>3049.1803278688526</v>
      </c>
      <c r="AJ247" s="5">
        <v>121000</v>
      </c>
      <c r="AK247" s="6">
        <f>Table1[[#This Row],[2020 U.S. Sales ($000)]]/SUMIF($E:$E, E247, $AJ:$AJ)</f>
        <v>7.420446223934226E-3</v>
      </c>
      <c r="AL247" s="5">
        <v>61</v>
      </c>
      <c r="AM247" s="5">
        <f t="shared" si="30"/>
        <v>1983.6065573770493</v>
      </c>
      <c r="AN247" s="5">
        <v>179300</v>
      </c>
      <c r="AO247" s="6">
        <f>Table1[[#This Row],[2019 U.S. Sales ($000)]]/SUMIF($E:$E, E247, $AN:$AN)</f>
        <v>7.8513400218751563E-3</v>
      </c>
      <c r="AP247" s="5">
        <v>61</v>
      </c>
      <c r="AQ247" s="5">
        <f t="shared" si="31"/>
        <v>2939.344262295082</v>
      </c>
    </row>
    <row r="248" spans="1:43" x14ac:dyDescent="0.25">
      <c r="A248" t="s">
        <v>313</v>
      </c>
      <c r="B248">
        <v>940</v>
      </c>
      <c r="C248" t="s">
        <v>68</v>
      </c>
      <c r="D248" t="s">
        <v>69</v>
      </c>
      <c r="E248" t="s">
        <v>73</v>
      </c>
      <c r="F248" s="5">
        <v>205</v>
      </c>
      <c r="G248" s="5">
        <v>155000</v>
      </c>
      <c r="H248" s="6">
        <f>Table1[[#This Row],[2024 U.S. Sales ($000)]]/SUMIF($E:$E, E248, $G:$G)</f>
        <v>1.943241062814954E-2</v>
      </c>
      <c r="I248" s="5">
        <v>59</v>
      </c>
      <c r="J248" s="5">
        <f>Table1[[#This Row],[2024 U.S. Sales ($000)]]/Table1[[#This Row],[2024 U.S. Units]]</f>
        <v>2627.1186440677966</v>
      </c>
      <c r="K248" s="6">
        <f>Table1[[#This Row],[2024 U.S. Units]]/Table1[[#This Row],[2023 U.S. Units]]-1</f>
        <v>-0.19178082191780821</v>
      </c>
      <c r="L248" s="8">
        <f>(Table1[[#This Row],[2024 Market share (%)]]-Table1[[#This Row],[2023 Market share (%)]])*10000</f>
        <v>-7.1326466456368696</v>
      </c>
      <c r="M248" s="6">
        <f>_xlfn.RRI(5,Table1[[#This Row],[2019 U.S. Sales ($000)]],Table1[[#This Row],[2024 U.S. Sales ($000)]])</f>
        <v>-0.10876567541938054</v>
      </c>
      <c r="N248" s="9">
        <f>(Table1[[#This Row],[2024 Market share (%)]]-Table1[[#This Row],[2019 Market share (%)]])*10000</f>
        <v>-107.89102044846938</v>
      </c>
      <c r="O248" s="6">
        <f>IF(Table1[[#This Row],[2024 AUV]]=0,"",_xlfn.RRI(5,Table1[[#This Row],[2019 AUV]],Table1[[#This Row],[2024 AUV]]))</f>
        <v>7.6432538024897578E-3</v>
      </c>
      <c r="P248" s="6">
        <f>_xlfn.RRI(5,Table1[[#This Row],[2019 U.S. Units]],Table1[[#This Row],[2024 U.S. Units]])</f>
        <v>-0.11552593517853083</v>
      </c>
      <c r="Q248" s="5">
        <v>193600</v>
      </c>
      <c r="R248" s="6">
        <f>Table1[[#This Row],[2023 U.S. Sales ($000)]]/SUMIF($E:$E, E248, $Q:$Q)</f>
        <v>2.0145675292713227E-2</v>
      </c>
      <c r="S248" s="8">
        <f>(Table1[[#This Row],[2023 Market share (%)]]-Table1[[#This Row],[2022 Market share (%)]])*10000</f>
        <v>-28.402822580703877</v>
      </c>
      <c r="T248" s="10">
        <v>-8.2899099952629091E-2</v>
      </c>
      <c r="U248" s="5">
        <v>73</v>
      </c>
      <c r="V248" s="5">
        <f t="shared" si="24"/>
        <v>2652.0547945205481</v>
      </c>
      <c r="W248" s="10">
        <v>-8.7499999999999994E-2</v>
      </c>
      <c r="X248" s="10">
        <f t="shared" si="25"/>
        <v>-8.4552813737874155E-2</v>
      </c>
      <c r="Y248" s="8">
        <f>(Table1[[#This Row],[2023 Market share (%)]]-Table1[[#This Row],[2019 Market share (%)]])*10000</f>
        <v>-100.75837380283249</v>
      </c>
      <c r="Z248" s="10">
        <f t="shared" si="26"/>
        <v>1.1950346896637098E-2</v>
      </c>
      <c r="AA248" s="10">
        <f t="shared" si="27"/>
        <v>-9.5363533329929528E-2</v>
      </c>
      <c r="AB248" s="5">
        <v>211100</v>
      </c>
      <c r="AC248" s="6">
        <f>Table1[[#This Row],[2022 U.S. Sales ($000)]]/SUMIF($E:$E, E248, $AB:$AB)</f>
        <v>2.2985957550783614E-2</v>
      </c>
      <c r="AD248" s="5">
        <v>80</v>
      </c>
      <c r="AE248" s="5">
        <f t="shared" si="28"/>
        <v>2638.75</v>
      </c>
      <c r="AF248" s="5">
        <v>208000</v>
      </c>
      <c r="AG248" s="6">
        <f>Table1[[#This Row],[2021 U.S. Sales ($000)]]/SUMIF($E:$E, E248, $AF:$AF)</f>
        <v>2.4840441959232535E-2</v>
      </c>
      <c r="AH248" s="5">
        <v>83</v>
      </c>
      <c r="AI248" s="12">
        <f t="shared" si="29"/>
        <v>2506.0240963855422</v>
      </c>
      <c r="AJ248" s="5">
        <v>192500</v>
      </c>
      <c r="AK248" s="6">
        <f>Table1[[#This Row],[2020 U.S. Sales ($000)]]/SUMIF($E:$E, E248, $AJ:$AJ)</f>
        <v>2.7903083964800658E-2</v>
      </c>
      <c r="AL248" s="5">
        <v>85</v>
      </c>
      <c r="AM248" s="5">
        <f t="shared" si="30"/>
        <v>2264.705882352941</v>
      </c>
      <c r="AN248" s="5">
        <v>275659</v>
      </c>
      <c r="AO248" s="6">
        <f>Table1[[#This Row],[2019 U.S. Sales ($000)]]/SUMIF($E:$E, E248, $AN:$AN)</f>
        <v>3.0221512672996477E-2</v>
      </c>
      <c r="AP248" s="5">
        <v>109</v>
      </c>
      <c r="AQ248" s="5">
        <f t="shared" si="31"/>
        <v>2528.9816513761466</v>
      </c>
    </row>
    <row r="249" spans="1:43" x14ac:dyDescent="0.25">
      <c r="A249" t="s">
        <v>314</v>
      </c>
      <c r="B249">
        <v>2646</v>
      </c>
      <c r="C249" t="s">
        <v>44</v>
      </c>
      <c r="D249" t="s">
        <v>45</v>
      </c>
      <c r="E249" t="s">
        <v>59</v>
      </c>
      <c r="F249" s="5">
        <v>253</v>
      </c>
      <c r="G249" s="5">
        <v>153000</v>
      </c>
      <c r="H249" s="6">
        <f>Table1[[#This Row],[2024 U.S. Sales ($000)]]/SUMIF($E:$E, E249, $G:$G)</f>
        <v>4.3810669186496003E-3</v>
      </c>
      <c r="I249" s="5">
        <v>91</v>
      </c>
      <c r="J249" s="5">
        <f>Table1[[#This Row],[2024 U.S. Sales ($000)]]/Table1[[#This Row],[2024 U.S. Units]]</f>
        <v>1681.3186813186812</v>
      </c>
      <c r="K249" s="6">
        <f>Table1[[#This Row],[2024 U.S. Units]]/Table1[[#This Row],[2023 U.S. Units]]-1</f>
        <v>1.1111111111111072E-2</v>
      </c>
      <c r="L249" s="8">
        <f>(Table1[[#This Row],[2024 Market share (%)]]-Table1[[#This Row],[2023 Market share (%)]])*10000</f>
        <v>4.8179856064350197</v>
      </c>
      <c r="M249" s="6">
        <f>_xlfn.RRI(5,Table1[[#This Row],[2019 U.S. Sales ($000)]],Table1[[#This Row],[2024 U.S. Sales ($000)]])</f>
        <v>7.2196655156192779E-2</v>
      </c>
      <c r="N249" s="9">
        <f>(Table1[[#This Row],[2024 Market share (%)]]-Table1[[#This Row],[2019 Market share (%)]])*10000</f>
        <v>10.755628352465898</v>
      </c>
      <c r="O249" s="6">
        <f>IF(Table1[[#This Row],[2024 AUV]]=0,"",_xlfn.RRI(5,Table1[[#This Row],[2019 AUV]],Table1[[#This Row],[2024 AUV]]))</f>
        <v>6.0146441293648323E-2</v>
      </c>
      <c r="P249" s="6">
        <f>_xlfn.RRI(5,Table1[[#This Row],[2019 U.S. Units]],Table1[[#This Row],[2024 U.S. Units]])</f>
        <v>1.1366555971116687E-2</v>
      </c>
      <c r="Q249" s="5">
        <v>147279</v>
      </c>
      <c r="R249" s="6">
        <f>Table1[[#This Row],[2023 U.S. Sales ($000)]]/SUMIF($E:$E, E249, $Q:$Q)</f>
        <v>3.8992683580060983E-3</v>
      </c>
      <c r="S249" s="8">
        <f>(Table1[[#This Row],[2023 Market share (%)]]-Table1[[#This Row],[2022 Market share (%)]])*10000</f>
        <v>6.5458062541647211E-2</v>
      </c>
      <c r="T249" s="10">
        <v>5.7385523311747053E-2</v>
      </c>
      <c r="U249" s="5">
        <v>90</v>
      </c>
      <c r="V249" s="5">
        <f t="shared" si="24"/>
        <v>1636.4333333333334</v>
      </c>
      <c r="W249" s="10">
        <v>2.2727272727272728E-2</v>
      </c>
      <c r="X249" s="10">
        <f t="shared" si="25"/>
        <v>8.0700640964685766E-2</v>
      </c>
      <c r="Y249" s="8">
        <f>(Table1[[#This Row],[2023 Market share (%)]]-Table1[[#This Row],[2019 Market share (%)]])*10000</f>
        <v>5.9376427460308774</v>
      </c>
      <c r="Z249" s="10">
        <f t="shared" si="26"/>
        <v>6.8487373751095371E-2</v>
      </c>
      <c r="AA249" s="10">
        <f t="shared" si="27"/>
        <v>1.1430427269078391E-2</v>
      </c>
      <c r="AB249" s="5">
        <v>139286</v>
      </c>
      <c r="AC249" s="6">
        <f>Table1[[#This Row],[2022 U.S. Sales ($000)]]/SUMIF($E:$E, E249, $AB:$AB)</f>
        <v>3.8927225517519336E-3</v>
      </c>
      <c r="AD249" s="5">
        <v>88</v>
      </c>
      <c r="AE249" s="5">
        <f t="shared" si="28"/>
        <v>1582.7954545454545</v>
      </c>
      <c r="AF249" s="5">
        <v>131699</v>
      </c>
      <c r="AG249" s="6">
        <f>Table1[[#This Row],[2021 U.S. Sales ($000)]]/SUMIF($E:$E, E249, $AF:$AF)</f>
        <v>3.9694492948582974E-3</v>
      </c>
      <c r="AH249" s="5">
        <v>87</v>
      </c>
      <c r="AI249" s="12">
        <f t="shared" si="29"/>
        <v>1513.7816091954023</v>
      </c>
      <c r="AJ249" s="5">
        <v>113477</v>
      </c>
      <c r="AK249" s="6">
        <f>Table1[[#This Row],[2020 U.S. Sales ($000)]]/SUMIF($E:$E, E249, $AJ:$AJ)</f>
        <v>3.9845213335535619E-3</v>
      </c>
      <c r="AL249" s="5">
        <v>86</v>
      </c>
      <c r="AM249" s="5">
        <f t="shared" si="30"/>
        <v>1319.5</v>
      </c>
      <c r="AN249" s="5">
        <v>107974</v>
      </c>
      <c r="AO249" s="6">
        <f>Table1[[#This Row],[2019 U.S. Sales ($000)]]/SUMIF($E:$E, E249, $AN:$AN)</f>
        <v>3.3055040834030105E-3</v>
      </c>
      <c r="AP249" s="5">
        <v>86</v>
      </c>
      <c r="AQ249" s="5">
        <f t="shared" si="31"/>
        <v>1255.5116279069769</v>
      </c>
    </row>
    <row r="250" spans="1:43" x14ac:dyDescent="0.25">
      <c r="A250" t="s">
        <v>315</v>
      </c>
      <c r="B250">
        <v>6307</v>
      </c>
      <c r="C250" t="s">
        <v>44</v>
      </c>
      <c r="D250" t="s">
        <v>45</v>
      </c>
      <c r="E250" t="s">
        <v>48</v>
      </c>
      <c r="F250" s="5">
        <v>260</v>
      </c>
      <c r="G250" s="5">
        <v>152000</v>
      </c>
      <c r="H250" s="6">
        <f>Table1[[#This Row],[2024 U.S. Sales ($000)]]/SUMIF($E:$E, E250, $G:$G)</f>
        <v>3.008053509155644E-3</v>
      </c>
      <c r="I250" s="5">
        <v>184</v>
      </c>
      <c r="J250" s="5">
        <f>Table1[[#This Row],[2024 U.S. Sales ($000)]]/Table1[[#This Row],[2024 U.S. Units]]</f>
        <v>826.08695652173913</v>
      </c>
      <c r="K250" s="6">
        <f>Table1[[#This Row],[2024 U.S. Units]]/Table1[[#This Row],[2023 U.S. Units]]-1</f>
        <v>0.10179640718562877</v>
      </c>
      <c r="L250" s="8">
        <f>(Table1[[#This Row],[2024 Market share (%)]]-Table1[[#This Row],[2023 Market share (%)]])*10000</f>
        <v>1.4412663051242403</v>
      </c>
      <c r="M250" s="6">
        <f>_xlfn.RRI(5,Table1[[#This Row],[2019 U.S. Sales ($000)]],Table1[[#This Row],[2024 U.S. Sales ($000)]])</f>
        <v>0.18050005570479932</v>
      </c>
      <c r="N250" s="9">
        <f>(Table1[[#This Row],[2024 Market share (%)]]-Table1[[#This Row],[2019 Market share (%)]])*10000</f>
        <v>11.129903858320818</v>
      </c>
      <c r="O250" s="6">
        <f>IF(Table1[[#This Row],[2024 AUV]]=0,"",_xlfn.RRI(5,Table1[[#This Row],[2019 AUV]],Table1[[#This Row],[2024 AUV]]))</f>
        <v>4.0752978474921653E-2</v>
      </c>
      <c r="P250" s="6">
        <f>_xlfn.RRI(5,Table1[[#This Row],[2019 U.S. Units]],Table1[[#This Row],[2024 U.S. Units]])</f>
        <v>0.13427497217894846</v>
      </c>
      <c r="Q250" s="5">
        <v>140400</v>
      </c>
      <c r="R250" s="6">
        <f>Table1[[#This Row],[2023 U.S. Sales ($000)]]/SUMIF($E:$E, E250, $Q:$Q)</f>
        <v>2.86392687864322E-3</v>
      </c>
      <c r="S250" s="8">
        <f>(Table1[[#This Row],[2023 Market share (%)]]-Table1[[#This Row],[2022 Market share (%)]])*10000</f>
        <v>1.0946355718589613</v>
      </c>
      <c r="T250" s="10">
        <v>0.15841584158415842</v>
      </c>
      <c r="U250" s="5">
        <v>167</v>
      </c>
      <c r="V250" s="5">
        <f t="shared" si="24"/>
        <v>840.71856287425146</v>
      </c>
      <c r="W250" s="10">
        <v>0.15172413793103448</v>
      </c>
      <c r="X250" s="10">
        <f t="shared" si="25"/>
        <v>0.20632240724360162</v>
      </c>
      <c r="Y250" s="8">
        <f>(Table1[[#This Row],[2023 Market share (%)]]-Table1[[#This Row],[2019 Market share (%)]])*10000</f>
        <v>9.6886375531965765</v>
      </c>
      <c r="Z250" s="10">
        <f t="shared" si="26"/>
        <v>5.5822216119768564E-2</v>
      </c>
      <c r="AA250" s="10">
        <f t="shared" si="27"/>
        <v>0.14254311836412503</v>
      </c>
      <c r="AB250" s="5">
        <v>121200</v>
      </c>
      <c r="AC250" s="6">
        <f>Table1[[#This Row],[2022 U.S. Sales ($000)]]/SUMIF($E:$E, E250, $AB:$AB)</f>
        <v>2.7544633214573238E-3</v>
      </c>
      <c r="AD250" s="5">
        <v>145</v>
      </c>
      <c r="AE250" s="5">
        <f t="shared" si="28"/>
        <v>835.86206896551721</v>
      </c>
      <c r="AF250" s="5">
        <v>103500</v>
      </c>
      <c r="AG250" s="6">
        <f>Table1[[#This Row],[2021 U.S. Sales ($000)]]/SUMIF($E:$E, E250, $AF:$AF)</f>
        <v>2.6668323280577893E-3</v>
      </c>
      <c r="AH250" s="5">
        <v>129</v>
      </c>
      <c r="AI250" s="12">
        <f t="shared" si="29"/>
        <v>802.32558139534888</v>
      </c>
      <c r="AJ250" s="5">
        <v>87600</v>
      </c>
      <c r="AK250" s="6">
        <f>Table1[[#This Row],[2020 U.S. Sales ($000)]]/SUMIF($E:$E, E250, $AJ:$AJ)</f>
        <v>2.8250277463841016E-3</v>
      </c>
      <c r="AL250" s="5">
        <v>113</v>
      </c>
      <c r="AM250" s="5">
        <f t="shared" si="30"/>
        <v>775.22123893805315</v>
      </c>
      <c r="AN250" s="5">
        <v>66300</v>
      </c>
      <c r="AO250" s="6">
        <f>Table1[[#This Row],[2019 U.S. Sales ($000)]]/SUMIF($E:$E, E250, $AN:$AN)</f>
        <v>1.8950631233235623E-3</v>
      </c>
      <c r="AP250" s="5">
        <v>98</v>
      </c>
      <c r="AQ250" s="5">
        <f t="shared" si="31"/>
        <v>676.53061224489795</v>
      </c>
    </row>
    <row r="251" spans="1:43" x14ac:dyDescent="0.25">
      <c r="A251" t="s">
        <v>316</v>
      </c>
      <c r="B251">
        <v>904</v>
      </c>
      <c r="C251" t="s">
        <v>68</v>
      </c>
      <c r="D251" t="s">
        <v>69</v>
      </c>
      <c r="E251" t="s">
        <v>79</v>
      </c>
      <c r="F251" s="5">
        <v>229</v>
      </c>
      <c r="G251" s="5">
        <v>150000</v>
      </c>
      <c r="H251" s="6">
        <f>Table1[[#This Row],[2024 U.S. Sales ($000)]]/SUMIF($E:$E, E251, $G:$G)</f>
        <v>7.2111917696264603E-3</v>
      </c>
      <c r="I251" s="5">
        <v>62</v>
      </c>
      <c r="J251" s="5">
        <f>Table1[[#This Row],[2024 U.S. Sales ($000)]]/Table1[[#This Row],[2024 U.S. Units]]</f>
        <v>2419.3548387096776</v>
      </c>
      <c r="K251" s="6">
        <f>Table1[[#This Row],[2024 U.S. Units]]/Table1[[#This Row],[2023 U.S. Units]]-1</f>
        <v>-3.125E-2</v>
      </c>
      <c r="L251" s="8">
        <f>(Table1[[#This Row],[2024 Market share (%)]]-Table1[[#This Row],[2023 Market share (%)]])*10000</f>
        <v>1.8436233612141844</v>
      </c>
      <c r="M251" s="6">
        <f>_xlfn.RRI(5,Table1[[#This Row],[2019 U.S. Sales ($000)]],Table1[[#This Row],[2024 U.S. Sales ($000)]])</f>
        <v>-0.18945520730067666</v>
      </c>
      <c r="N251" s="9">
        <f>(Table1[[#This Row],[2024 Market share (%)]]-Table1[[#This Row],[2019 Market share (%)]])*10000</f>
        <v>-115.63363372922434</v>
      </c>
      <c r="O251" s="6">
        <f>IF(Table1[[#This Row],[2024 AUV]]=0,"",_xlfn.RRI(5,Table1[[#This Row],[2019 AUV]],Table1[[#This Row],[2024 AUV]]))</f>
        <v>-1.3778017789798369E-3</v>
      </c>
      <c r="P251" s="6">
        <f>_xlfn.RRI(5,Table1[[#This Row],[2019 U.S. Units]],Table1[[#This Row],[2024 U.S. Units]])</f>
        <v>-0.18833689643264928</v>
      </c>
      <c r="Q251" s="5">
        <v>169506</v>
      </c>
      <c r="R251" s="6">
        <f>Table1[[#This Row],[2023 U.S. Sales ($000)]]/SUMIF($E:$E, E251, $Q:$Q)</f>
        <v>7.0268294335050418E-3</v>
      </c>
      <c r="S251" s="8">
        <f>(Table1[[#This Row],[2023 Market share (%)]]-Table1[[#This Row],[2022 Market share (%)]])*10000</f>
        <v>-69.395211882991333</v>
      </c>
      <c r="T251" s="10">
        <v>-0.48391202153182888</v>
      </c>
      <c r="U251" s="5">
        <v>64</v>
      </c>
      <c r="V251" s="5">
        <f t="shared" si="24"/>
        <v>2648.53125</v>
      </c>
      <c r="W251" s="10">
        <v>-0.54929577464788737</v>
      </c>
      <c r="X251" s="10">
        <f t="shared" si="25"/>
        <v>-0.20705196148193006</v>
      </c>
      <c r="Y251" s="8">
        <f>(Table1[[#This Row],[2023 Market share (%)]]-Table1[[#This Row],[2019 Market share (%)]])*10000</f>
        <v>-117.47725709043851</v>
      </c>
      <c r="Z251" s="10">
        <f t="shared" si="26"/>
        <v>2.1122633594232498E-2</v>
      </c>
      <c r="AA251" s="10">
        <f t="shared" si="27"/>
        <v>-0.22345464449555341</v>
      </c>
      <c r="AB251" s="5">
        <v>328444</v>
      </c>
      <c r="AC251" s="6">
        <f>Table1[[#This Row],[2022 U.S. Sales ($000)]]/SUMIF($E:$E, E251, $AB:$AB)</f>
        <v>1.3966350621804175E-2</v>
      </c>
      <c r="AD251" s="5">
        <v>142</v>
      </c>
      <c r="AE251" s="5">
        <f t="shared" si="28"/>
        <v>2312.9859154929577</v>
      </c>
      <c r="AF251" s="5">
        <v>363110</v>
      </c>
      <c r="AG251" s="6">
        <f>Table1[[#This Row],[2021 U.S. Sales ($000)]]/SUMIF($E:$E, E251, $AF:$AF)</f>
        <v>1.6717690821476231E-2</v>
      </c>
      <c r="AH251" s="5">
        <v>156</v>
      </c>
      <c r="AI251" s="12">
        <f t="shared" si="29"/>
        <v>2327.6282051282051</v>
      </c>
      <c r="AJ251" s="5">
        <v>306648</v>
      </c>
      <c r="AK251" s="6">
        <f>Table1[[#This Row],[2020 U.S. Sales ($000)]]/SUMIF($E:$E, E251, $AJ:$AJ)</f>
        <v>1.8805495815512253E-2</v>
      </c>
      <c r="AL251" s="5">
        <v>161</v>
      </c>
      <c r="AM251" s="5">
        <f t="shared" si="30"/>
        <v>1904.6459627329193</v>
      </c>
      <c r="AN251" s="5">
        <v>428752</v>
      </c>
      <c r="AO251" s="6">
        <f>Table1[[#This Row],[2019 U.S. Sales ($000)]]/SUMIF($E:$E, E251, $AN:$AN)</f>
        <v>1.8774555142548895E-2</v>
      </c>
      <c r="AP251" s="5">
        <v>176</v>
      </c>
      <c r="AQ251" s="5">
        <f t="shared" si="31"/>
        <v>2436.090909090909</v>
      </c>
    </row>
    <row r="252" spans="1:43" x14ac:dyDescent="0.25">
      <c r="A252" t="s">
        <v>317</v>
      </c>
      <c r="B252">
        <v>31491</v>
      </c>
      <c r="C252" t="s">
        <v>44</v>
      </c>
      <c r="D252" t="s">
        <v>56</v>
      </c>
      <c r="E252" t="s">
        <v>46</v>
      </c>
      <c r="F252" s="5">
        <v>289</v>
      </c>
      <c r="G252" s="5">
        <v>127000</v>
      </c>
      <c r="H252" s="6">
        <f>Table1[[#This Row],[2024 U.S. Sales ($000)]]/SUMIF($E:$E, E252, $G:$G)</f>
        <v>1.1518473359317498E-3</v>
      </c>
      <c r="I252" s="5">
        <v>48</v>
      </c>
      <c r="J252" s="7">
        <f>Table1[[#This Row],[2024 U.S. Sales ($000)]]/Table1[[#This Row],[2024 U.S. Units]]</f>
        <v>2645.8333333333335</v>
      </c>
      <c r="K252" s="6">
        <f>Table1[[#This Row],[2024 U.S. Units]]/Table1[[#This Row],[2023 U.S. Units]]-1</f>
        <v>4.3478260869565188E-2</v>
      </c>
      <c r="L252" s="8">
        <f>(Table1[[#This Row],[2024 Market share (%)]]-Table1[[#This Row],[2023 Market share (%)]])*10000</f>
        <v>0.50307051055347107</v>
      </c>
      <c r="M252" s="6">
        <f>_xlfn.RRI(5,Table1[[#This Row],[2019 U.S. Sales ($000)]],Table1[[#This Row],[2024 U.S. Sales ($000)]])</f>
        <v>9.3039516485035501E-2</v>
      </c>
      <c r="N252" s="9">
        <f>(Table1[[#This Row],[2024 Market share (%)]]-Table1[[#This Row],[2019 Market share (%)]])*10000</f>
        <v>2.1089835767634084</v>
      </c>
      <c r="O252" s="6">
        <f>IF(Table1[[#This Row],[2024 AUV]]=0,"",_xlfn.RRI(5,Table1[[#This Row],[2019 AUV]],Table1[[#This Row],[2024 AUV]]))</f>
        <v>7.9003857130135469E-3</v>
      </c>
      <c r="P252" s="6">
        <f>_xlfn.RRI(5,Table1[[#This Row],[2019 U.S. Units]],Table1[[#This Row],[2024 U.S. Units]])</f>
        <v>8.4471771197698553E-2</v>
      </c>
      <c r="Q252" s="5">
        <v>120600</v>
      </c>
      <c r="R252" s="6">
        <f>Table1[[#This Row],[2023 U.S. Sales ($000)]]/SUMIF($E:$E, E252, $Q:$Q)</f>
        <v>1.1015402848764027E-3</v>
      </c>
      <c r="S252" s="8">
        <f>(Table1[[#This Row],[2023 Market share (%)]]-Table1[[#This Row],[2022 Market share (%)]])*10000</f>
        <v>1.1397654101344088</v>
      </c>
      <c r="T252" s="10">
        <v>0.1952428146679881</v>
      </c>
      <c r="U252" s="5">
        <v>46</v>
      </c>
      <c r="V252" s="5">
        <f t="shared" si="24"/>
        <v>2621.7391304347825</v>
      </c>
      <c r="W252" s="10">
        <v>6.9767441860465115E-2</v>
      </c>
      <c r="X252" s="10">
        <f t="shared" si="25"/>
        <v>0.10326724796318909</v>
      </c>
      <c r="Y252" s="8">
        <f>(Table1[[#This Row],[2023 Market share (%)]]-Table1[[#This Row],[2019 Market share (%)]])*10000</f>
        <v>1.6059130662099375</v>
      </c>
      <c r="Z252" s="10">
        <f t="shared" si="26"/>
        <v>7.5781997039838789E-3</v>
      </c>
      <c r="AA252" s="10">
        <f t="shared" si="27"/>
        <v>9.4969351547421033E-2</v>
      </c>
      <c r="AB252" s="5">
        <v>100900</v>
      </c>
      <c r="AC252" s="6">
        <f>Table1[[#This Row],[2022 U.S. Sales ($000)]]/SUMIF($E:$E, E252, $AB:$AB)</f>
        <v>9.8756374386296179E-4</v>
      </c>
      <c r="AD252" s="5">
        <v>43</v>
      </c>
      <c r="AE252" s="5">
        <f t="shared" si="28"/>
        <v>2346.5116279069766</v>
      </c>
      <c r="AF252" s="5">
        <v>81300</v>
      </c>
      <c r="AG252" s="6">
        <f>Table1[[#This Row],[2021 U.S. Sales ($000)]]/SUMIF($E:$E, E252, $AF:$AF)</f>
        <v>8.3561890005911621E-4</v>
      </c>
      <c r="AH252" s="5">
        <v>36</v>
      </c>
      <c r="AI252" s="12">
        <f t="shared" si="29"/>
        <v>2258.3333333333335</v>
      </c>
      <c r="AJ252" s="5">
        <v>67200</v>
      </c>
      <c r="AK252" s="6">
        <f>Table1[[#This Row],[2020 U.S. Sales ($000)]]/SUMIF($E:$E, E252, $AJ:$AJ)</f>
        <v>7.6902517647668711E-4</v>
      </c>
      <c r="AL252" s="5">
        <v>32</v>
      </c>
      <c r="AM252" s="5">
        <f t="shared" si="30"/>
        <v>2100</v>
      </c>
      <c r="AN252" s="5">
        <v>81400</v>
      </c>
      <c r="AO252" s="6">
        <f>Table1[[#This Row],[2019 U.S. Sales ($000)]]/SUMIF($E:$E, E252, $AN:$AN)</f>
        <v>9.4094897825540891E-4</v>
      </c>
      <c r="AP252" s="5">
        <v>32</v>
      </c>
      <c r="AQ252" s="5">
        <f t="shared" si="31"/>
        <v>2543.75</v>
      </c>
    </row>
    <row r="253" spans="1:43" x14ac:dyDescent="0.25">
      <c r="A253" t="s">
        <v>318</v>
      </c>
      <c r="B253">
        <v>29889</v>
      </c>
      <c r="C253" t="s">
        <v>44</v>
      </c>
      <c r="D253" t="s">
        <v>56</v>
      </c>
      <c r="E253" t="s">
        <v>50</v>
      </c>
      <c r="F253" s="5">
        <v>280</v>
      </c>
      <c r="G253" s="5">
        <v>121000</v>
      </c>
      <c r="H253" s="6">
        <f>Table1[[#This Row],[2024 U.S. Sales ($000)]]/SUMIF($E:$E, E253, $G:$G)</f>
        <v>2.3036210638540913E-3</v>
      </c>
      <c r="I253" s="5">
        <v>58</v>
      </c>
      <c r="J253" s="5">
        <f>Table1[[#This Row],[2024 U.S. Sales ($000)]]/Table1[[#This Row],[2024 U.S. Units]]</f>
        <v>2086.2068965517242</v>
      </c>
      <c r="K253" s="6">
        <f>Table1[[#This Row],[2024 U.S. Units]]/Table1[[#This Row],[2023 U.S. Units]]-1</f>
        <v>-1.6949152542372836E-2</v>
      </c>
      <c r="L253" s="8">
        <f>(Table1[[#This Row],[2024 Market share (%)]]-Table1[[#This Row],[2023 Market share (%)]])*10000</f>
        <v>-2.9321329706619723</v>
      </c>
      <c r="M253" s="6">
        <f>_xlfn.RRI(5,Table1[[#This Row],[2019 U.S. Sales ($000)]],Table1[[#This Row],[2024 U.S. Sales ($000)]])</f>
        <v>-1.8290735520485213E-2</v>
      </c>
      <c r="N253" s="9">
        <f>(Table1[[#This Row],[2024 Market share (%)]]-Table1[[#This Row],[2019 Market share (%)]])*10000</f>
        <v>-20.189039265782093</v>
      </c>
      <c r="O253" s="6">
        <f>IF(Table1[[#This Row],[2024 AUV]]=0,"",_xlfn.RRI(5,Table1[[#This Row],[2019 AUV]],Table1[[#This Row],[2024 AUV]]))</f>
        <v>-1.1611825092960881E-2</v>
      </c>
      <c r="P253" s="6">
        <f>_xlfn.RRI(5,Table1[[#This Row],[2019 U.S. Units]],Table1[[#This Row],[2024 U.S. Units]])</f>
        <v>-6.7573758944986517E-3</v>
      </c>
      <c r="Q253" s="5">
        <v>127200</v>
      </c>
      <c r="R253" s="6">
        <f>Table1[[#This Row],[2023 U.S. Sales ($000)]]/SUMIF($E:$E, E253, $Q:$Q)</f>
        <v>2.5968343609202886E-3</v>
      </c>
      <c r="S253" s="8">
        <f>(Table1[[#This Row],[2023 Market share (%)]]-Table1[[#This Row],[2022 Market share (%)]])*10000</f>
        <v>-4.330666827866529</v>
      </c>
      <c r="T253" s="10">
        <v>-3.7821482602118005E-2</v>
      </c>
      <c r="U253" s="5">
        <v>59</v>
      </c>
      <c r="V253" s="5">
        <f t="shared" si="24"/>
        <v>2155.9322033898306</v>
      </c>
      <c r="W253" s="10">
        <v>-3.2786885245901641E-2</v>
      </c>
      <c r="X253" s="10">
        <f t="shared" si="25"/>
        <v>-1.052677419026038E-2</v>
      </c>
      <c r="Y253" s="8">
        <f>(Table1[[#This Row],[2023 Market share (%)]]-Table1[[#This Row],[2019 Market share (%)]])*10000</f>
        <v>-17.256906295120121</v>
      </c>
      <c r="Z253" s="10">
        <f t="shared" si="26"/>
        <v>-6.360478998606256E-3</v>
      </c>
      <c r="AA253" s="10">
        <f t="shared" si="27"/>
        <v>-4.1929644540057431E-3</v>
      </c>
      <c r="AB253" s="5">
        <v>132200</v>
      </c>
      <c r="AC253" s="6">
        <f>Table1[[#This Row],[2022 U.S. Sales ($000)]]/SUMIF($E:$E, E253, $AB:$AB)</f>
        <v>3.0299010437069415E-3</v>
      </c>
      <c r="AD253" s="5">
        <v>67</v>
      </c>
      <c r="AE253" s="5">
        <f t="shared" si="28"/>
        <v>1973.1343283582089</v>
      </c>
      <c r="AF253" s="5">
        <v>127100</v>
      </c>
      <c r="AG253" s="6">
        <f>Table1[[#This Row],[2021 U.S. Sales ($000)]]/SUMIF($E:$E, E253, $AF:$AF)</f>
        <v>3.2328737116165242E-3</v>
      </c>
      <c r="AH253" s="5">
        <v>62</v>
      </c>
      <c r="AI253" s="12">
        <f t="shared" si="29"/>
        <v>2050</v>
      </c>
      <c r="AJ253" s="5">
        <v>115000</v>
      </c>
      <c r="AK253" s="6">
        <f>Table1[[#This Row],[2020 U.S. Sales ($000)]]/SUMIF($E:$E, E253, $AJ:$AJ)</f>
        <v>3.400423089511466E-3</v>
      </c>
      <c r="AL253" s="5">
        <v>62</v>
      </c>
      <c r="AM253" s="5">
        <f t="shared" si="30"/>
        <v>1854.8387096774193</v>
      </c>
      <c r="AN253" s="5">
        <v>132700</v>
      </c>
      <c r="AO253" s="6">
        <f>Table1[[#This Row],[2019 U.S. Sales ($000)]]/SUMIF($E:$E, E253, $AN:$AN)</f>
        <v>4.3225249904323007E-3</v>
      </c>
      <c r="AP253" s="5">
        <v>60</v>
      </c>
      <c r="AQ253" s="5">
        <f t="shared" si="31"/>
        <v>2211.6666666666665</v>
      </c>
    </row>
    <row r="254" spans="1:43" x14ac:dyDescent="0.25">
      <c r="A254" t="s">
        <v>319</v>
      </c>
      <c r="B254">
        <v>6513</v>
      </c>
      <c r="C254" t="s">
        <v>44</v>
      </c>
      <c r="D254" t="s">
        <v>45</v>
      </c>
      <c r="E254" t="s">
        <v>59</v>
      </c>
      <c r="F254" s="5">
        <v>303</v>
      </c>
      <c r="G254" s="5">
        <v>119000</v>
      </c>
      <c r="H254" s="6">
        <f>Table1[[#This Row],[2024 U.S. Sales ($000)]]/SUMIF($E:$E, E254, $G:$G)</f>
        <v>3.4074964922830228E-3</v>
      </c>
      <c r="I254" s="5">
        <v>209</v>
      </c>
      <c r="J254" s="5">
        <f>Table1[[#This Row],[2024 U.S. Sales ($000)]]/Table1[[#This Row],[2024 U.S. Units]]</f>
        <v>569.37799043062205</v>
      </c>
      <c r="K254" s="6">
        <f>Table1[[#This Row],[2024 U.S. Units]]/Table1[[#This Row],[2023 U.S. Units]]-1</f>
        <v>2.450980392156854E-2</v>
      </c>
      <c r="L254" s="8">
        <f>(Table1[[#This Row],[2024 Market share (%)]]-Table1[[#This Row],[2023 Market share (%)]])*10000</f>
        <v>3.6017957672478333</v>
      </c>
      <c r="M254" s="6">
        <f>_xlfn.RRI(5,Table1[[#This Row],[2019 U.S. Sales ($000)]],Table1[[#This Row],[2024 U.S. Sales ($000)]])</f>
        <v>4.3456569967199377E-2</v>
      </c>
      <c r="N254" s="9">
        <f>(Table1[[#This Row],[2024 Market share (%)]]-Table1[[#This Row],[2019 Market share (%)]])*10000</f>
        <v>4.6244034151182198</v>
      </c>
      <c r="O254" s="6">
        <f>IF(Table1[[#This Row],[2024 AUV]]=0,"",_xlfn.RRI(5,Table1[[#This Row],[2019 AUV]],Table1[[#This Row],[2024 AUV]]))</f>
        <v>9.3453205526914385E-3</v>
      </c>
      <c r="P254" s="6">
        <f>_xlfn.RRI(5,Table1[[#This Row],[2019 U.S. Units]],Table1[[#This Row],[2024 U.S. Units]])</f>
        <v>3.3795420377863872E-2</v>
      </c>
      <c r="Q254" s="5">
        <v>115100</v>
      </c>
      <c r="R254" s="6">
        <f>Table1[[#This Row],[2023 U.S. Sales ($000)]]/SUMIF($E:$E, E254, $Q:$Q)</f>
        <v>3.0473169155582395E-3</v>
      </c>
      <c r="S254" s="8">
        <f>(Table1[[#This Row],[2023 Market share (%)]]-Table1[[#This Row],[2022 Market share (%)]])*10000</f>
        <v>-0.32518999056747533</v>
      </c>
      <c r="T254" s="10">
        <v>4.4464609800362979E-2</v>
      </c>
      <c r="U254" s="5">
        <v>204</v>
      </c>
      <c r="V254" s="5">
        <f t="shared" si="24"/>
        <v>564.21568627450984</v>
      </c>
      <c r="W254" s="10">
        <v>0.02</v>
      </c>
      <c r="X254" s="10">
        <f t="shared" si="25"/>
        <v>4.5863635458927021E-2</v>
      </c>
      <c r="Y254" s="8">
        <f>(Table1[[#This Row],[2023 Market share (%)]]-Table1[[#This Row],[2019 Market share (%)]])*10000</f>
        <v>1.0226076478703867</v>
      </c>
      <c r="Z254" s="10">
        <f t="shared" si="26"/>
        <v>9.3942759838128165E-3</v>
      </c>
      <c r="AA254" s="10">
        <f t="shared" si="27"/>
        <v>3.6129944802360869E-2</v>
      </c>
      <c r="AB254" s="5">
        <v>110200</v>
      </c>
      <c r="AC254" s="6">
        <f>Table1[[#This Row],[2022 U.S. Sales ($000)]]/SUMIF($E:$E, E254, $AB:$AB)</f>
        <v>3.079835914614987E-3</v>
      </c>
      <c r="AD254" s="5">
        <v>200</v>
      </c>
      <c r="AE254" s="5">
        <f t="shared" si="28"/>
        <v>551</v>
      </c>
      <c r="AF254" s="5">
        <v>102000</v>
      </c>
      <c r="AG254" s="6">
        <f>Table1[[#This Row],[2021 U.S. Sales ($000)]]/SUMIF($E:$E, E254, $AF:$AF)</f>
        <v>3.0743120910223035E-3</v>
      </c>
      <c r="AH254" s="5">
        <v>190</v>
      </c>
      <c r="AI254" s="12">
        <f t="shared" si="29"/>
        <v>536.84210526315792</v>
      </c>
      <c r="AJ254" s="5">
        <v>90400</v>
      </c>
      <c r="AK254" s="6">
        <f>Table1[[#This Row],[2020 U.S. Sales ($000)]]/SUMIF($E:$E, E254, $AJ:$AJ)</f>
        <v>3.1742179344998725E-3</v>
      </c>
      <c r="AL254" s="5">
        <v>181</v>
      </c>
      <c r="AM254" s="5">
        <f t="shared" si="30"/>
        <v>499.44751381215468</v>
      </c>
      <c r="AN254" s="5">
        <v>96200</v>
      </c>
      <c r="AO254" s="6">
        <f>Table1[[#This Row],[2019 U.S. Sales ($000)]]/SUMIF($E:$E, E254, $AN:$AN)</f>
        <v>2.9450561507712008E-3</v>
      </c>
      <c r="AP254" s="5">
        <v>177</v>
      </c>
      <c r="AQ254" s="5">
        <f t="shared" si="31"/>
        <v>543.50282485875709</v>
      </c>
    </row>
    <row r="255" spans="1:43" x14ac:dyDescent="0.25">
      <c r="A255" t="s">
        <v>320</v>
      </c>
      <c r="B255">
        <v>9239</v>
      </c>
      <c r="C255" t="s">
        <v>44</v>
      </c>
      <c r="D255" t="s">
        <v>56</v>
      </c>
      <c r="E255" t="s">
        <v>46</v>
      </c>
      <c r="F255" s="5">
        <v>250</v>
      </c>
      <c r="G255" s="5">
        <v>103500</v>
      </c>
      <c r="H255" s="6">
        <f>Table1[[#This Row],[2024 U.S. Sales ($000)]]/SUMIF($E:$E, E255, $G:$G)</f>
        <v>9.3871023046406378E-4</v>
      </c>
      <c r="I255" s="5">
        <v>68</v>
      </c>
      <c r="J255" s="7">
        <f>Table1[[#This Row],[2024 U.S. Sales ($000)]]/Table1[[#This Row],[2024 U.S. Units]]</f>
        <v>1522.0588235294117</v>
      </c>
      <c r="K255" s="6">
        <f>Table1[[#This Row],[2024 U.S. Units]]/Table1[[#This Row],[2023 U.S. Units]]-1</f>
        <v>-0.37037037037037035</v>
      </c>
      <c r="L255" s="8">
        <f>(Table1[[#This Row],[2024 Market share (%)]]-Table1[[#This Row],[2023 Market share (%)]])*10000</f>
        <v>-4.199565930487867</v>
      </c>
      <c r="M255" s="6">
        <f>_xlfn.RRI(5,Table1[[#This Row],[2019 U.S. Sales ($000)]],Table1[[#This Row],[2024 U.S. Sales ($000)]])</f>
        <v>-6.7385749651947657E-2</v>
      </c>
      <c r="N255" s="9">
        <f>(Table1[[#This Row],[2024 Market share (%)]]-Table1[[#This Row],[2019 Market share (%)]])*10000</f>
        <v>-7.5707865295201104</v>
      </c>
      <c r="O255" s="6">
        <f>IF(Table1[[#This Row],[2024 AUV]]=0,"",_xlfn.RRI(5,Table1[[#This Row],[2019 AUV]],Table1[[#This Row],[2024 AUV]]))</f>
        <v>2.8643439085946465E-2</v>
      </c>
      <c r="P255" s="6">
        <f>_xlfn.RRI(5,Table1[[#This Row],[2019 U.S. Units]],Table1[[#This Row],[2024 U.S. Units]])</f>
        <v>-9.3355175456352302E-2</v>
      </c>
      <c r="Q255" s="5">
        <v>148751</v>
      </c>
      <c r="R255" s="6">
        <f>Table1[[#This Row],[2023 U.S. Sales ($000)]]/SUMIF($E:$E, E255, $Q:$Q)</f>
        <v>1.3586668235128505E-3</v>
      </c>
      <c r="S255" s="8">
        <f>(Table1[[#This Row],[2023 Market share (%)]]-Table1[[#This Row],[2022 Market share (%)]])*10000</f>
        <v>-2.153766735316033</v>
      </c>
      <c r="T255" s="10">
        <v>-7.5052387436964074E-2</v>
      </c>
      <c r="U255" s="5">
        <v>108</v>
      </c>
      <c r="V255" s="5">
        <f t="shared" si="24"/>
        <v>1377.3240740740741</v>
      </c>
      <c r="W255" s="10">
        <v>-5.2631578947368418E-2</v>
      </c>
      <c r="X255" s="10">
        <f t="shared" si="25"/>
        <v>3.4770514532787011E-3</v>
      </c>
      <c r="Y255" s="8">
        <f>(Table1[[#This Row],[2023 Market share (%)]]-Table1[[#This Row],[2019 Market share (%)]])*10000</f>
        <v>-3.3712205990322435</v>
      </c>
      <c r="Z255" s="10">
        <f t="shared" si="26"/>
        <v>1.0374206816509135E-2</v>
      </c>
      <c r="AA255" s="10">
        <f t="shared" si="27"/>
        <v>-6.8263375259370873E-3</v>
      </c>
      <c r="AB255" s="5">
        <v>160821</v>
      </c>
      <c r="AC255" s="6">
        <f>Table1[[#This Row],[2022 U.S. Sales ($000)]]/SUMIF($E:$E, E255, $AB:$AB)</f>
        <v>1.5740434970444538E-3</v>
      </c>
      <c r="AD255" s="5">
        <v>114</v>
      </c>
      <c r="AE255" s="5">
        <f t="shared" si="28"/>
        <v>1410.7105263157894</v>
      </c>
      <c r="AF255" s="5">
        <v>166124</v>
      </c>
      <c r="AG255" s="6">
        <f>Table1[[#This Row],[2021 U.S. Sales ($000)]]/SUMIF($E:$E, E255, $AF:$AF)</f>
        <v>1.7074582306693803E-3</v>
      </c>
      <c r="AH255" s="5">
        <v>118</v>
      </c>
      <c r="AI255" s="12">
        <f t="shared" si="29"/>
        <v>1407.8305084745762</v>
      </c>
      <c r="AJ255" s="5">
        <v>126866</v>
      </c>
      <c r="AK255" s="6">
        <f>Table1[[#This Row],[2020 U.S. Sales ($000)]]/SUMIF($E:$E, E255, $AJ:$AJ)</f>
        <v>1.4518325601025504E-3</v>
      </c>
      <c r="AL255" s="5">
        <v>112</v>
      </c>
      <c r="AM255" s="5">
        <f t="shared" si="30"/>
        <v>1132.7321428571429</v>
      </c>
      <c r="AN255" s="5">
        <v>146700</v>
      </c>
      <c r="AO255" s="6">
        <f>Table1[[#This Row],[2019 U.S. Sales ($000)]]/SUMIF($E:$E, E255, $AN:$AN)</f>
        <v>1.6957888834160748E-3</v>
      </c>
      <c r="AP255" s="5">
        <v>111</v>
      </c>
      <c r="AQ255" s="5">
        <f t="shared" si="31"/>
        <v>1321.6216216216217</v>
      </c>
    </row>
    <row r="256" spans="1:43" x14ac:dyDescent="0.25">
      <c r="A256" t="s">
        <v>321</v>
      </c>
      <c r="B256">
        <v>35674</v>
      </c>
      <c r="C256" t="s">
        <v>44</v>
      </c>
      <c r="D256" t="s">
        <v>45</v>
      </c>
      <c r="E256" t="s">
        <v>48</v>
      </c>
      <c r="F256" s="5">
        <v>342</v>
      </c>
      <c r="G256" s="5">
        <v>99716</v>
      </c>
      <c r="H256" s="6">
        <f>Table1[[#This Row],[2024 U.S. Sales ($000)]]/SUMIF($E:$E, E256, $G:$G)</f>
        <v>1.9733622613089751E-3</v>
      </c>
      <c r="I256" s="5">
        <v>115</v>
      </c>
      <c r="J256" s="5">
        <f>Table1[[#This Row],[2024 U.S. Sales ($000)]]/Table1[[#This Row],[2024 U.S. Units]]</f>
        <v>867.09565217391309</v>
      </c>
      <c r="K256" s="6">
        <f>Table1[[#This Row],[2024 U.S. Units]]/Table1[[#This Row],[2023 U.S. Units]]-1</f>
        <v>2.6785714285714191E-2</v>
      </c>
      <c r="L256" s="8">
        <f>(Table1[[#This Row],[2024 Market share (%)]]-Table1[[#This Row],[2023 Market share (%)]])*10000</f>
        <v>-7.6224881172095096E-2</v>
      </c>
      <c r="M256" s="6">
        <f>_xlfn.RRI(5,Table1[[#This Row],[2019 U.S. Sales ($000)]],Table1[[#This Row],[2024 U.S. Sales ($000)]])</f>
        <v>0.11408350281072543</v>
      </c>
      <c r="N256" s="9">
        <f>(Table1[[#This Row],[2024 Market share (%)]]-Table1[[#This Row],[2019 Market share (%)]])*10000</f>
        <v>3.126810024085382</v>
      </c>
      <c r="O256" s="6">
        <f>IF(Table1[[#This Row],[2024 AUV]]=0,"",_xlfn.RRI(5,Table1[[#This Row],[2019 AUV]],Table1[[#This Row],[2024 AUV]]))</f>
        <v>-1.5805333853036174E-5</v>
      </c>
      <c r="P256" s="6">
        <f>_xlfn.RRI(5,Table1[[#This Row],[2019 U.S. Units]],Table1[[#This Row],[2024 U.S. Units]])</f>
        <v>0.11410111155073954</v>
      </c>
      <c r="Q256" s="5">
        <v>97115</v>
      </c>
      <c r="R256" s="6">
        <f>Table1[[#This Row],[2023 U.S. Sales ($000)]]/SUMIF($E:$E, E256, $Q:$Q)</f>
        <v>1.9809847494261846E-3</v>
      </c>
      <c r="S256" s="8">
        <f>(Table1[[#This Row],[2023 Market share (%)]]-Table1[[#This Row],[2022 Market share (%)]])*10000</f>
        <v>1.6247079238781277</v>
      </c>
      <c r="T256" s="10">
        <v>0.21367959308646914</v>
      </c>
      <c r="U256" s="5">
        <v>112</v>
      </c>
      <c r="V256" s="5">
        <f t="shared" si="24"/>
        <v>867.09821428571433</v>
      </c>
      <c r="W256" s="10">
        <v>0.17894736842105263</v>
      </c>
      <c r="X256" s="10">
        <f t="shared" si="25"/>
        <v>0.13704471918963557</v>
      </c>
      <c r="Y256" s="8">
        <f>(Table1[[#This Row],[2023 Market share (%)]]-Table1[[#This Row],[2019 Market share (%)]])*10000</f>
        <v>3.2030349052574771</v>
      </c>
      <c r="Z256" s="10">
        <f t="shared" si="26"/>
        <v>-1.9017938631127329E-5</v>
      </c>
      <c r="AA256" s="10">
        <f t="shared" si="27"/>
        <v>0.13706634384758232</v>
      </c>
      <c r="AB256" s="5">
        <v>80017</v>
      </c>
      <c r="AC256" s="6">
        <f>Table1[[#This Row],[2022 U.S. Sales ($000)]]/SUMIF($E:$E, E256, $AB:$AB)</f>
        <v>1.8185139570383718E-3</v>
      </c>
      <c r="AD256" s="5">
        <v>95</v>
      </c>
      <c r="AE256" s="5">
        <f t="shared" si="28"/>
        <v>842.28421052631575</v>
      </c>
      <c r="AF256" s="5">
        <v>67351</v>
      </c>
      <c r="AG256" s="6">
        <f>Table1[[#This Row],[2021 U.S. Sales ($000)]]/SUMIF($E:$E, E256, $AF:$AF)</f>
        <v>1.7353992669277311E-3</v>
      </c>
      <c r="AH256" s="5">
        <v>82</v>
      </c>
      <c r="AI256" s="12">
        <f t="shared" si="29"/>
        <v>821.35365853658539</v>
      </c>
      <c r="AJ256" s="5">
        <v>49700</v>
      </c>
      <c r="AK256" s="6">
        <f>Table1[[#This Row],[2020 U.S. Sales ($000)]]/SUMIF($E:$E, E256, $AJ:$AJ)</f>
        <v>1.6027840067955462E-3</v>
      </c>
      <c r="AL256" s="5">
        <v>73</v>
      </c>
      <c r="AM256" s="5">
        <f t="shared" si="30"/>
        <v>680.82191780821915</v>
      </c>
      <c r="AN256" s="5">
        <v>58100</v>
      </c>
      <c r="AO256" s="6">
        <f>Table1[[#This Row],[2019 U.S. Sales ($000)]]/SUMIF($E:$E, E256, $AN:$AN)</f>
        <v>1.6606812589004369E-3</v>
      </c>
      <c r="AP256" s="5">
        <v>67</v>
      </c>
      <c r="AQ256" s="5">
        <f t="shared" si="31"/>
        <v>867.16417910447763</v>
      </c>
    </row>
    <row r="257" spans="1:43" x14ac:dyDescent="0.25">
      <c r="A257" t="s">
        <v>322</v>
      </c>
      <c r="B257">
        <v>31494</v>
      </c>
      <c r="C257" t="s">
        <v>44</v>
      </c>
      <c r="D257" t="s">
        <v>45</v>
      </c>
      <c r="E257" t="s">
        <v>46</v>
      </c>
      <c r="F257" s="5">
        <v>384</v>
      </c>
      <c r="G257" s="5">
        <v>95000</v>
      </c>
      <c r="H257" s="6">
        <f>Table1[[#This Row],[2024 U.S. Sales ($000)]]/SUMIF($E:$E, E257, $G:$G)</f>
        <v>8.6161808593319868E-4</v>
      </c>
      <c r="I257" s="5">
        <v>35</v>
      </c>
      <c r="J257" s="7">
        <f>Table1[[#This Row],[2024 U.S. Sales ($000)]]/Table1[[#This Row],[2024 U.S. Units]]</f>
        <v>2714.2857142857142</v>
      </c>
      <c r="K257" s="6">
        <f>Table1[[#This Row],[2024 U.S. Units]]/Table1[[#This Row],[2023 U.S. Units]]-1</f>
        <v>9.375E-2</v>
      </c>
      <c r="L257" s="8">
        <f>(Table1[[#This Row],[2024 Market share (%)]]-Table1[[#This Row],[2023 Market share (%)]])*10000</f>
        <v>1.2177759609083869</v>
      </c>
      <c r="M257" s="6">
        <f>_xlfn.RRI(5,Table1[[#This Row],[2019 U.S. Sales ($000)]],Table1[[#This Row],[2024 U.S. Sales ($000)]])</f>
        <v>0.1643086581996922</v>
      </c>
      <c r="N257" s="9">
        <f>(Table1[[#This Row],[2024 Market share (%)]]-Table1[[#This Row],[2019 Market share (%)]])*10000</f>
        <v>3.4837318870297569</v>
      </c>
      <c r="O257" s="6">
        <f>IF(Table1[[#This Row],[2024 AUV]]=0,"",_xlfn.RRI(5,Table1[[#This Row],[2019 AUV]],Table1[[#This Row],[2024 AUV]]))</f>
        <v>3.0398548785585344E-2</v>
      </c>
      <c r="P257" s="6">
        <f>_xlfn.RRI(5,Table1[[#This Row],[2019 U.S. Units]],Table1[[#This Row],[2024 U.S. Units]])</f>
        <v>0.12995952835136615</v>
      </c>
      <c r="Q257" s="5">
        <v>81000</v>
      </c>
      <c r="R257" s="6">
        <f>Table1[[#This Row],[2023 U.S. Sales ($000)]]/SUMIF($E:$E, E257, $Q:$Q)</f>
        <v>7.3984048984236E-4</v>
      </c>
      <c r="S257" s="8">
        <f>(Table1[[#This Row],[2023 Market share (%)]]-Table1[[#This Row],[2022 Market share (%)]])*10000</f>
        <v>0.95819733190398826</v>
      </c>
      <c r="T257" s="10">
        <v>0.23100303951367782</v>
      </c>
      <c r="U257" s="5">
        <v>32</v>
      </c>
      <c r="V257" s="5">
        <f t="shared" si="24"/>
        <v>2531.25</v>
      </c>
      <c r="W257" s="10">
        <v>0.10344827586206896</v>
      </c>
      <c r="X257" s="10">
        <f t="shared" si="25"/>
        <v>0.16218565929555528</v>
      </c>
      <c r="Y257" s="8">
        <f>(Table1[[#This Row],[2023 Market share (%)]]-Table1[[#This Row],[2019 Market share (%)]])*10000</f>
        <v>2.2659559261213698</v>
      </c>
      <c r="Z257" s="10">
        <f t="shared" si="26"/>
        <v>2.0179090086490659E-2</v>
      </c>
      <c r="AA257" s="10">
        <f t="shared" si="27"/>
        <v>0.13919768655229481</v>
      </c>
      <c r="AB257" s="5">
        <v>65800</v>
      </c>
      <c r="AC257" s="6">
        <f>Table1[[#This Row],[2022 U.S. Sales ($000)]]/SUMIF($E:$E, E257, $AB:$AB)</f>
        <v>6.4402075665196117E-4</v>
      </c>
      <c r="AD257" s="5">
        <v>29</v>
      </c>
      <c r="AE257" s="5">
        <f t="shared" si="28"/>
        <v>2268.9655172413795</v>
      </c>
      <c r="AF257" s="5">
        <v>51000</v>
      </c>
      <c r="AG257" s="6">
        <f>Table1[[#This Row],[2021 U.S. Sales ($000)]]/SUMIF($E:$E, E257, $AF:$AF)</f>
        <v>5.2418897789686253E-4</v>
      </c>
      <c r="AH257" s="5">
        <v>22</v>
      </c>
      <c r="AI257" s="12">
        <f t="shared" si="29"/>
        <v>2318.181818181818</v>
      </c>
      <c r="AJ257" s="5">
        <v>40900</v>
      </c>
      <c r="AK257" s="6">
        <f>Table1[[#This Row],[2020 U.S. Sales ($000)]]/SUMIF($E:$E, E257, $AJ:$AJ)</f>
        <v>4.6805252556393606E-4</v>
      </c>
      <c r="AL257" s="5">
        <v>20</v>
      </c>
      <c r="AM257" s="5">
        <f t="shared" si="30"/>
        <v>2045</v>
      </c>
      <c r="AN257" s="5">
        <v>44400</v>
      </c>
      <c r="AO257" s="6">
        <f>Table1[[#This Row],[2019 U.S. Sales ($000)]]/SUMIF($E:$E, E257, $AN:$AN)</f>
        <v>5.13244897230223E-4</v>
      </c>
      <c r="AP257" s="5">
        <v>19</v>
      </c>
      <c r="AQ257" s="5">
        <f t="shared" si="31"/>
        <v>2336.8421052631579</v>
      </c>
    </row>
    <row r="258" spans="1:43" x14ac:dyDescent="0.25">
      <c r="A258" t="s">
        <v>323</v>
      </c>
      <c r="B258">
        <v>2540</v>
      </c>
      <c r="C258" t="s">
        <v>44</v>
      </c>
      <c r="D258" t="s">
        <v>56</v>
      </c>
      <c r="E258" t="s">
        <v>46</v>
      </c>
      <c r="F258" s="5">
        <v>391</v>
      </c>
      <c r="G258" s="5">
        <v>82000</v>
      </c>
      <c r="H258" s="6">
        <f>Table1[[#This Row],[2024 U.S. Sales ($000)]]/SUMIF($E:$E, E258, $G:$G)</f>
        <v>7.4371245312128723E-4</v>
      </c>
      <c r="I258" s="5">
        <v>39</v>
      </c>
      <c r="J258" s="7">
        <f>Table1[[#This Row],[2024 U.S. Sales ($000)]]/Table1[[#This Row],[2024 U.S. Units]]</f>
        <v>2102.5641025641025</v>
      </c>
      <c r="K258" s="6">
        <f>Table1[[#This Row],[2024 U.S. Units]]/Table1[[#This Row],[2023 U.S. Units]]-1</f>
        <v>0</v>
      </c>
      <c r="L258" s="8">
        <f>(Table1[[#This Row],[2024 Market share (%)]]-Table1[[#This Row],[2023 Market share (%)]])*10000</f>
        <v>0.12092413166064626</v>
      </c>
      <c r="M258" s="6">
        <f>_xlfn.RRI(5,Table1[[#This Row],[2019 U.S. Sales ($000)]],Table1[[#This Row],[2024 U.S. Sales ($000)]])</f>
        <v>2.7047358557517054E-3</v>
      </c>
      <c r="N258" s="9">
        <f>(Table1[[#This Row],[2024 Market share (%)]]-Table1[[#This Row],[2019 Market share (%)]])*10000</f>
        <v>-1.9145674025540298</v>
      </c>
      <c r="O258" s="6">
        <f>IF(Table1[[#This Row],[2024 AUV]]=0,"",_xlfn.RRI(5,Table1[[#This Row],[2019 AUV]],Table1[[#This Row],[2024 AUV]]))</f>
        <v>1.2784196743656606E-2</v>
      </c>
      <c r="P258" s="6">
        <f>_xlfn.RRI(5,Table1[[#This Row],[2019 U.S. Units]],Table1[[#This Row],[2024 U.S. Units]])</f>
        <v>-9.9522296263240273E-3</v>
      </c>
      <c r="Q258" s="5">
        <v>80100</v>
      </c>
      <c r="R258" s="6">
        <f>Table1[[#This Row],[2023 U.S. Sales ($000)]]/SUMIF($E:$E, E258, $Q:$Q)</f>
        <v>7.3162003995522261E-4</v>
      </c>
      <c r="S258" s="8">
        <f>(Table1[[#This Row],[2023 Market share (%)]]-Table1[[#This Row],[2022 Market share (%)]])*10000</f>
        <v>-0.23978780919114875</v>
      </c>
      <c r="T258" s="10">
        <v>3.756476683937824E-2</v>
      </c>
      <c r="U258" s="5">
        <v>39</v>
      </c>
      <c r="V258" s="5">
        <f t="shared" ref="V258:V321" si="32">Q258/U258</f>
        <v>2053.8461538461538</v>
      </c>
      <c r="W258" s="10">
        <v>0</v>
      </c>
      <c r="X258" s="10">
        <f t="shared" ref="X258:X321" si="33">_xlfn.RRI(4,AN258,Q258)</f>
        <v>-2.4814087004668695E-3</v>
      </c>
      <c r="Y258" s="8">
        <f>(Table1[[#This Row],[2023 Market share (%)]]-Table1[[#This Row],[2019 Market share (%)]])*10000</f>
        <v>-2.035491534214676</v>
      </c>
      <c r="Z258" s="10">
        <f t="shared" ref="Z258:Z321" si="34">_xlfn.RRI(4,AQ258,V258)</f>
        <v>1.0068461931103778E-2</v>
      </c>
      <c r="AA258" s="10">
        <f t="shared" ref="AA258:AA321" si="35">_xlfn.RRI(4,AP258,U258)</f>
        <v>-1.2424772284818308E-2</v>
      </c>
      <c r="AB258" s="5">
        <v>77200</v>
      </c>
      <c r="AC258" s="6">
        <f>Table1[[#This Row],[2022 U.S. Sales ($000)]]/SUMIF($E:$E, E258, $AB:$AB)</f>
        <v>7.5559882087433748E-4</v>
      </c>
      <c r="AD258" s="5">
        <v>39</v>
      </c>
      <c r="AE258" s="5">
        <f t="shared" ref="AE258:AE321" si="36">AB258/AD258</f>
        <v>1979.4871794871794</v>
      </c>
      <c r="AF258" s="5">
        <v>73100</v>
      </c>
      <c r="AG258" s="6">
        <f>Table1[[#This Row],[2021 U.S. Sales ($000)]]/SUMIF($E:$E, E258, $AF:$AF)</f>
        <v>7.5133753498550298E-4</v>
      </c>
      <c r="AH258" s="5">
        <v>39</v>
      </c>
      <c r="AI258" s="12">
        <f t="shared" ref="AI258:AI321" si="37">AF258/AH258</f>
        <v>1874.3589743589744</v>
      </c>
      <c r="AJ258" s="5">
        <v>63900</v>
      </c>
      <c r="AK258" s="6">
        <f>Table1[[#This Row],[2020 U.S. Sales ($000)]]/SUMIF($E:$E, E258, $AJ:$AJ)</f>
        <v>7.3126054727470696E-4</v>
      </c>
      <c r="AL258" s="5">
        <v>40</v>
      </c>
      <c r="AM258" s="5">
        <f t="shared" ref="AM258:AM321" si="38">AJ258/AL258</f>
        <v>1597.5</v>
      </c>
      <c r="AN258" s="5">
        <v>80900</v>
      </c>
      <c r="AO258" s="6">
        <f>Table1[[#This Row],[2019 U.S. Sales ($000)]]/SUMIF($E:$E, E258, $AN:$AN)</f>
        <v>9.3516919337669022E-4</v>
      </c>
      <c r="AP258" s="5">
        <v>41</v>
      </c>
      <c r="AQ258" s="5">
        <f t="shared" ref="AQ258:AQ321" si="39">AN258/AP258</f>
        <v>1973.1707317073171</v>
      </c>
    </row>
    <row r="259" spans="1:43" x14ac:dyDescent="0.25">
      <c r="A259" t="s">
        <v>324</v>
      </c>
      <c r="B259">
        <v>31427</v>
      </c>
      <c r="C259" t="s">
        <v>44</v>
      </c>
      <c r="D259" t="s">
        <v>45</v>
      </c>
      <c r="E259" t="s">
        <v>48</v>
      </c>
      <c r="F259" s="5">
        <v>397</v>
      </c>
      <c r="G259" s="5">
        <v>79200</v>
      </c>
      <c r="H259" s="6">
        <f>Table1[[#This Row],[2024 U.S. Sales ($000)]]/SUMIF($E:$E, E259, $G:$G)</f>
        <v>1.5673541968758357E-3</v>
      </c>
      <c r="I259" s="5">
        <v>70</v>
      </c>
      <c r="J259" s="5">
        <f>Table1[[#This Row],[2024 U.S. Sales ($000)]]/Table1[[#This Row],[2024 U.S. Units]]</f>
        <v>1131.4285714285713</v>
      </c>
      <c r="K259" s="6">
        <f>Table1[[#This Row],[2024 U.S. Units]]/Table1[[#This Row],[2023 U.S. Units]]-1</f>
        <v>0</v>
      </c>
      <c r="L259" s="8">
        <f>(Table1[[#This Row],[2024 Market share (%)]]-Table1[[#This Row],[2023 Market share (%)]])*10000</f>
        <v>-0.48194298769057553</v>
      </c>
      <c r="M259" s="6">
        <f>_xlfn.RRI(5,Table1[[#This Row],[2019 U.S. Sales ($000)]],Table1[[#This Row],[2024 U.S. Sales ($000)]])</f>
        <v>6.7249181879538877E-2</v>
      </c>
      <c r="N259" s="9">
        <f>(Table1[[#This Row],[2024 Market share (%)]]-Table1[[#This Row],[2019 Market share (%)]])*10000</f>
        <v>-0.67602223246453386</v>
      </c>
      <c r="O259" s="6">
        <f>IF(Table1[[#This Row],[2024 AUV]]=0,"",_xlfn.RRI(5,Table1[[#This Row],[2019 AUV]],Table1[[#This Row],[2024 AUV]]))</f>
        <v>2.0666422989368938E-2</v>
      </c>
      <c r="P259" s="6">
        <f>_xlfn.RRI(5,Table1[[#This Row],[2019 U.S. Units]],Table1[[#This Row],[2024 U.S. Units]])</f>
        <v>4.5639552591273169E-2</v>
      </c>
      <c r="Q259" s="5">
        <v>79200</v>
      </c>
      <c r="R259" s="6">
        <f>Table1[[#This Row],[2023 U.S. Sales ($000)]]/SUMIF($E:$E, E259, $Q:$Q)</f>
        <v>1.6155484956448933E-3</v>
      </c>
      <c r="S259" s="8">
        <f>(Table1[[#This Row],[2023 Market share (%)]]-Table1[[#This Row],[2022 Market share (%)]])*10000</f>
        <v>0.13323543807093521</v>
      </c>
      <c r="T259" s="10">
        <v>0.12340425531914893</v>
      </c>
      <c r="U259" s="5">
        <v>70</v>
      </c>
      <c r="V259" s="5">
        <f t="shared" si="32"/>
        <v>1131.4285714285713</v>
      </c>
      <c r="W259" s="10">
        <v>6.0606060606060608E-2</v>
      </c>
      <c r="X259" s="10">
        <f t="shared" si="33"/>
        <v>8.4756567543660566E-2</v>
      </c>
      <c r="Y259" s="8">
        <f>(Table1[[#This Row],[2023 Market share (%)]]-Table1[[#This Row],[2019 Market share (%)]])*10000</f>
        <v>-0.19407924477395827</v>
      </c>
      <c r="Z259" s="10">
        <f t="shared" si="34"/>
        <v>2.5899421565503733E-2</v>
      </c>
      <c r="AA259" s="10">
        <f t="shared" si="35"/>
        <v>5.7371263440564091E-2</v>
      </c>
      <c r="AB259" s="5">
        <v>70500</v>
      </c>
      <c r="AC259" s="6">
        <f>Table1[[#This Row],[2022 U.S. Sales ($000)]]/SUMIF($E:$E, E259, $AB:$AB)</f>
        <v>1.6022249518377997E-3</v>
      </c>
      <c r="AD259" s="5">
        <v>66</v>
      </c>
      <c r="AE259" s="5">
        <f t="shared" si="36"/>
        <v>1068.1818181818182</v>
      </c>
      <c r="AF259" s="5">
        <v>61700</v>
      </c>
      <c r="AG259" s="6">
        <f>Table1[[#This Row],[2021 U.S. Sales ($000)]]/SUMIF($E:$E, E259, $AF:$AF)</f>
        <v>1.5897927984653681E-3</v>
      </c>
      <c r="AH259" s="5">
        <v>64</v>
      </c>
      <c r="AI259" s="12">
        <f t="shared" si="37"/>
        <v>964.0625</v>
      </c>
      <c r="AJ259" s="5">
        <v>50200</v>
      </c>
      <c r="AK259" s="6">
        <f>Table1[[#This Row],[2020 U.S. Sales ($000)]]/SUMIF($E:$E, E259, $AJ:$AJ)</f>
        <v>1.6189085943890628E-3</v>
      </c>
      <c r="AL259" s="5">
        <v>60</v>
      </c>
      <c r="AM259" s="5">
        <f t="shared" si="38"/>
        <v>836.66666666666663</v>
      </c>
      <c r="AN259" s="5">
        <v>57200</v>
      </c>
      <c r="AO259" s="6">
        <f>Table1[[#This Row],[2019 U.S. Sales ($000)]]/SUMIF($E:$E, E259, $AN:$AN)</f>
        <v>1.6349564201222891E-3</v>
      </c>
      <c r="AP259" s="5">
        <v>56</v>
      </c>
      <c r="AQ259" s="5">
        <f t="shared" si="39"/>
        <v>1021.4285714285714</v>
      </c>
    </row>
    <row r="260" spans="1:43" x14ac:dyDescent="0.25">
      <c r="A260" t="s">
        <v>325</v>
      </c>
      <c r="B260">
        <v>31340</v>
      </c>
      <c r="C260" t="s">
        <v>44</v>
      </c>
      <c r="D260" t="s">
        <v>45</v>
      </c>
      <c r="E260" t="s">
        <v>48</v>
      </c>
      <c r="F260" s="5">
        <v>413</v>
      </c>
      <c r="G260" s="5">
        <v>77902</v>
      </c>
      <c r="H260" s="6">
        <f>Table1[[#This Row],[2024 U.S. Sales ($000)]]/SUMIF($E:$E, E260, $G:$G)</f>
        <v>1.5416670030937039E-3</v>
      </c>
      <c r="I260" s="5">
        <v>78</v>
      </c>
      <c r="J260" s="5">
        <f>Table1[[#This Row],[2024 U.S. Sales ($000)]]/Table1[[#This Row],[2024 U.S. Units]]</f>
        <v>998.74358974358972</v>
      </c>
      <c r="K260" s="6">
        <f>Table1[[#This Row],[2024 U.S. Units]]/Table1[[#This Row],[2023 U.S. Units]]-1</f>
        <v>-3.703703703703709E-2</v>
      </c>
      <c r="L260" s="8">
        <f>(Table1[[#This Row],[2024 Market share (%)]]-Table1[[#This Row],[2023 Market share (%)]])*10000</f>
        <v>-0.22885643572499595</v>
      </c>
      <c r="M260" s="6">
        <f>_xlfn.RRI(5,Table1[[#This Row],[2019 U.S. Sales ($000)]],Table1[[#This Row],[2024 U.S. Sales ($000)]])</f>
        <v>7.3278071531559963E-2</v>
      </c>
      <c r="N260" s="9">
        <f>(Table1[[#This Row],[2024 Market share (%)]]-Table1[[#This Row],[2019 Market share (%)]])*10000</f>
        <v>-0.21831531533729726</v>
      </c>
      <c r="O260" s="6">
        <f>IF(Table1[[#This Row],[2024 AUV]]=0,"",_xlfn.RRI(5,Table1[[#This Row],[2019 AUV]],Table1[[#This Row],[2024 AUV]]))</f>
        <v>5.3282832005082437E-2</v>
      </c>
      <c r="P260" s="6">
        <f>_xlfn.RRI(5,Table1[[#This Row],[2019 U.S. Units]],Table1[[#This Row],[2024 U.S. Units]])</f>
        <v>1.8983732497009909E-2</v>
      </c>
      <c r="Q260" s="5">
        <v>76700</v>
      </c>
      <c r="R260" s="6">
        <f>Table1[[#This Row],[2023 U.S. Sales ($000)]]/SUMIF($E:$E, E260, $Q:$Q)</f>
        <v>1.5645526466662035E-3</v>
      </c>
      <c r="S260" s="8">
        <f>(Table1[[#This Row],[2023 Market share (%)]]-Table1[[#This Row],[2022 Market share (%)]])*10000</f>
        <v>-0.14945710110067251</v>
      </c>
      <c r="T260" s="10">
        <v>0.10359712230215827</v>
      </c>
      <c r="U260" s="5">
        <v>81</v>
      </c>
      <c r="V260" s="5">
        <f t="shared" si="32"/>
        <v>946.91358024691363</v>
      </c>
      <c r="W260" s="10">
        <v>3.8461538461538464E-2</v>
      </c>
      <c r="X260" s="10">
        <f t="shared" si="33"/>
        <v>8.8183181636194652E-2</v>
      </c>
      <c r="Y260" s="8">
        <f>(Table1[[#This Row],[2023 Market share (%)]]-Table1[[#This Row],[2019 Market share (%)]])*10000</f>
        <v>1.0541120387698704E-2</v>
      </c>
      <c r="Z260" s="10">
        <f t="shared" si="34"/>
        <v>5.2919919422280248E-2</v>
      </c>
      <c r="AA260" s="10">
        <f t="shared" si="35"/>
        <v>3.3490925153418116E-2</v>
      </c>
      <c r="AB260" s="5">
        <v>69500</v>
      </c>
      <c r="AC260" s="6">
        <f>Table1[[#This Row],[2022 U.S. Sales ($000)]]/SUMIF($E:$E, E260, $AB:$AB)</f>
        <v>1.5794983567762708E-3</v>
      </c>
      <c r="AD260" s="5">
        <v>78</v>
      </c>
      <c r="AE260" s="5">
        <f t="shared" si="36"/>
        <v>891.02564102564099</v>
      </c>
      <c r="AF260" s="5">
        <v>61300</v>
      </c>
      <c r="AG260" s="6">
        <f>Table1[[#This Row],[2021 U.S. Sales ($000)]]/SUMIF($E:$E, E260, $AF:$AF)</f>
        <v>1.5794862000960627E-3</v>
      </c>
      <c r="AH260" s="5">
        <v>74</v>
      </c>
      <c r="AI260" s="12">
        <f t="shared" si="37"/>
        <v>828.37837837837833</v>
      </c>
      <c r="AJ260" s="5">
        <v>51500</v>
      </c>
      <c r="AK260" s="6">
        <f>Table1[[#This Row],[2020 U.S. Sales ($000)]]/SUMIF($E:$E, E260, $AJ:$AJ)</f>
        <v>1.6608325221322059E-3</v>
      </c>
      <c r="AL260" s="5">
        <v>72</v>
      </c>
      <c r="AM260" s="5">
        <f t="shared" si="38"/>
        <v>715.27777777777783</v>
      </c>
      <c r="AN260" s="5">
        <v>54700</v>
      </c>
      <c r="AO260" s="6">
        <f>Table1[[#This Row],[2019 U.S. Sales ($000)]]/SUMIF($E:$E, E260, $AN:$AN)</f>
        <v>1.5634985346274337E-3</v>
      </c>
      <c r="AP260" s="5">
        <v>71</v>
      </c>
      <c r="AQ260" s="5">
        <f t="shared" si="39"/>
        <v>770.42253521126759</v>
      </c>
    </row>
    <row r="261" spans="1:43" x14ac:dyDescent="0.25">
      <c r="A261" t="s">
        <v>326</v>
      </c>
      <c r="B261">
        <v>2811</v>
      </c>
      <c r="C261" t="s">
        <v>44</v>
      </c>
      <c r="D261" t="s">
        <v>45</v>
      </c>
      <c r="E261" t="s">
        <v>48</v>
      </c>
      <c r="F261" s="5">
        <v>434</v>
      </c>
      <c r="G261" s="5">
        <v>77450</v>
      </c>
      <c r="H261" s="6">
        <f>Table1[[#This Row],[2024 U.S. Sales ($000)]]/SUMIF($E:$E, E261, $G:$G)</f>
        <v>1.5327220018691095E-3</v>
      </c>
      <c r="I261" s="5">
        <v>185</v>
      </c>
      <c r="J261" s="5">
        <f>Table1[[#This Row],[2024 U.S. Sales ($000)]]/Table1[[#This Row],[2024 U.S. Units]]</f>
        <v>418.64864864864865</v>
      </c>
      <c r="K261" s="6">
        <f>Table1[[#This Row],[2024 U.S. Units]]/Table1[[#This Row],[2023 U.S. Units]]-1</f>
        <v>7.5581395348837122E-2</v>
      </c>
      <c r="L261" s="8">
        <f>(Table1[[#This Row],[2024 Market share (%)]]-Table1[[#This Row],[2023 Market share (%)]])*10000</f>
        <v>0.6387836456611109</v>
      </c>
      <c r="M261" s="6">
        <f>_xlfn.RRI(5,Table1[[#This Row],[2019 U.S. Sales ($000)]],Table1[[#This Row],[2024 U.S. Sales ($000)]])</f>
        <v>0.12646761182819555</v>
      </c>
      <c r="N261" s="9">
        <f>(Table1[[#This Row],[2024 Market share (%)]]-Table1[[#This Row],[2019 Market share (%)]])*10000</f>
        <v>3.1222131761698124</v>
      </c>
      <c r="O261" s="6">
        <f>IF(Table1[[#This Row],[2024 AUV]]=0,"",_xlfn.RRI(5,Table1[[#This Row],[2019 AUV]],Table1[[#This Row],[2024 AUV]]))</f>
        <v>-5.9427373281591978E-3</v>
      </c>
      <c r="P261" s="6">
        <f>_xlfn.RRI(5,Table1[[#This Row],[2019 U.S. Units]],Table1[[#This Row],[2024 U.S. Units]])</f>
        <v>0.133201933257306</v>
      </c>
      <c r="Q261" s="5">
        <v>72008</v>
      </c>
      <c r="R261" s="6">
        <f>Table1[[#This Row],[2023 U.S. Sales ($000)]]/SUMIF($E:$E, E261, $Q:$Q)</f>
        <v>1.4688436373029984E-3</v>
      </c>
      <c r="S261" s="8">
        <f>(Table1[[#This Row],[2023 Market share (%)]]-Table1[[#This Row],[2022 Market share (%)]])*10000</f>
        <v>1.4313316757882293</v>
      </c>
      <c r="T261" s="10">
        <v>0.23442991102806301</v>
      </c>
      <c r="U261" s="5">
        <v>172</v>
      </c>
      <c r="V261" s="5">
        <f t="shared" si="32"/>
        <v>418.6511627906977</v>
      </c>
      <c r="W261" s="10">
        <v>0.13907284768211919</v>
      </c>
      <c r="X261" s="10">
        <f t="shared" si="33"/>
        <v>0.13956268131895477</v>
      </c>
      <c r="Y261" s="8">
        <f>(Table1[[#This Row],[2023 Market share (%)]]-Table1[[#This Row],[2019 Market share (%)]])*10000</f>
        <v>2.4834295305087015</v>
      </c>
      <c r="Z261" s="10">
        <f t="shared" si="34"/>
        <v>-7.4214050997269965E-3</v>
      </c>
      <c r="AA261" s="10">
        <f t="shared" si="35"/>
        <v>0.14808307087606476</v>
      </c>
      <c r="AB261" s="5">
        <v>58333</v>
      </c>
      <c r="AC261" s="6">
        <f>Table1[[#This Row],[2022 U.S. Sales ($000)]]/SUMIF($E:$E, E261, $AB:$AB)</f>
        <v>1.3257104697241755E-3</v>
      </c>
      <c r="AD261" s="5">
        <v>151</v>
      </c>
      <c r="AE261" s="5">
        <f t="shared" si="36"/>
        <v>386.31125827814571</v>
      </c>
      <c r="AF261" s="5">
        <v>43274</v>
      </c>
      <c r="AG261" s="6">
        <f>Table1[[#This Row],[2021 U.S. Sales ($000)]]/SUMIF($E:$E, E261, $AF:$AF)</f>
        <v>1.1150193445833118E-3</v>
      </c>
      <c r="AH261" s="5">
        <v>131</v>
      </c>
      <c r="AI261" s="12">
        <f t="shared" si="37"/>
        <v>330.3358778625954</v>
      </c>
      <c r="AJ261" s="5">
        <v>32540</v>
      </c>
      <c r="AK261" s="6">
        <f>Table1[[#This Row],[2020 U.S. Sales ($000)]]/SUMIF($E:$E, E261, $AJ:$AJ)</f>
        <v>1.0493881605860577E-3</v>
      </c>
      <c r="AL261" s="5">
        <v>114</v>
      </c>
      <c r="AM261" s="5">
        <f t="shared" si="38"/>
        <v>285.43859649122805</v>
      </c>
      <c r="AN261" s="5">
        <v>42700</v>
      </c>
      <c r="AO261" s="6">
        <f>Table1[[#This Row],[2019 U.S. Sales ($000)]]/SUMIF($E:$E, E261, $AN:$AN)</f>
        <v>1.2205006842521283E-3</v>
      </c>
      <c r="AP261" s="5">
        <v>99</v>
      </c>
      <c r="AQ261" s="5">
        <f t="shared" si="39"/>
        <v>431.31313131313129</v>
      </c>
    </row>
    <row r="262" spans="1:43" x14ac:dyDescent="0.25">
      <c r="A262" t="s">
        <v>327</v>
      </c>
      <c r="B262">
        <v>7720</v>
      </c>
      <c r="C262" t="s">
        <v>44</v>
      </c>
      <c r="D262" t="s">
        <v>56</v>
      </c>
      <c r="E262" t="s">
        <v>46</v>
      </c>
      <c r="F262" s="5">
        <v>436</v>
      </c>
      <c r="G262" s="5">
        <v>75667</v>
      </c>
      <c r="H262" s="6">
        <f>Table1[[#This Row],[2024 U.S. Sales ($000)]]/SUMIF($E:$E, E262, $G:$G)</f>
        <v>6.862742706137615E-4</v>
      </c>
      <c r="I262" s="5">
        <v>90</v>
      </c>
      <c r="J262" s="7">
        <f>Table1[[#This Row],[2024 U.S. Sales ($000)]]/Table1[[#This Row],[2024 U.S. Units]]</f>
        <v>840.74444444444441</v>
      </c>
      <c r="K262" s="6">
        <f>Table1[[#This Row],[2024 U.S. Units]]/Table1[[#This Row],[2023 U.S. Units]]-1</f>
        <v>0.19999999999999996</v>
      </c>
      <c r="L262" s="8">
        <f>(Table1[[#This Row],[2024 Market share (%)]]-Table1[[#This Row],[2023 Market share (%)]])*10000</f>
        <v>0.30465046284360919</v>
      </c>
      <c r="M262" s="6">
        <f>_xlfn.RRI(5,Table1[[#This Row],[2019 U.S. Sales ($000)]],Table1[[#This Row],[2024 U.S. Sales ($000)]])</f>
        <v>5.3893452047693247E-2</v>
      </c>
      <c r="N262" s="9">
        <f>(Table1[[#This Row],[2024 Market share (%)]]-Table1[[#This Row],[2019 Market share (%)]])*10000</f>
        <v>0.13507310730901573</v>
      </c>
      <c r="O262" s="6">
        <f>IF(Table1[[#This Row],[2024 AUV]]=0,"",_xlfn.RRI(5,Table1[[#This Row],[2019 AUV]],Table1[[#This Row],[2024 AUV]]))</f>
        <v>1.8851578808038116E-2</v>
      </c>
      <c r="P262" s="6">
        <f>_xlfn.RRI(5,Table1[[#This Row],[2019 U.S. Units]],Table1[[#This Row],[2024 U.S. Units]])</f>
        <v>3.4393501436834395E-2</v>
      </c>
      <c r="Q262" s="5">
        <v>71800</v>
      </c>
      <c r="R262" s="6">
        <f>Table1[[#This Row],[2023 U.S. Sales ($000)]]/SUMIF($E:$E, E262, $Q:$Q)</f>
        <v>6.5580922432940058E-4</v>
      </c>
      <c r="S262" s="8">
        <f>(Table1[[#This Row],[2023 Market share (%)]]-Table1[[#This Row],[2022 Market share (%)]])*10000</f>
        <v>-0.40085544636472348</v>
      </c>
      <c r="T262" s="10">
        <v>9.8452883263009851E-3</v>
      </c>
      <c r="U262" s="5">
        <v>75</v>
      </c>
      <c r="V262" s="5">
        <f t="shared" si="32"/>
        <v>957.33333333333337</v>
      </c>
      <c r="W262" s="10">
        <v>-3.8461538461538464E-2</v>
      </c>
      <c r="X262" s="10">
        <f t="shared" si="33"/>
        <v>5.390233056694016E-2</v>
      </c>
      <c r="Y262" s="8">
        <f>(Table1[[#This Row],[2023 Market share (%)]]-Table1[[#This Row],[2019 Market share (%)]])*10000</f>
        <v>-0.16957735553459349</v>
      </c>
      <c r="Z262" s="10">
        <f t="shared" si="34"/>
        <v>5.7397908673692877E-2</v>
      </c>
      <c r="AA262" s="10">
        <f t="shared" si="35"/>
        <v>-3.3058303577858661E-3</v>
      </c>
      <c r="AB262" s="5">
        <v>71100</v>
      </c>
      <c r="AC262" s="6">
        <f>Table1[[#This Row],[2022 U.S. Sales ($000)]]/SUMIF($E:$E, E262, $AB:$AB)</f>
        <v>6.9589476896587293E-4</v>
      </c>
      <c r="AD262" s="5">
        <v>78</v>
      </c>
      <c r="AE262" s="5">
        <f t="shared" si="36"/>
        <v>911.53846153846155</v>
      </c>
      <c r="AF262" s="5">
        <v>68200</v>
      </c>
      <c r="AG262" s="6">
        <f>Table1[[#This Row],[2021 U.S. Sales ($000)]]/SUMIF($E:$E, E262, $AF:$AF)</f>
        <v>7.0097428024639265E-4</v>
      </c>
      <c r="AH262" s="5">
        <v>81</v>
      </c>
      <c r="AI262" s="12">
        <f t="shared" si="37"/>
        <v>841.97530864197529</v>
      </c>
      <c r="AJ262" s="5">
        <v>57300</v>
      </c>
      <c r="AK262" s="6">
        <f>Table1[[#This Row],[2020 U.S. Sales ($000)]]/SUMIF($E:$E, E262, $AJ:$AJ)</f>
        <v>6.5573128887074666E-4</v>
      </c>
      <c r="AL262" s="5">
        <v>78</v>
      </c>
      <c r="AM262" s="5">
        <f t="shared" si="38"/>
        <v>734.61538461538464</v>
      </c>
      <c r="AN262" s="5">
        <v>58200</v>
      </c>
      <c r="AO262" s="6">
        <f>Table1[[#This Row],[2019 U.S. Sales ($000)]]/SUMIF($E:$E, E262, $AN:$AN)</f>
        <v>6.7276695988285993E-4</v>
      </c>
      <c r="AP262" s="5">
        <v>76</v>
      </c>
      <c r="AQ262" s="5">
        <f t="shared" si="39"/>
        <v>765.78947368421052</v>
      </c>
    </row>
    <row r="263" spans="1:43" x14ac:dyDescent="0.25">
      <c r="A263" t="s">
        <v>328</v>
      </c>
      <c r="B263">
        <v>562982</v>
      </c>
      <c r="C263" t="s">
        <v>44</v>
      </c>
      <c r="D263" t="s">
        <v>45</v>
      </c>
      <c r="E263" t="s">
        <v>48</v>
      </c>
      <c r="F263" s="5">
        <v>494</v>
      </c>
      <c r="G263" s="5">
        <v>74000</v>
      </c>
      <c r="H263" s="6">
        <f>Table1[[#This Row],[2024 U.S. Sales ($000)]]/SUMIF($E:$E, E263, $G:$G)</f>
        <v>1.4644471031415637E-3</v>
      </c>
      <c r="I263" s="5">
        <v>100</v>
      </c>
      <c r="J263" s="5">
        <f>Table1[[#This Row],[2024 U.S. Sales ($000)]]/Table1[[#This Row],[2024 U.S. Units]]</f>
        <v>740</v>
      </c>
      <c r="K263" s="6">
        <f>Table1[[#This Row],[2024 U.S. Units]]/Table1[[#This Row],[2023 U.S. Units]]-1</f>
        <v>0.28205128205128216</v>
      </c>
      <c r="L263" s="8">
        <f>(Table1[[#This Row],[2024 Market share (%)]]-Table1[[#This Row],[2023 Market share (%)]])*10000</f>
        <v>3.2201769598136298</v>
      </c>
      <c r="M263" s="6">
        <f>_xlfn.RRI(5,Table1[[#This Row],[2019 U.S. Sales ($000)]],Table1[[#This Row],[2024 U.S. Sales ($000)]])</f>
        <v>0.38924594063100093</v>
      </c>
      <c r="N263" s="9">
        <f>(Table1[[#This Row],[2024 Market share (%)]]-Table1[[#This Row],[2019 Market share (%)]])*10000</f>
        <v>10.557079981109913</v>
      </c>
      <c r="O263" s="6">
        <f>IF(Table1[[#This Row],[2024 AUV]]=0,"",_xlfn.RRI(5,Table1[[#This Row],[2019 AUV]],Table1[[#This Row],[2024 AUV]]))</f>
        <v>1.6770635892410235E-2</v>
      </c>
      <c r="P263" s="6">
        <f>_xlfn.RRI(5,Table1[[#This Row],[2019 U.S. Units]],Table1[[#This Row],[2024 U.S. Units]])</f>
        <v>0.36633168936047467</v>
      </c>
      <c r="Q263" s="5">
        <v>56006</v>
      </c>
      <c r="R263" s="6">
        <f>Table1[[#This Row],[2023 U.S. Sales ($000)]]/SUMIF($E:$E, E263, $Q:$Q)</f>
        <v>1.1424294071602007E-3</v>
      </c>
      <c r="S263" s="8">
        <f>(Table1[[#This Row],[2023 Market share (%)]]-Table1[[#This Row],[2022 Market share (%)]])*10000</f>
        <v>1.506180720800103</v>
      </c>
      <c r="T263" s="10">
        <v>0.28333447904493481</v>
      </c>
      <c r="U263" s="5">
        <v>78</v>
      </c>
      <c r="V263" s="5">
        <f t="shared" si="32"/>
        <v>718.02564102564099</v>
      </c>
      <c r="W263" s="10">
        <v>0.2</v>
      </c>
      <c r="X263" s="10">
        <f t="shared" si="33"/>
        <v>0.40677496063053487</v>
      </c>
      <c r="Y263" s="8">
        <f>(Table1[[#This Row],[2023 Market share (%)]]-Table1[[#This Row],[2019 Market share (%)]])*10000</f>
        <v>7.3369030212962834</v>
      </c>
      <c r="Z263" s="10">
        <f t="shared" si="34"/>
        <v>1.3341438669683514E-2</v>
      </c>
      <c r="AA263" s="10">
        <f t="shared" si="35"/>
        <v>0.38825365957337321</v>
      </c>
      <c r="AB263" s="5">
        <v>43641</v>
      </c>
      <c r="AC263" s="6">
        <f>Table1[[#This Row],[2022 U.S. Sales ($000)]]/SUMIF($E:$E, E263, $AB:$AB)</f>
        <v>9.9181133508019037E-4</v>
      </c>
      <c r="AD263" s="5">
        <v>65</v>
      </c>
      <c r="AE263" s="5">
        <f t="shared" si="36"/>
        <v>671.4</v>
      </c>
      <c r="AF263" s="5">
        <v>29900</v>
      </c>
      <c r="AG263" s="6">
        <f>Table1[[#This Row],[2021 U.S. Sales ($000)]]/SUMIF($E:$E, E263, $AF:$AF)</f>
        <v>7.7041822810558361E-4</v>
      </c>
      <c r="AH263" s="5">
        <v>45</v>
      </c>
      <c r="AI263" s="12">
        <f t="shared" si="37"/>
        <v>664.44444444444446</v>
      </c>
      <c r="AJ263" s="5">
        <v>15800</v>
      </c>
      <c r="AK263" s="6">
        <f>Table1[[#This Row],[2020 U.S. Sales ($000)]]/SUMIF($E:$E, E263, $AJ:$AJ)</f>
        <v>5.0953696795512338E-4</v>
      </c>
      <c r="AL263" s="5">
        <v>27</v>
      </c>
      <c r="AM263" s="5">
        <f t="shared" si="38"/>
        <v>585.18518518518522</v>
      </c>
      <c r="AN263" s="5">
        <v>14300</v>
      </c>
      <c r="AO263" s="6">
        <f>Table1[[#This Row],[2019 U.S. Sales ($000)]]/SUMIF($E:$E, E263, $AN:$AN)</f>
        <v>4.0873910503057227E-4</v>
      </c>
      <c r="AP263" s="5">
        <v>21</v>
      </c>
      <c r="AQ263" s="5">
        <f t="shared" si="39"/>
        <v>680.95238095238096</v>
      </c>
    </row>
    <row r="264" spans="1:43" x14ac:dyDescent="0.25">
      <c r="A264" t="s">
        <v>329</v>
      </c>
      <c r="B264">
        <v>33405</v>
      </c>
      <c r="C264" t="s">
        <v>44</v>
      </c>
      <c r="D264" t="s">
        <v>56</v>
      </c>
      <c r="E264" t="s">
        <v>48</v>
      </c>
      <c r="F264" s="5">
        <v>398</v>
      </c>
      <c r="G264" s="5">
        <v>73859</v>
      </c>
      <c r="H264" s="6">
        <f>Table1[[#This Row],[2024 U.S. Sales ($000)]]/SUMIF($E:$E, E264, $G:$G)</f>
        <v>1.4616567377153074E-3</v>
      </c>
      <c r="I264" s="5">
        <v>78</v>
      </c>
      <c r="J264" s="5">
        <f>Table1[[#This Row],[2024 U.S. Sales ($000)]]/Table1[[#This Row],[2024 U.S. Units]]</f>
        <v>946.91025641025647</v>
      </c>
      <c r="K264" s="6">
        <f>Table1[[#This Row],[2024 U.S. Units]]/Table1[[#This Row],[2023 U.S. Units]]-1</f>
        <v>0.18181818181818188</v>
      </c>
      <c r="L264" s="8">
        <f>(Table1[[#This Row],[2024 Market share (%)]]-Table1[[#This Row],[2023 Market share (%)]])*10000</f>
        <v>-1.518519239704383</v>
      </c>
      <c r="M264" s="6">
        <f>_xlfn.RRI(5,Table1[[#This Row],[2019 U.S. Sales ($000)]],Table1[[#This Row],[2024 U.S. Sales ($000)]])</f>
        <v>9.8379173382076024E-2</v>
      </c>
      <c r="N264" s="9">
        <f>(Table1[[#This Row],[2024 Market share (%)]]-Table1[[#This Row],[2019 Market share (%)]])*10000</f>
        <v>1.4111501377038178</v>
      </c>
      <c r="O264" s="6">
        <f>IF(Table1[[#This Row],[2024 AUV]]=0,"",_xlfn.RRI(5,Table1[[#This Row],[2019 AUV]],Table1[[#This Row],[2024 AUV]]))</f>
        <v>-1.1708783987871119E-2</v>
      </c>
      <c r="P264" s="6">
        <f>_xlfn.RRI(5,Table1[[#This Row],[2019 U.S. Units]],Table1[[#This Row],[2024 U.S. Units]])</f>
        <v>0.11139222486886502</v>
      </c>
      <c r="Q264" s="5">
        <v>79100</v>
      </c>
      <c r="R264" s="6">
        <f>Table1[[#This Row],[2023 U.S. Sales ($000)]]/SUMIF($E:$E, E264, $Q:$Q)</f>
        <v>1.6135086616857457E-3</v>
      </c>
      <c r="S264" s="8">
        <f>(Table1[[#This Row],[2023 Market share (%)]]-Table1[[#This Row],[2022 Market share (%)]])*10000</f>
        <v>0.7037285700792163</v>
      </c>
      <c r="T264" s="10">
        <v>0.16494845360824742</v>
      </c>
      <c r="U264" s="5">
        <v>66</v>
      </c>
      <c r="V264" s="5">
        <f t="shared" si="32"/>
        <v>1198.4848484848485</v>
      </c>
      <c r="W264" s="10">
        <v>6.4516129032258063E-2</v>
      </c>
      <c r="X264" s="10">
        <f t="shared" si="33"/>
        <v>0.14388832383988381</v>
      </c>
      <c r="Y264" s="8">
        <f>(Table1[[#This Row],[2023 Market share (%)]]-Table1[[#This Row],[2019 Market share (%)]])*10000</f>
        <v>2.9296693774082008</v>
      </c>
      <c r="Z264" s="10">
        <f t="shared" si="34"/>
        <v>4.5170398393165945E-2</v>
      </c>
      <c r="AA264" s="10">
        <f t="shared" si="35"/>
        <v>9.445151297672183E-2</v>
      </c>
      <c r="AB264" s="5">
        <v>67900</v>
      </c>
      <c r="AC264" s="6">
        <f>Table1[[#This Row],[2022 U.S. Sales ($000)]]/SUMIF($E:$E, E264, $AB:$AB)</f>
        <v>1.5431358046778241E-3</v>
      </c>
      <c r="AD264" s="5">
        <v>62</v>
      </c>
      <c r="AE264" s="5">
        <f t="shared" si="36"/>
        <v>1095.1612903225807</v>
      </c>
      <c r="AF264" s="5">
        <v>56100</v>
      </c>
      <c r="AG264" s="6">
        <f>Table1[[#This Row],[2021 U.S. Sales ($000)]]/SUMIF($E:$E, E264, $AF:$AF)</f>
        <v>1.4455004212950916E-3</v>
      </c>
      <c r="AH264" s="5">
        <v>54</v>
      </c>
      <c r="AI264" s="12">
        <f t="shared" si="37"/>
        <v>1038.8888888888889</v>
      </c>
      <c r="AJ264" s="5">
        <v>44600</v>
      </c>
      <c r="AK264" s="6">
        <f>Table1[[#This Row],[2020 U.S. Sales ($000)]]/SUMIF($E:$E, E264, $AJ:$AJ)</f>
        <v>1.4383132133416773E-3</v>
      </c>
      <c r="AL264" s="5">
        <v>48</v>
      </c>
      <c r="AM264" s="5">
        <f t="shared" si="38"/>
        <v>929.16666666666663</v>
      </c>
      <c r="AN264" s="5">
        <v>46200</v>
      </c>
      <c r="AO264" s="6">
        <f>Table1[[#This Row],[2019 U.S. Sales ($000)]]/SUMIF($E:$E, E264, $AN:$AN)</f>
        <v>1.3205417239449257E-3</v>
      </c>
      <c r="AP264" s="5">
        <v>46</v>
      </c>
      <c r="AQ264" s="5">
        <f t="shared" si="39"/>
        <v>1004.3478260869565</v>
      </c>
    </row>
    <row r="265" spans="1:43" x14ac:dyDescent="0.25">
      <c r="A265" t="s">
        <v>330</v>
      </c>
      <c r="B265">
        <v>781</v>
      </c>
      <c r="C265" t="s">
        <v>44</v>
      </c>
      <c r="D265" t="s">
        <v>45</v>
      </c>
      <c r="E265" t="s">
        <v>48</v>
      </c>
      <c r="F265" s="5">
        <v>325</v>
      </c>
      <c r="G265" s="5">
        <v>66889</v>
      </c>
      <c r="H265" s="6">
        <f>Table1[[#This Row],[2024 U.S. Sales ($000)]]/SUMIF($E:$E, E265, $G:$G)</f>
        <v>1.3237216524599467E-3</v>
      </c>
      <c r="I265" s="5">
        <v>35</v>
      </c>
      <c r="J265" s="5">
        <f>Table1[[#This Row],[2024 U.S. Sales ($000)]]/Table1[[#This Row],[2024 U.S. Units]]</f>
        <v>1911.1142857142856</v>
      </c>
      <c r="K265" s="6">
        <f>Table1[[#This Row],[2024 U.S. Units]]/Table1[[#This Row],[2023 U.S. Units]]-1</f>
        <v>-0.35185185185185186</v>
      </c>
      <c r="L265" s="8">
        <f>(Table1[[#This Row],[2024 Market share (%)]]-Table1[[#This Row],[2023 Market share (%)]])*10000</f>
        <v>-7.8138699338036863</v>
      </c>
      <c r="M265" s="6">
        <f>_xlfn.RRI(5,Table1[[#This Row],[2019 U.S. Sales ($000)]],Table1[[#This Row],[2024 U.S. Sales ($000)]])</f>
        <v>-0.24905467337447595</v>
      </c>
      <c r="N265" s="9">
        <f>(Table1[[#This Row],[2024 Market share (%)]]-Table1[[#This Row],[2019 Market share (%)]])*10000</f>
        <v>-66.824198383836389</v>
      </c>
      <c r="O265" s="6">
        <f>IF(Table1[[#This Row],[2024 AUV]]=0,"",_xlfn.RRI(5,Table1[[#This Row],[2019 AUV]],Table1[[#This Row],[2024 AUV]]))</f>
        <v>-1.6302735449312045E-2</v>
      </c>
      <c r="P265" s="6">
        <f>_xlfn.RRI(5,Table1[[#This Row],[2019 U.S. Units]],Table1[[#This Row],[2024 U.S. Units]])</f>
        <v>-0.2366093170254725</v>
      </c>
      <c r="Q265" s="5">
        <v>103200</v>
      </c>
      <c r="R265" s="6">
        <f>Table1[[#This Row],[2023 U.S. Sales ($000)]]/SUMIF($E:$E, E265, $Q:$Q)</f>
        <v>2.1051086458403153E-3</v>
      </c>
      <c r="S265" s="8">
        <f>(Table1[[#This Row],[2023 Market share (%)]]-Table1[[#This Row],[2022 Market share (%)]])*10000</f>
        <v>-17.175046435088749</v>
      </c>
      <c r="T265" s="10">
        <v>-0.38644470868014269</v>
      </c>
      <c r="U265" s="5">
        <v>54</v>
      </c>
      <c r="V265" s="5">
        <f t="shared" si="32"/>
        <v>1911.1111111111111</v>
      </c>
      <c r="W265" s="10">
        <v>-0.46</v>
      </c>
      <c r="X265" s="10">
        <f t="shared" si="33"/>
        <v>-0.22090279358217213</v>
      </c>
      <c r="Y265" s="8">
        <f>(Table1[[#This Row],[2023 Market share (%)]]-Table1[[#This Row],[2019 Market share (%)]])*10000</f>
        <v>-59.010328450032709</v>
      </c>
      <c r="Z265" s="10">
        <f t="shared" si="34"/>
        <v>-2.0337127677636735E-2</v>
      </c>
      <c r="AA265" s="10">
        <f t="shared" si="35"/>
        <v>-0.20472927123294937</v>
      </c>
      <c r="AB265" s="5">
        <v>168200</v>
      </c>
      <c r="AC265" s="6">
        <f>Table1[[#This Row],[2022 U.S. Sales ($000)]]/SUMIF($E:$E, E265, $AB:$AB)</f>
        <v>3.8226132893491903E-3</v>
      </c>
      <c r="AD265" s="5">
        <v>100</v>
      </c>
      <c r="AE265" s="5">
        <f t="shared" si="36"/>
        <v>1682</v>
      </c>
      <c r="AF265" s="5">
        <v>182000</v>
      </c>
      <c r="AG265" s="6">
        <f>Table1[[#This Row],[2021 U.S. Sales ($000)]]/SUMIF($E:$E, E265, $AF:$AF)</f>
        <v>4.6895022580339873E-3</v>
      </c>
      <c r="AH265" s="5">
        <v>115</v>
      </c>
      <c r="AI265" s="12">
        <f t="shared" si="37"/>
        <v>1582.608695652174</v>
      </c>
      <c r="AJ265" s="5">
        <v>159900</v>
      </c>
      <c r="AK265" s="6">
        <f>Table1[[#This Row],[2020 U.S. Sales ($000)]]/SUMIF($E:$E, E265, $AJ:$AJ)</f>
        <v>5.156643112406596E-3</v>
      </c>
      <c r="AL265" s="5">
        <v>126</v>
      </c>
      <c r="AM265" s="5">
        <f t="shared" si="38"/>
        <v>1269.047619047619</v>
      </c>
      <c r="AN265" s="5">
        <v>280100</v>
      </c>
      <c r="AO265" s="6">
        <f>Table1[[#This Row],[2019 U.S. Sales ($000)]]/SUMIF($E:$E, E265, $AN:$AN)</f>
        <v>8.0061414908435859E-3</v>
      </c>
      <c r="AP265" s="5">
        <v>135</v>
      </c>
      <c r="AQ265" s="5">
        <f t="shared" si="39"/>
        <v>2074.8148148148148</v>
      </c>
    </row>
    <row r="266" spans="1:43" x14ac:dyDescent="0.25">
      <c r="A266" t="s">
        <v>331</v>
      </c>
      <c r="B266">
        <v>57270</v>
      </c>
      <c r="C266" t="s">
        <v>44</v>
      </c>
      <c r="D266" t="s">
        <v>56</v>
      </c>
      <c r="E266" t="s">
        <v>46</v>
      </c>
      <c r="F266" s="5">
        <v>485</v>
      </c>
      <c r="G266" s="5">
        <v>61500</v>
      </c>
      <c r="H266" s="6">
        <f>Table1[[#This Row],[2024 U.S. Sales ($000)]]/SUMIF($E:$E, E266, $G:$G)</f>
        <v>5.5778433984096545E-4</v>
      </c>
      <c r="I266" s="5">
        <v>26</v>
      </c>
      <c r="J266" s="7">
        <f>Table1[[#This Row],[2024 U.S. Sales ($000)]]/Table1[[#This Row],[2024 U.S. Units]]</f>
        <v>2365.3846153846152</v>
      </c>
      <c r="K266" s="6">
        <f>Table1[[#This Row],[2024 U.S. Units]]/Table1[[#This Row],[2023 U.S. Units]]-1</f>
        <v>0</v>
      </c>
      <c r="L266" s="8">
        <f>(Table1[[#This Row],[2024 Market share (%)]]-Table1[[#This Row],[2023 Market share (%)]])*10000</f>
        <v>0.24368480497831824</v>
      </c>
      <c r="M266" s="6">
        <f>_xlfn.RRI(5,Table1[[#This Row],[2019 U.S. Sales ($000)]],Table1[[#This Row],[2024 U.S. Sales ($000)]])</f>
        <v>5.435442104253263E-2</v>
      </c>
      <c r="N266" s="9">
        <f>(Table1[[#This Row],[2024 Market share (%)]]-Table1[[#This Row],[2019 Market share (%)]])*10000</f>
        <v>0.12172647289917485</v>
      </c>
      <c r="O266" s="6">
        <f>IF(Table1[[#This Row],[2024 AUV]]=0,"",_xlfn.RRI(5,Table1[[#This Row],[2019 AUV]],Table1[[#This Row],[2024 AUV]]))</f>
        <v>3.761012794825791E-2</v>
      </c>
      <c r="P266" s="6">
        <f>_xlfn.RRI(5,Table1[[#This Row],[2019 U.S. Units]],Table1[[#This Row],[2024 U.S. Units]])</f>
        <v>1.6137364741595661E-2</v>
      </c>
      <c r="Q266" s="5">
        <v>58400</v>
      </c>
      <c r="R266" s="6">
        <f>Table1[[#This Row],[2023 U.S. Sales ($000)]]/SUMIF($E:$E, E266, $Q:$Q)</f>
        <v>5.3341585934313363E-4</v>
      </c>
      <c r="S266" s="8">
        <f>(Table1[[#This Row],[2023 Market share (%)]]-Table1[[#This Row],[2022 Market share (%)]])*10000</f>
        <v>-0.13708157326237622</v>
      </c>
      <c r="T266" s="10">
        <v>4.4722719141323794E-2</v>
      </c>
      <c r="U266" s="5">
        <v>26</v>
      </c>
      <c r="V266" s="5">
        <f t="shared" si="32"/>
        <v>2246.1538461538462</v>
      </c>
      <c r="W266" s="10">
        <v>0</v>
      </c>
      <c r="X266" s="10">
        <f t="shared" si="33"/>
        <v>5.4672718438743884E-2</v>
      </c>
      <c r="Y266" s="8">
        <f>(Table1[[#This Row],[2023 Market share (%)]]-Table1[[#This Row],[2019 Market share (%)]])*10000</f>
        <v>-0.1219583320791434</v>
      </c>
      <c r="Z266" s="10">
        <f t="shared" si="34"/>
        <v>3.3777761766772274E-2</v>
      </c>
      <c r="AA266" s="10">
        <f t="shared" si="35"/>
        <v>2.0212232691348531E-2</v>
      </c>
      <c r="AB266" s="5">
        <v>55900</v>
      </c>
      <c r="AC266" s="6">
        <f>Table1[[#This Row],[2022 U.S. Sales ($000)]]/SUMIF($E:$E, E266, $AB:$AB)</f>
        <v>5.4712401666937125E-4</v>
      </c>
      <c r="AD266" s="5">
        <v>26</v>
      </c>
      <c r="AE266" s="5">
        <f t="shared" si="36"/>
        <v>2150</v>
      </c>
      <c r="AF266" s="5">
        <v>49000</v>
      </c>
      <c r="AG266" s="6">
        <f>Table1[[#This Row],[2021 U.S. Sales ($000)]]/SUMIF($E:$E, E266, $AF:$AF)</f>
        <v>5.0363254739110321E-4</v>
      </c>
      <c r="AH266" s="5">
        <v>26</v>
      </c>
      <c r="AI266" s="12">
        <f t="shared" si="37"/>
        <v>1884.6153846153845</v>
      </c>
      <c r="AJ266" s="5">
        <v>43900</v>
      </c>
      <c r="AK266" s="6">
        <f>Table1[[#This Row],[2020 U.S. Sales ($000)]]/SUMIF($E:$E, E266, $AJ:$AJ)</f>
        <v>5.0238400665664532E-4</v>
      </c>
      <c r="AL266" s="5">
        <v>25</v>
      </c>
      <c r="AM266" s="5">
        <f t="shared" si="38"/>
        <v>1756</v>
      </c>
      <c r="AN266" s="5">
        <v>47200</v>
      </c>
      <c r="AO266" s="6">
        <f>Table1[[#This Row],[2019 U.S. Sales ($000)]]/SUMIF($E:$E, E266, $AN:$AN)</f>
        <v>5.4561169255104797E-4</v>
      </c>
      <c r="AP266" s="5">
        <v>24</v>
      </c>
      <c r="AQ266" s="5">
        <f t="shared" si="39"/>
        <v>1966.6666666666667</v>
      </c>
    </row>
    <row r="267" spans="1:43" x14ac:dyDescent="0.25">
      <c r="A267" t="s">
        <v>332</v>
      </c>
      <c r="B267">
        <v>431</v>
      </c>
      <c r="C267" t="s">
        <v>44</v>
      </c>
      <c r="D267" t="s">
        <v>56</v>
      </c>
      <c r="E267" t="s">
        <v>46</v>
      </c>
      <c r="F267" s="5">
        <v>410</v>
      </c>
      <c r="G267" s="5">
        <v>50000</v>
      </c>
      <c r="H267" s="6">
        <f>Table1[[#This Row],[2024 U.S. Sales ($000)]]/SUMIF($E:$E, E267, $G:$G)</f>
        <v>4.534832031227361E-4</v>
      </c>
      <c r="I267" s="5">
        <v>55</v>
      </c>
      <c r="J267" s="7">
        <f>Table1[[#This Row],[2024 U.S. Sales ($000)]]/Table1[[#This Row],[2024 U.S. Units]]</f>
        <v>909.09090909090912</v>
      </c>
      <c r="K267" s="6">
        <f>Table1[[#This Row],[2024 U.S. Units]]/Table1[[#This Row],[2023 U.S. Units]]-1</f>
        <v>0</v>
      </c>
      <c r="L267" s="8">
        <f>(Table1[[#This Row],[2024 Market share (%)]]-Table1[[#This Row],[2023 Market share (%)]])*10000</f>
        <v>-2.5164872052948848</v>
      </c>
      <c r="M267" s="6">
        <f>_xlfn.RRI(5,Table1[[#This Row],[2019 U.S. Sales ($000)]],Table1[[#This Row],[2024 U.S. Sales ($000)]])</f>
        <v>-0.2308963738935238</v>
      </c>
      <c r="N267" s="9">
        <f>(Table1[[#This Row],[2024 Market share (%)]]-Table1[[#This Row],[2019 Market share (%)]])*10000</f>
        <v>-16.942848578091432</v>
      </c>
      <c r="O267" s="6">
        <f>IF(Table1[[#This Row],[2024 AUV]]=0,"",_xlfn.RRI(5,Table1[[#This Row],[2019 AUV]],Table1[[#This Row],[2024 AUV]]))</f>
        <v>-7.4204040391343318E-2</v>
      </c>
      <c r="P267" s="6">
        <f>_xlfn.RRI(5,Table1[[#This Row],[2019 U.S. Units]],Table1[[#This Row],[2024 U.S. Units]])</f>
        <v>-0.1692514769327963</v>
      </c>
      <c r="Q267" s="5">
        <v>77200</v>
      </c>
      <c r="R267" s="6">
        <f>Table1[[#This Row],[2023 U.S. Sales ($000)]]/SUMIF($E:$E, E267, $Q:$Q)</f>
        <v>7.0513192365222459E-4</v>
      </c>
      <c r="S267" s="8">
        <f>(Table1[[#This Row],[2023 Market share (%)]]-Table1[[#This Row],[2022 Market share (%)]])*10000</f>
        <v>-2.5502668162980262</v>
      </c>
      <c r="T267" s="10">
        <v>-0.2130479102956167</v>
      </c>
      <c r="U267" s="5">
        <v>55</v>
      </c>
      <c r="V267" s="5">
        <f t="shared" si="32"/>
        <v>1403.6363636363637</v>
      </c>
      <c r="W267" s="10">
        <v>-0.21428571428571427</v>
      </c>
      <c r="X267" s="10">
        <f t="shared" si="33"/>
        <v>-0.1971343124393824</v>
      </c>
      <c r="Y267" s="8">
        <f>(Table1[[#This Row],[2023 Market share (%)]]-Table1[[#This Row],[2019 Market share (%)]])*10000</f>
        <v>-14.426361372796549</v>
      </c>
      <c r="Z267" s="10">
        <f t="shared" si="34"/>
        <v>1.229228125684334E-2</v>
      </c>
      <c r="AA267" s="10">
        <f t="shared" si="35"/>
        <v>-0.2068835232411389</v>
      </c>
      <c r="AB267" s="5">
        <v>98100</v>
      </c>
      <c r="AC267" s="6">
        <f>Table1[[#This Row],[2022 U.S. Sales ($000)]]/SUMIF($E:$E, E267, $AB:$AB)</f>
        <v>9.6015860528202721E-4</v>
      </c>
      <c r="AD267" s="5">
        <v>70</v>
      </c>
      <c r="AE267" s="5">
        <f t="shared" si="36"/>
        <v>1401.4285714285713</v>
      </c>
      <c r="AF267" s="5">
        <v>114800</v>
      </c>
      <c r="AG267" s="6">
        <f>Table1[[#This Row],[2021 U.S. Sales ($000)]]/SUMIF($E:$E, E267, $AF:$AF)</f>
        <v>1.1799391110305848E-3</v>
      </c>
      <c r="AH267" s="5">
        <v>97</v>
      </c>
      <c r="AI267" s="12">
        <f t="shared" si="37"/>
        <v>1183.5051546391753</v>
      </c>
      <c r="AJ267" s="5">
        <v>118600</v>
      </c>
      <c r="AK267" s="6">
        <f>Table1[[#This Row],[2020 U.S. Sales ($000)]]/SUMIF($E:$E, E267, $AJ:$AJ)</f>
        <v>1.3572378858651055E-3</v>
      </c>
      <c r="AL267" s="5">
        <v>108</v>
      </c>
      <c r="AM267" s="5">
        <f t="shared" si="38"/>
        <v>1098.148148148148</v>
      </c>
      <c r="AN267" s="5">
        <v>185800</v>
      </c>
      <c r="AO267" s="6">
        <f>Table1[[#This Row],[2019 U.S. Sales ($000)]]/SUMIF($E:$E, E267, $AN:$AN)</f>
        <v>2.1477680609318793E-3</v>
      </c>
      <c r="AP267" s="5">
        <v>139</v>
      </c>
      <c r="AQ267" s="5">
        <f t="shared" si="39"/>
        <v>1336.6906474820144</v>
      </c>
    </row>
    <row r="268" spans="1:43" x14ac:dyDescent="0.25">
      <c r="A268" t="s">
        <v>333</v>
      </c>
      <c r="B268">
        <v>33387</v>
      </c>
      <c r="C268" t="s">
        <v>44</v>
      </c>
      <c r="D268" t="s">
        <v>56</v>
      </c>
      <c r="E268" t="s">
        <v>46</v>
      </c>
      <c r="F268" s="5">
        <v>330</v>
      </c>
      <c r="G268" s="5">
        <v>35000</v>
      </c>
      <c r="H268" s="6">
        <f>Table1[[#This Row],[2024 U.S. Sales ($000)]]/SUMIF($E:$E, E268, $G:$G)</f>
        <v>3.1743824218591528E-4</v>
      </c>
      <c r="I268" s="5">
        <v>40</v>
      </c>
      <c r="J268" s="7">
        <f>Table1[[#This Row],[2024 U.S. Sales ($000)]]/Table1[[#This Row],[2024 U.S. Units]]</f>
        <v>875</v>
      </c>
      <c r="K268" s="6">
        <f>Table1[[#This Row],[2024 U.S. Units]]/Table1[[#This Row],[2023 U.S. Units]]-1</f>
        <v>-0.6330275229357798</v>
      </c>
      <c r="L268" s="8">
        <f>(Table1[[#This Row],[2024 Market share (%)]]-Table1[[#This Row],[2023 Market share (%)]])*10000</f>
        <v>-6.1421274502298244</v>
      </c>
      <c r="M268" s="6">
        <f>_xlfn.RRI(5,Table1[[#This Row],[2019 U.S. Sales ($000)]],Table1[[#This Row],[2024 U.S. Sales ($000)]])</f>
        <v>-1.1586139329544998E-2</v>
      </c>
      <c r="N268" s="9">
        <f>(Table1[[#This Row],[2024 Market share (%)]]-Table1[[#This Row],[2019 Market share (%)]])*10000</f>
        <v>-1.1142179581501437</v>
      </c>
      <c r="O268" s="6">
        <f>IF(Table1[[#This Row],[2024 AUV]]=0,"",_xlfn.RRI(5,Table1[[#This Row],[2019 AUV]],Table1[[#This Row],[2024 AUV]]))</f>
        <v>-6.6850818150244185E-2</v>
      </c>
      <c r="P268" s="6">
        <f>_xlfn.RRI(5,Table1[[#This Row],[2019 U.S. Units]],Table1[[#This Row],[2024 U.S. Units]])</f>
        <v>5.9223841048812176E-2</v>
      </c>
      <c r="Q268" s="5">
        <v>102000</v>
      </c>
      <c r="R268" s="6">
        <f>Table1[[#This Row],[2023 U.S. Sales ($000)]]/SUMIF($E:$E, E268, $Q:$Q)</f>
        <v>9.3165098720889776E-4</v>
      </c>
      <c r="S268" s="8">
        <f>(Table1[[#This Row],[2023 Market share (%)]]-Table1[[#This Row],[2022 Market share (%)]])*10000</f>
        <v>0.37068963531249488</v>
      </c>
      <c r="T268" s="10">
        <v>0.11597374179431072</v>
      </c>
      <c r="U268" s="5">
        <v>109</v>
      </c>
      <c r="V268" s="5">
        <f t="shared" si="32"/>
        <v>935.77981651376149</v>
      </c>
      <c r="W268" s="10">
        <v>0.13541666666666666</v>
      </c>
      <c r="X268" s="10">
        <f t="shared" si="33"/>
        <v>0.28767589399246507</v>
      </c>
      <c r="Y268" s="8">
        <f>(Table1[[#This Row],[2023 Market share (%)]]-Table1[[#This Row],[2019 Market share (%)]])*10000</f>
        <v>5.0279094920796812</v>
      </c>
      <c r="Z268" s="10">
        <f t="shared" si="34"/>
        <v>-6.7325174142370825E-2</v>
      </c>
      <c r="AA268" s="10">
        <f t="shared" si="35"/>
        <v>0.38062683616275295</v>
      </c>
      <c r="AB268" s="5">
        <v>91400</v>
      </c>
      <c r="AC268" s="6">
        <f>Table1[[#This Row],[2022 U.S. Sales ($000)]]/SUMIF($E:$E, E268, $AB:$AB)</f>
        <v>8.9458202367764827E-4</v>
      </c>
      <c r="AD268" s="5">
        <v>96</v>
      </c>
      <c r="AE268" s="5">
        <f t="shared" si="36"/>
        <v>952.08333333333337</v>
      </c>
      <c r="AF268" s="5">
        <v>67700</v>
      </c>
      <c r="AG268" s="6">
        <f>Table1[[#This Row],[2021 U.S. Sales ($000)]]/SUMIF($E:$E, E268, $AF:$AF)</f>
        <v>6.9583517261995285E-4</v>
      </c>
      <c r="AH268" s="5">
        <v>79</v>
      </c>
      <c r="AI268" s="12">
        <f t="shared" si="37"/>
        <v>856.96202531645565</v>
      </c>
      <c r="AJ268" s="5">
        <v>40800</v>
      </c>
      <c r="AK268" s="6">
        <f>Table1[[#This Row],[2020 U.S. Sales ($000)]]/SUMIF($E:$E, E268, $AJ:$AJ)</f>
        <v>4.6690814286084575E-4</v>
      </c>
      <c r="AL268" s="5">
        <v>47</v>
      </c>
      <c r="AM268" s="5">
        <f t="shared" si="38"/>
        <v>868.08510638297878</v>
      </c>
      <c r="AN268" s="5">
        <v>37100</v>
      </c>
      <c r="AO268" s="6">
        <f>Table1[[#This Row],[2019 U.S. Sales ($000)]]/SUMIF($E:$E, E268, $AN:$AN)</f>
        <v>4.2886003800092964E-4</v>
      </c>
      <c r="AP268" s="5">
        <v>30</v>
      </c>
      <c r="AQ268" s="5">
        <f t="shared" si="39"/>
        <v>1236.6666666666667</v>
      </c>
    </row>
    <row r="269" spans="1:43" x14ac:dyDescent="0.25">
      <c r="A269" t="s">
        <v>334</v>
      </c>
      <c r="B269">
        <v>562840</v>
      </c>
      <c r="C269" t="s">
        <v>44</v>
      </c>
      <c r="D269" t="s">
        <v>56</v>
      </c>
      <c r="E269" t="s">
        <v>63</v>
      </c>
      <c r="F269" s="5">
        <v>309</v>
      </c>
      <c r="G269" s="5">
        <v>0</v>
      </c>
      <c r="H269" s="6">
        <f>Table1[[#This Row],[2024 U.S. Sales ($000)]]/SUMIF($E:$E, E269, $G:$G)</f>
        <v>0</v>
      </c>
      <c r="I269" s="5">
        <v>0</v>
      </c>
      <c r="J269" s="5" t="e">
        <f>Table1[[#This Row],[2024 U.S. Sales ($000)]]/Table1[[#This Row],[2024 U.S. Units]]</f>
        <v>#DIV/0!</v>
      </c>
      <c r="K269" s="6">
        <f>Table1[[#This Row],[2024 U.S. Units]]/Table1[[#This Row],[2023 U.S. Units]]-1</f>
        <v>-1</v>
      </c>
      <c r="L269" s="8">
        <f>(Table1[[#This Row],[2024 Market share (%)]]-Table1[[#This Row],[2023 Market share (%)]])*10000</f>
        <v>-134.85005130559853</v>
      </c>
      <c r="M269" s="6">
        <f>_xlfn.RRI(5,Table1[[#This Row],[2019 U.S. Sales ($000)]],Table1[[#This Row],[2024 U.S. Sales ($000)]])</f>
        <v>-1</v>
      </c>
      <c r="N269" s="9">
        <f>(Table1[[#This Row],[2024 Market share (%)]]-Table1[[#This Row],[2019 Market share (%)]])*10000</f>
        <v>-17.480330343968344</v>
      </c>
      <c r="O269" s="6" t="e">
        <f>IF(Table1[[#This Row],[2024 AUV]]=0,"",_xlfn.RRI(5,Table1[[#This Row],[2019 AUV]],Table1[[#This Row],[2024 AUV]]))</f>
        <v>#DIV/0!</v>
      </c>
      <c r="P269" s="6">
        <f>_xlfn.RRI(5,Table1[[#This Row],[2019 U.S. Units]],Table1[[#This Row],[2024 U.S. Units]])</f>
        <v>-1</v>
      </c>
      <c r="Q269" s="5">
        <v>111364</v>
      </c>
      <c r="R269" s="6">
        <f>Table1[[#This Row],[2023 U.S. Sales ($000)]]/SUMIF($E:$E, E269, $Q:$Q)</f>
        <v>1.3485005130559852E-2</v>
      </c>
      <c r="S269" s="8">
        <f>(Table1[[#This Row],[2023 Market share (%)]]-Table1[[#This Row],[2022 Market share (%)]])*10000</f>
        <v>2.0007467495967814</v>
      </c>
      <c r="T269" s="10">
        <v>0.10229736016391333</v>
      </c>
      <c r="U269" s="5">
        <v>48</v>
      </c>
      <c r="V269" s="5">
        <f t="shared" si="32"/>
        <v>2320.0833333333335</v>
      </c>
      <c r="W269" s="10">
        <v>0.29729729729729731</v>
      </c>
      <c r="X269" s="10">
        <f t="shared" si="33"/>
        <v>0.81775840938489219</v>
      </c>
      <c r="Y269" s="8">
        <f>(Table1[[#This Row],[2023 Market share (%)]]-Table1[[#This Row],[2019 Market share (%)]])*10000</f>
        <v>117.36972096163018</v>
      </c>
      <c r="Z269" s="10">
        <f t="shared" si="34"/>
        <v>-2.3345734977803123E-2</v>
      </c>
      <c r="AA269" s="10">
        <f t="shared" si="35"/>
        <v>0.86120971820419912</v>
      </c>
      <c r="AB269" s="5">
        <v>101029</v>
      </c>
      <c r="AC269" s="6">
        <f>Table1[[#This Row],[2022 U.S. Sales ($000)]]/SUMIF($E:$E, E269, $AB:$AB)</f>
        <v>1.3284930455600174E-2</v>
      </c>
      <c r="AD269" s="5">
        <v>37</v>
      </c>
      <c r="AE269" s="5">
        <f t="shared" si="36"/>
        <v>2730.5135135135133</v>
      </c>
      <c r="AF269" s="5">
        <v>56886</v>
      </c>
      <c r="AG269" s="6">
        <f>Table1[[#This Row],[2021 U.S. Sales ($000)]]/SUMIF($E:$E, E269, $AF:$AF)</f>
        <v>8.5865427082613202E-3</v>
      </c>
      <c r="AH269" s="5">
        <v>26</v>
      </c>
      <c r="AI269" s="12">
        <f t="shared" si="37"/>
        <v>2187.9230769230771</v>
      </c>
      <c r="AJ269" s="5">
        <v>20915</v>
      </c>
      <c r="AK269" s="6">
        <f>Table1[[#This Row],[2020 U.S. Sales ($000)]]/SUMIF($E:$E, E269, $AJ:$AJ)</f>
        <v>3.8131760684595919E-3</v>
      </c>
      <c r="AL269" s="5">
        <v>9</v>
      </c>
      <c r="AM269" s="5">
        <f t="shared" si="38"/>
        <v>2323.8888888888887</v>
      </c>
      <c r="AN269" s="5">
        <v>10200</v>
      </c>
      <c r="AO269" s="6">
        <f>Table1[[#This Row],[2019 U.S. Sales ($000)]]/SUMIF($E:$E, E269, $AN:$AN)</f>
        <v>1.7480330343968343E-3</v>
      </c>
      <c r="AP269" s="5">
        <v>4</v>
      </c>
      <c r="AQ269" s="5">
        <f t="shared" si="39"/>
        <v>2550</v>
      </c>
    </row>
    <row r="270" spans="1:43" x14ac:dyDescent="0.25">
      <c r="A270" t="s">
        <v>335</v>
      </c>
      <c r="B270">
        <v>5392</v>
      </c>
      <c r="C270" t="s">
        <v>68</v>
      </c>
      <c r="D270" t="s">
        <v>69</v>
      </c>
      <c r="E270" t="s">
        <v>73</v>
      </c>
      <c r="F270" s="5">
        <v>452</v>
      </c>
      <c r="G270" s="5">
        <v>0</v>
      </c>
      <c r="H270" s="6">
        <f>Table1[[#This Row],[2024 U.S. Sales ($000)]]/SUMIF($E:$E, E270, $G:$G)</f>
        <v>0</v>
      </c>
      <c r="I270" s="5">
        <v>0</v>
      </c>
      <c r="J270" s="5" t="e">
        <f>Table1[[#This Row],[2024 U.S. Sales ($000)]]/Table1[[#This Row],[2024 U.S. Units]]</f>
        <v>#DIV/0!</v>
      </c>
      <c r="K270" s="6">
        <f>Table1[[#This Row],[2024 U.S. Units]]/Table1[[#This Row],[2023 U.S. Units]]-1</f>
        <v>-1</v>
      </c>
      <c r="L270" s="8">
        <f>(Table1[[#This Row],[2024 Market share (%)]]-Table1[[#This Row],[2023 Market share (%)]])*10000</f>
        <v>-69.823079139517446</v>
      </c>
      <c r="M270" s="6">
        <f>_xlfn.RRI(5,Table1[[#This Row],[2019 U.S. Sales ($000)]],Table1[[#This Row],[2024 U.S. Sales ($000)]])</f>
        <v>-1</v>
      </c>
      <c r="N270" s="9">
        <f>(Table1[[#This Row],[2024 Market share (%)]]-Table1[[#This Row],[2019 Market share (%)]])*10000</f>
        <v>-7.9045888714790591</v>
      </c>
      <c r="O270" s="6" t="e">
        <f>IF(Table1[[#This Row],[2024 AUV]]=0,"",_xlfn.RRI(5,Table1[[#This Row],[2019 AUV]],Table1[[#This Row],[2024 AUV]]))</f>
        <v>#DIV/0!</v>
      </c>
      <c r="P270" s="6">
        <f>_xlfn.RRI(5,Table1[[#This Row],[2019 U.S. Units]],Table1[[#This Row],[2024 U.S. Units]])</f>
        <v>-1</v>
      </c>
      <c r="Q270" s="5">
        <v>67100</v>
      </c>
      <c r="R270" s="6">
        <f>Table1[[#This Row],[2023 U.S. Sales ($000)]]/SUMIF($E:$E, E270, $Q:$Q)</f>
        <v>6.9823079139517442E-3</v>
      </c>
      <c r="S270" s="8">
        <f>(Table1[[#This Row],[2023 Market share (%)]]-Table1[[#This Row],[2022 Market share (%)]])*10000</f>
        <v>-5.3086627365635328</v>
      </c>
      <c r="T270" s="10">
        <v>-2.753623188405797E-2</v>
      </c>
      <c r="U270" s="5">
        <v>64</v>
      </c>
      <c r="V270" s="5">
        <f t="shared" si="32"/>
        <v>1048.4375</v>
      </c>
      <c r="W270" s="10">
        <v>-1.5384615384615385E-2</v>
      </c>
      <c r="X270" s="10">
        <f t="shared" si="33"/>
        <v>0.74661350506504798</v>
      </c>
      <c r="Y270" s="8">
        <f>(Table1[[#This Row],[2023 Market share (%)]]-Table1[[#This Row],[2019 Market share (%)]])*10000</f>
        <v>61.918490268038383</v>
      </c>
      <c r="Z270" s="10">
        <f t="shared" si="34"/>
        <v>0.75339659776176515</v>
      </c>
      <c r="AA270" s="10">
        <f t="shared" si="35"/>
        <v>-3.8685444612907016E-3</v>
      </c>
      <c r="AB270" s="5">
        <v>69000</v>
      </c>
      <c r="AC270" s="6">
        <f>Table1[[#This Row],[2022 U.S. Sales ($000)]]/SUMIF($E:$E, E270, $AB:$AB)</f>
        <v>7.5131741876080975E-3</v>
      </c>
      <c r="AD270" s="5">
        <v>65</v>
      </c>
      <c r="AE270" s="5">
        <f t="shared" si="36"/>
        <v>1061.5384615384614</v>
      </c>
      <c r="AF270" s="5">
        <v>66600</v>
      </c>
      <c r="AG270" s="6">
        <f>Table1[[#This Row],[2021 U.S. Sales ($000)]]/SUMIF($E:$E, E270, $AF:$AF)</f>
        <v>7.9537184350234949E-3</v>
      </c>
      <c r="AH270" s="5">
        <v>65</v>
      </c>
      <c r="AI270" s="12">
        <f t="shared" si="37"/>
        <v>1024.6153846153845</v>
      </c>
      <c r="AJ270" s="5">
        <v>62700</v>
      </c>
      <c r="AK270" s="6">
        <f>Table1[[#This Row],[2020 U.S. Sales ($000)]]/SUMIF($E:$E, E270, $AJ:$AJ)</f>
        <v>9.088433062820785E-3</v>
      </c>
      <c r="AL270" s="5">
        <v>65</v>
      </c>
      <c r="AM270" s="5">
        <f t="shared" si="38"/>
        <v>964.61538461538464</v>
      </c>
      <c r="AN270" s="5">
        <v>7210</v>
      </c>
      <c r="AO270" s="6">
        <f>Table1[[#This Row],[2019 U.S. Sales ($000)]]/SUMIF($E:$E, E270, $AN:$AN)</f>
        <v>7.9045888714790588E-4</v>
      </c>
      <c r="AP270" s="5">
        <v>65</v>
      </c>
      <c r="AQ270" s="5">
        <f t="shared" si="39"/>
        <v>110.92307692307692</v>
      </c>
    </row>
    <row r="271" spans="1:43" x14ac:dyDescent="0.25">
      <c r="A271" t="s">
        <v>336</v>
      </c>
      <c r="B271">
        <v>563508</v>
      </c>
      <c r="C271" t="s">
        <v>44</v>
      </c>
      <c r="D271" t="s">
        <v>45</v>
      </c>
      <c r="E271" t="s">
        <v>112</v>
      </c>
      <c r="F271" s="5">
        <v>442</v>
      </c>
      <c r="G271" s="5">
        <v>0</v>
      </c>
      <c r="H271" s="6">
        <f>Table1[[#This Row],[2024 U.S. Sales ($000)]]/SUMIF($E:$E, E271, $G:$G)</f>
        <v>0</v>
      </c>
      <c r="I271" s="5">
        <v>0</v>
      </c>
      <c r="J271" s="5" t="e">
        <f>Table1[[#This Row],[2024 U.S. Sales ($000)]]/Table1[[#This Row],[2024 U.S. Units]]</f>
        <v>#DIV/0!</v>
      </c>
      <c r="K271" s="6">
        <f>Table1[[#This Row],[2024 U.S. Units]]/Table1[[#This Row],[2023 U.S. Units]]-1</f>
        <v>-1</v>
      </c>
      <c r="L271" s="8">
        <f>(Table1[[#This Row],[2024 Market share (%)]]-Table1[[#This Row],[2023 Market share (%)]])*10000</f>
        <v>-83.803294393903997</v>
      </c>
      <c r="M271" s="6">
        <f>_xlfn.RRI(5,Table1[[#This Row],[2019 U.S. Sales ($000)]],Table1[[#This Row],[2024 U.S. Sales ($000)]])</f>
        <v>-1</v>
      </c>
      <c r="N271" s="9">
        <f>(Table1[[#This Row],[2024 Market share (%)]]-Table1[[#This Row],[2019 Market share (%)]])*10000</f>
        <v>-18.530922034851724</v>
      </c>
      <c r="O271" s="6" t="e">
        <f>IF(Table1[[#This Row],[2024 AUV]]=0,"",_xlfn.RRI(5,Table1[[#This Row],[2019 AUV]],Table1[[#This Row],[2024 AUV]]))</f>
        <v>#DIV/0!</v>
      </c>
      <c r="P271" s="6">
        <f>_xlfn.RRI(5,Table1[[#This Row],[2019 U.S. Units]],Table1[[#This Row],[2024 U.S. Units]])</f>
        <v>-1</v>
      </c>
      <c r="Q271" s="5">
        <v>69350</v>
      </c>
      <c r="R271" s="6">
        <f>Table1[[#This Row],[2023 U.S. Sales ($000)]]/SUMIF($E:$E, E271, $Q:$Q)</f>
        <v>8.3803294393903997E-3</v>
      </c>
      <c r="S271" s="8">
        <f>(Table1[[#This Row],[2023 Market share (%)]]-Table1[[#This Row],[2022 Market share (%)]])*10000</f>
        <v>22.627938997607608</v>
      </c>
      <c r="T271" s="10">
        <v>0.53599114064230347</v>
      </c>
      <c r="U271" s="5">
        <v>103</v>
      </c>
      <c r="V271" s="5">
        <f t="shared" si="32"/>
        <v>673.30097087378635</v>
      </c>
      <c r="W271" s="10">
        <v>0.47142857142857142</v>
      </c>
      <c r="X271" s="10">
        <f t="shared" si="33"/>
        <v>0.666099710770512</v>
      </c>
      <c r="Y271" s="8">
        <f>(Table1[[#This Row],[2023 Market share (%)]]-Table1[[#This Row],[2019 Market share (%)]])*10000</f>
        <v>65.27237235905227</v>
      </c>
      <c r="Z271" s="10">
        <f t="shared" si="34"/>
        <v>-2.6609744338835561E-2</v>
      </c>
      <c r="AA271" s="10">
        <f t="shared" si="35"/>
        <v>0.71164617796469765</v>
      </c>
      <c r="AB271" s="5">
        <v>45150</v>
      </c>
      <c r="AC271" s="6">
        <f>Table1[[#This Row],[2022 U.S. Sales ($000)]]/SUMIF($E:$E, E271, $AB:$AB)</f>
        <v>6.1175355396296391E-3</v>
      </c>
      <c r="AD271" s="5">
        <v>70</v>
      </c>
      <c r="AE271" s="5">
        <f t="shared" si="36"/>
        <v>645</v>
      </c>
      <c r="AF271" s="5">
        <v>27000</v>
      </c>
      <c r="AG271" s="6">
        <f>Table1[[#This Row],[2021 U.S. Sales ($000)]]/SUMIF($E:$E, E271, $AF:$AF)</f>
        <v>4.3159395640581339E-3</v>
      </c>
      <c r="AH271" s="5">
        <v>42</v>
      </c>
      <c r="AI271" s="12">
        <f t="shared" si="37"/>
        <v>642.85714285714289</v>
      </c>
      <c r="AJ271" s="5">
        <v>13300</v>
      </c>
      <c r="AK271" s="6">
        <f>Table1[[#This Row],[2020 U.S. Sales ($000)]]/SUMIF($E:$E, E271, $AJ:$AJ)</f>
        <v>2.8816932743012326E-3</v>
      </c>
      <c r="AL271" s="5">
        <v>26</v>
      </c>
      <c r="AM271" s="5">
        <f t="shared" si="38"/>
        <v>511.53846153846155</v>
      </c>
      <c r="AN271" s="5">
        <v>9000</v>
      </c>
      <c r="AO271" s="6">
        <f>Table1[[#This Row],[2019 U.S. Sales ($000)]]/SUMIF($E:$E, E271, $AN:$AN)</f>
        <v>1.8530922034851723E-3</v>
      </c>
      <c r="AP271" s="5">
        <v>12</v>
      </c>
      <c r="AQ271" s="5">
        <f t="shared" si="39"/>
        <v>750</v>
      </c>
    </row>
    <row r="272" spans="1:43" x14ac:dyDescent="0.25">
      <c r="A272" t="s">
        <v>337</v>
      </c>
      <c r="B272">
        <v>62225</v>
      </c>
      <c r="C272" t="s">
        <v>44</v>
      </c>
      <c r="D272" t="s">
        <v>56</v>
      </c>
      <c r="E272" t="s">
        <v>128</v>
      </c>
      <c r="F272" s="5">
        <v>498</v>
      </c>
      <c r="G272" s="5">
        <v>0</v>
      </c>
      <c r="H272" s="6">
        <f>Table1[[#This Row],[2024 U.S. Sales ($000)]]/SUMIF($E:$E, E272, $G:$G)</f>
        <v>0</v>
      </c>
      <c r="I272" s="5">
        <v>0</v>
      </c>
      <c r="J272" s="5" t="e">
        <f>Table1[[#This Row],[2024 U.S. Sales ($000)]]/Table1[[#This Row],[2024 U.S. Units]]</f>
        <v>#DIV/0!</v>
      </c>
      <c r="K272" s="6">
        <f>Table1[[#This Row],[2024 U.S. Units]]/Table1[[#This Row],[2023 U.S. Units]]-1</f>
        <v>-1</v>
      </c>
      <c r="L272" s="8">
        <f>(Table1[[#This Row],[2024 Market share (%)]]-Table1[[#This Row],[2023 Market share (%)]])*10000</f>
        <v>-105.24671214658655</v>
      </c>
      <c r="M272" s="6">
        <f>_xlfn.RRI(5,Table1[[#This Row],[2019 U.S. Sales ($000)]],Table1[[#This Row],[2024 U.S. Sales ($000)]])</f>
        <v>-1</v>
      </c>
      <c r="N272" s="9">
        <f>(Table1[[#This Row],[2024 Market share (%)]]-Table1[[#This Row],[2019 Market share (%)]])*10000</f>
        <v>-23.258362011640948</v>
      </c>
      <c r="O272" s="6" t="e">
        <f>IF(Table1[[#This Row],[2024 AUV]]=0,"",_xlfn.RRI(5,Table1[[#This Row],[2019 AUV]],Table1[[#This Row],[2024 AUV]]))</f>
        <v>#DIV/0!</v>
      </c>
      <c r="P272" s="6">
        <f>_xlfn.RRI(5,Table1[[#This Row],[2019 U.S. Units]],Table1[[#This Row],[2024 U.S. Units]])</f>
        <v>-1</v>
      </c>
      <c r="Q272" s="5">
        <v>54700</v>
      </c>
      <c r="R272" s="6">
        <f>Table1[[#This Row],[2023 U.S. Sales ($000)]]/SUMIF($E:$E, E272, $Q:$Q)</f>
        <v>1.0524671214658655E-2</v>
      </c>
      <c r="S272" s="8">
        <f>(Table1[[#This Row],[2023 Market share (%)]]-Table1[[#This Row],[2022 Market share (%)]])*10000</f>
        <v>19.243983535081419</v>
      </c>
      <c r="T272" s="10">
        <v>0.4356955380577428</v>
      </c>
      <c r="U272" s="5">
        <v>46</v>
      </c>
      <c r="V272" s="5">
        <f t="shared" si="32"/>
        <v>1189.1304347826087</v>
      </c>
      <c r="W272" s="10">
        <v>0.58620689655172409</v>
      </c>
      <c r="X272" s="10">
        <f t="shared" si="33"/>
        <v>0.60223903624796771</v>
      </c>
      <c r="Y272" s="8">
        <f>(Table1[[#This Row],[2023 Market share (%)]]-Table1[[#This Row],[2019 Market share (%)]])*10000</f>
        <v>81.988350134945591</v>
      </c>
      <c r="Z272" s="10">
        <f t="shared" si="34"/>
        <v>7.1949551070771278E-4</v>
      </c>
      <c r="AA272" s="10">
        <f t="shared" si="35"/>
        <v>0.60108706129511358</v>
      </c>
      <c r="AB272" s="5">
        <v>38100</v>
      </c>
      <c r="AC272" s="6">
        <f>Table1[[#This Row],[2022 U.S. Sales ($000)]]/SUMIF($E:$E, E272, $AB:$AB)</f>
        <v>8.6002728611505128E-3</v>
      </c>
      <c r="AD272" s="5">
        <v>29</v>
      </c>
      <c r="AE272" s="5">
        <f t="shared" si="36"/>
        <v>1313.7931034482758</v>
      </c>
      <c r="AF272" s="5">
        <v>19000</v>
      </c>
      <c r="AG272" s="6">
        <f>Table1[[#This Row],[2021 U.S. Sales ($000)]]/SUMIF($E:$E, E272, $AF:$AF)</f>
        <v>5.0359834268435943E-3</v>
      </c>
      <c r="AH272" s="5">
        <v>15</v>
      </c>
      <c r="AI272" s="12">
        <f t="shared" si="37"/>
        <v>1266.6666666666667</v>
      </c>
      <c r="AJ272" s="5">
        <v>11000</v>
      </c>
      <c r="AK272" s="6">
        <f>Table1[[#This Row],[2020 U.S. Sales ($000)]]/SUMIF($E:$E, E272, $AJ:$AJ)</f>
        <v>3.5896448535914396E-3</v>
      </c>
      <c r="AL272" s="5">
        <v>9</v>
      </c>
      <c r="AM272" s="5">
        <f t="shared" si="38"/>
        <v>1222.2222222222222</v>
      </c>
      <c r="AN272" s="5">
        <v>8300</v>
      </c>
      <c r="AO272" s="6">
        <f>Table1[[#This Row],[2019 U.S. Sales ($000)]]/SUMIF($E:$E, E272, $AN:$AN)</f>
        <v>2.3258362011640949E-3</v>
      </c>
      <c r="AP272" s="5">
        <v>7</v>
      </c>
      <c r="AQ272" s="5">
        <f t="shared" si="39"/>
        <v>1185.7142857142858</v>
      </c>
    </row>
    <row r="273" spans="1:43" x14ac:dyDescent="0.25">
      <c r="A273" t="s">
        <v>338</v>
      </c>
      <c r="B273">
        <v>563239</v>
      </c>
      <c r="C273" t="s">
        <v>44</v>
      </c>
      <c r="D273" t="s">
        <v>56</v>
      </c>
      <c r="E273" t="s">
        <v>128</v>
      </c>
      <c r="F273" s="5">
        <v>379</v>
      </c>
      <c r="G273" s="5">
        <v>0</v>
      </c>
      <c r="H273" s="6">
        <f>Table1[[#This Row],[2024 U.S. Sales ($000)]]/SUMIF($E:$E, E273, $G:$G)</f>
        <v>0</v>
      </c>
      <c r="I273" s="5">
        <v>0</v>
      </c>
      <c r="J273" s="5" t="e">
        <f>Table1[[#This Row],[2024 U.S. Sales ($000)]]/Table1[[#This Row],[2024 U.S. Units]]</f>
        <v>#DIV/0!</v>
      </c>
      <c r="K273" s="6">
        <f>Table1[[#This Row],[2024 U.S. Units]]/Table1[[#This Row],[2023 U.S. Units]]-1</f>
        <v>-1</v>
      </c>
      <c r="L273" s="8">
        <f>(Table1[[#This Row],[2024 Market share (%)]]-Table1[[#This Row],[2023 Market share (%)]])*10000</f>
        <v>-159.1765127819919</v>
      </c>
      <c r="M273" s="6">
        <f>_xlfn.RRI(5,Table1[[#This Row],[2019 U.S. Sales ($000)]],Table1[[#This Row],[2024 U.S. Sales ($000)]])</f>
        <v>-1</v>
      </c>
      <c r="N273" s="9">
        <f>(Table1[[#This Row],[2024 Market share (%)]]-Table1[[#This Row],[2019 Market share (%)]])*10000</f>
        <v>-41.192520671219519</v>
      </c>
      <c r="O273" s="6" t="e">
        <f>IF(Table1[[#This Row],[2024 AUV]]=0,"",_xlfn.RRI(5,Table1[[#This Row],[2019 AUV]],Table1[[#This Row],[2024 AUV]]))</f>
        <v>#DIV/0!</v>
      </c>
      <c r="P273" s="6">
        <f>_xlfn.RRI(5,Table1[[#This Row],[2019 U.S. Units]],Table1[[#This Row],[2024 U.S. Units]])</f>
        <v>-1</v>
      </c>
      <c r="Q273" s="5">
        <v>82729</v>
      </c>
      <c r="R273" s="6">
        <f>Table1[[#This Row],[2023 U.S. Sales ($000)]]/SUMIF($E:$E, E273, $Q:$Q)</f>
        <v>1.5917651278199191E-2</v>
      </c>
      <c r="S273" s="8">
        <f>(Table1[[#This Row],[2023 Market share (%)]]-Table1[[#This Row],[2022 Market share (%)]])*10000</f>
        <v>23.587906495711621</v>
      </c>
      <c r="T273" s="10">
        <v>0.37727870544558578</v>
      </c>
      <c r="U273" s="5">
        <v>68</v>
      </c>
      <c r="V273" s="5">
        <f t="shared" si="32"/>
        <v>1216.6029411764705</v>
      </c>
      <c r="W273" s="10">
        <v>0.41666666666666669</v>
      </c>
      <c r="X273" s="10">
        <f t="shared" si="33"/>
        <v>0.54022833968608741</v>
      </c>
      <c r="Y273" s="8">
        <f>(Table1[[#This Row],[2023 Market share (%)]]-Table1[[#This Row],[2019 Market share (%)]])*10000</f>
        <v>117.98399211077241</v>
      </c>
      <c r="Z273" s="10">
        <f t="shared" si="34"/>
        <v>-1.7181082486222854E-3</v>
      </c>
      <c r="AA273" s="10">
        <f t="shared" si="35"/>
        <v>0.54287917312005241</v>
      </c>
      <c r="AB273" s="5">
        <v>60067</v>
      </c>
      <c r="AC273" s="6">
        <f>Table1[[#This Row],[2022 U.S. Sales ($000)]]/SUMIF($E:$E, E273, $AB:$AB)</f>
        <v>1.3558860628628029E-2</v>
      </c>
      <c r="AD273" s="5">
        <v>48</v>
      </c>
      <c r="AE273" s="5">
        <f t="shared" si="36"/>
        <v>1251.3958333333333</v>
      </c>
      <c r="AF273" s="5">
        <v>35100</v>
      </c>
      <c r="AG273" s="6">
        <f>Table1[[#This Row],[2021 U.S. Sales ($000)]]/SUMIF($E:$E, E273, $AF:$AF)</f>
        <v>9.303316751695271E-3</v>
      </c>
      <c r="AH273" s="5">
        <v>36</v>
      </c>
      <c r="AI273" s="12">
        <f t="shared" si="37"/>
        <v>975</v>
      </c>
      <c r="AJ273" s="5">
        <v>15800</v>
      </c>
      <c r="AK273" s="6">
        <f>Table1[[#This Row],[2020 U.S. Sales ($000)]]/SUMIF($E:$E, E273, $AJ:$AJ)</f>
        <v>5.1560353351586133E-3</v>
      </c>
      <c r="AL273" s="5">
        <v>16</v>
      </c>
      <c r="AM273" s="5">
        <f t="shared" si="38"/>
        <v>987.5</v>
      </c>
      <c r="AN273" s="5">
        <v>14700</v>
      </c>
      <c r="AO273" s="6">
        <f>Table1[[#This Row],[2019 U.S. Sales ($000)]]/SUMIF($E:$E, E273, $AN:$AN)</f>
        <v>4.1192520671219516E-3</v>
      </c>
      <c r="AP273" s="5">
        <v>12</v>
      </c>
      <c r="AQ273" s="5">
        <f t="shared" si="39"/>
        <v>1225</v>
      </c>
    </row>
    <row r="274" spans="1:43" x14ac:dyDescent="0.25">
      <c r="A274" t="s">
        <v>339</v>
      </c>
      <c r="B274">
        <v>563102</v>
      </c>
      <c r="C274" t="s">
        <v>44</v>
      </c>
      <c r="D274" t="s">
        <v>56</v>
      </c>
      <c r="E274" t="s">
        <v>50</v>
      </c>
      <c r="F274" s="5">
        <v>358</v>
      </c>
      <c r="G274" s="5">
        <v>0</v>
      </c>
      <c r="H274" s="6">
        <f>Table1[[#This Row],[2024 U.S. Sales ($000)]]/SUMIF($E:$E, E274, $G:$G)</f>
        <v>0</v>
      </c>
      <c r="I274" s="5">
        <v>0</v>
      </c>
      <c r="J274" s="5" t="e">
        <f>Table1[[#This Row],[2024 U.S. Sales ($000)]]/Table1[[#This Row],[2024 U.S. Units]]</f>
        <v>#DIV/0!</v>
      </c>
      <c r="K274" s="6">
        <f>Table1[[#This Row],[2024 U.S. Units]]/Table1[[#This Row],[2023 U.S. Units]]-1</f>
        <v>-1</v>
      </c>
      <c r="L274" s="8">
        <f>(Table1[[#This Row],[2024 Market share (%)]]-Table1[[#This Row],[2023 Market share (%)]])*10000</f>
        <v>-19.027119688504001</v>
      </c>
      <c r="M274" s="6">
        <f>_xlfn.RRI(5,Table1[[#This Row],[2019 U.S. Sales ($000)]],Table1[[#This Row],[2024 U.S. Sales ($000)]])</f>
        <v>-1</v>
      </c>
      <c r="N274" s="9">
        <f>(Table1[[#This Row],[2024 Market share (%)]]-Table1[[#This Row],[2019 Market share (%)]])*10000</f>
        <v>-5.8632592183708674</v>
      </c>
      <c r="O274" s="6" t="e">
        <f>IF(Table1[[#This Row],[2024 AUV]]=0,"",_xlfn.RRI(5,Table1[[#This Row],[2019 AUV]],Table1[[#This Row],[2024 AUV]]))</f>
        <v>#DIV/0!</v>
      </c>
      <c r="P274" s="6">
        <f>_xlfn.RRI(5,Table1[[#This Row],[2019 U.S. Units]],Table1[[#This Row],[2024 U.S. Units]])</f>
        <v>-1</v>
      </c>
      <c r="Q274" s="5">
        <v>93200</v>
      </c>
      <c r="R274" s="6">
        <f>Table1[[#This Row],[2023 U.S. Sales ($000)]]/SUMIF($E:$E, E274, $Q:$Q)</f>
        <v>1.9027119688504002E-3</v>
      </c>
      <c r="S274" s="8">
        <f>(Table1[[#This Row],[2023 Market share (%)]]-Table1[[#This Row],[2022 Market share (%)]])*10000</f>
        <v>5.0235679660763077</v>
      </c>
      <c r="T274" s="10">
        <v>0.5253682487725041</v>
      </c>
      <c r="U274" s="5">
        <v>56</v>
      </c>
      <c r="V274" s="5">
        <f t="shared" si="32"/>
        <v>1664.2857142857142</v>
      </c>
      <c r="W274" s="10">
        <v>0.30232558139534882</v>
      </c>
      <c r="X274" s="10">
        <f t="shared" si="33"/>
        <v>0.50846713215219519</v>
      </c>
      <c r="Y274" s="8">
        <f>(Table1[[#This Row],[2023 Market share (%)]]-Table1[[#This Row],[2019 Market share (%)]])*10000</f>
        <v>13.163860470133136</v>
      </c>
      <c r="Z274" s="10">
        <f t="shared" si="34"/>
        <v>4.7067508278217929E-2</v>
      </c>
      <c r="AA274" s="10">
        <f t="shared" si="35"/>
        <v>0.44065890711545008</v>
      </c>
      <c r="AB274" s="5">
        <v>61100</v>
      </c>
      <c r="AC274" s="6">
        <f>Table1[[#This Row],[2022 U.S. Sales ($000)]]/SUMIF($E:$E, E274, $AB:$AB)</f>
        <v>1.4003551722427694E-3</v>
      </c>
      <c r="AD274" s="5">
        <v>43</v>
      </c>
      <c r="AE274" s="5">
        <f t="shared" si="36"/>
        <v>1420.9302325581396</v>
      </c>
      <c r="AF274" s="5">
        <v>29600</v>
      </c>
      <c r="AG274" s="6">
        <f>Table1[[#This Row],[2021 U.S. Sales ($000)]]/SUMIF($E:$E, E274, $AF:$AF)</f>
        <v>7.5289584471950523E-4</v>
      </c>
      <c r="AH274" s="5">
        <v>19</v>
      </c>
      <c r="AI274" s="12">
        <f t="shared" si="37"/>
        <v>1557.8947368421052</v>
      </c>
      <c r="AJ274" s="5">
        <v>24700</v>
      </c>
      <c r="AK274" s="6">
        <f>Table1[[#This Row],[2020 U.S. Sales ($000)]]/SUMIF($E:$E, E274, $AJ:$AJ)</f>
        <v>7.3035174183420177E-4</v>
      </c>
      <c r="AL274" s="5">
        <v>15</v>
      </c>
      <c r="AM274" s="5">
        <f t="shared" si="38"/>
        <v>1646.6666666666667</v>
      </c>
      <c r="AN274" s="5">
        <v>18000</v>
      </c>
      <c r="AO274" s="6">
        <f>Table1[[#This Row],[2019 U.S. Sales ($000)]]/SUMIF($E:$E, E274, $AN:$AN)</f>
        <v>5.8632592183708676E-4</v>
      </c>
      <c r="AP274" s="5">
        <v>13</v>
      </c>
      <c r="AQ274" s="5">
        <f t="shared" si="39"/>
        <v>1384.6153846153845</v>
      </c>
    </row>
    <row r="275" spans="1:43" x14ac:dyDescent="0.25">
      <c r="A275" t="s">
        <v>340</v>
      </c>
      <c r="B275">
        <v>563074</v>
      </c>
      <c r="C275" t="s">
        <v>68</v>
      </c>
      <c r="D275" t="s">
        <v>69</v>
      </c>
      <c r="E275" t="s">
        <v>107</v>
      </c>
      <c r="F275" s="5">
        <v>361</v>
      </c>
      <c r="G275" s="5">
        <v>0</v>
      </c>
      <c r="H275" s="6">
        <f>Table1[[#This Row],[2024 U.S. Sales ($000)]]/SUMIF($E:$E, E275, $G:$G)</f>
        <v>0</v>
      </c>
      <c r="I275" s="5">
        <v>0</v>
      </c>
      <c r="J275" s="5" t="e">
        <f>Table1[[#This Row],[2024 U.S. Sales ($000)]]/Table1[[#This Row],[2024 U.S. Units]]</f>
        <v>#DIV/0!</v>
      </c>
      <c r="K275" s="6">
        <f>Table1[[#This Row],[2024 U.S. Units]]/Table1[[#This Row],[2023 U.S. Units]]-1</f>
        <v>-1</v>
      </c>
      <c r="L275" s="8">
        <f>(Table1[[#This Row],[2024 Market share (%)]]-Table1[[#This Row],[2023 Market share (%)]])*10000</f>
        <v>-178.98905582009832</v>
      </c>
      <c r="M275" s="6">
        <f>_xlfn.RRI(5,Table1[[#This Row],[2019 U.S. Sales ($000)]],Table1[[#This Row],[2024 U.S. Sales ($000)]])</f>
        <v>-1</v>
      </c>
      <c r="N275" s="9">
        <f>(Table1[[#This Row],[2024 Market share (%)]]-Table1[[#This Row],[2019 Market share (%)]])*10000</f>
        <v>-35.772652351643615</v>
      </c>
      <c r="O275" s="6" t="e">
        <f>IF(Table1[[#This Row],[2024 AUV]]=0,"",_xlfn.RRI(5,Table1[[#This Row],[2019 AUV]],Table1[[#This Row],[2024 AUV]]))</f>
        <v>#DIV/0!</v>
      </c>
      <c r="P275" s="6">
        <f>_xlfn.RRI(5,Table1[[#This Row],[2019 U.S. Units]],Table1[[#This Row],[2024 U.S. Units]])</f>
        <v>-1</v>
      </c>
      <c r="Q275" s="5">
        <v>92100</v>
      </c>
      <c r="R275" s="6">
        <f>Table1[[#This Row],[2023 U.S. Sales ($000)]]/SUMIF($E:$E, E275, $Q:$Q)</f>
        <v>1.7898905582009832E-2</v>
      </c>
      <c r="S275" s="8">
        <f>(Table1[[#This Row],[2023 Market share (%)]]-Table1[[#This Row],[2022 Market share (%)]])*10000</f>
        <v>19.864070899632097</v>
      </c>
      <c r="T275" s="10">
        <v>0.10830324909747292</v>
      </c>
      <c r="U275" s="5">
        <v>67</v>
      </c>
      <c r="V275" s="5">
        <f t="shared" si="32"/>
        <v>1374.6268656716418</v>
      </c>
      <c r="W275" s="10">
        <v>3.0769230769230771E-2</v>
      </c>
      <c r="X275" s="10">
        <f t="shared" si="33"/>
        <v>0.49575496047400192</v>
      </c>
      <c r="Y275" s="8">
        <f>(Table1[[#This Row],[2023 Market share (%)]]-Table1[[#This Row],[2019 Market share (%)]])*10000</f>
        <v>143.2164034684547</v>
      </c>
      <c r="Z275" s="10">
        <f t="shared" si="34"/>
        <v>-7.2781310092643325E-3</v>
      </c>
      <c r="AA275" s="10">
        <f t="shared" si="35"/>
        <v>0.50672107384385701</v>
      </c>
      <c r="AB275" s="5">
        <v>83100</v>
      </c>
      <c r="AC275" s="6">
        <f>Table1[[#This Row],[2022 U.S. Sales ($000)]]/SUMIF($E:$E, E275, $AB:$AB)</f>
        <v>1.5912498492046623E-2</v>
      </c>
      <c r="AD275" s="5">
        <v>65</v>
      </c>
      <c r="AE275" s="5">
        <f t="shared" si="36"/>
        <v>1278.4615384615386</v>
      </c>
      <c r="AF275" s="5">
        <v>61700</v>
      </c>
      <c r="AG275" s="6">
        <f>Table1[[#This Row],[2021 U.S. Sales ($000)]]/SUMIF($E:$E, E275, $AF:$AF)</f>
        <v>1.2815277638732131E-2</v>
      </c>
      <c r="AH275" s="5">
        <v>59</v>
      </c>
      <c r="AI275" s="12">
        <f t="shared" si="37"/>
        <v>1045.7627118644068</v>
      </c>
      <c r="AJ275" s="5">
        <v>21800</v>
      </c>
      <c r="AK275" s="6">
        <f>Table1[[#This Row],[2020 U.S. Sales ($000)]]/SUMIF($E:$E, E275, $AJ:$AJ)</f>
        <v>6.3992579209163269E-3</v>
      </c>
      <c r="AL275" s="5">
        <v>39</v>
      </c>
      <c r="AM275" s="5">
        <f t="shared" si="38"/>
        <v>558.97435897435901</v>
      </c>
      <c r="AN275" s="5">
        <v>18400</v>
      </c>
      <c r="AO275" s="6">
        <f>Table1[[#This Row],[2019 U.S. Sales ($000)]]/SUMIF($E:$E, E275, $AN:$AN)</f>
        <v>3.5772652351643616E-3</v>
      </c>
      <c r="AP275" s="5">
        <v>13</v>
      </c>
      <c r="AQ275" s="5">
        <f t="shared" si="39"/>
        <v>1415.3846153846155</v>
      </c>
    </row>
    <row r="276" spans="1:43" x14ac:dyDescent="0.25">
      <c r="A276" t="s">
        <v>341</v>
      </c>
      <c r="B276">
        <v>563091</v>
      </c>
      <c r="C276" t="s">
        <v>44</v>
      </c>
      <c r="D276" t="s">
        <v>45</v>
      </c>
      <c r="E276" t="s">
        <v>76</v>
      </c>
      <c r="F276" s="5">
        <v>487</v>
      </c>
      <c r="G276" s="5">
        <v>0</v>
      </c>
      <c r="H276" s="6">
        <f>Table1[[#This Row],[2024 U.S. Sales ($000)]]/SUMIF($E:$E, E276, $G:$G)</f>
        <v>0</v>
      </c>
      <c r="I276" s="5">
        <v>0</v>
      </c>
      <c r="J276" s="5" t="e">
        <f>Table1[[#This Row],[2024 U.S. Sales ($000)]]/Table1[[#This Row],[2024 U.S. Units]]</f>
        <v>#DIV/0!</v>
      </c>
      <c r="K276" s="6">
        <f>Table1[[#This Row],[2024 U.S. Units]]/Table1[[#This Row],[2023 U.S. Units]]-1</f>
        <v>-1</v>
      </c>
      <c r="L276" s="8">
        <f>(Table1[[#This Row],[2024 Market share (%)]]-Table1[[#This Row],[2023 Market share (%)]])*10000</f>
        <v>-71.190105509548701</v>
      </c>
      <c r="M276" s="6">
        <f>_xlfn.RRI(5,Table1[[#This Row],[2019 U.S. Sales ($000)]],Table1[[#This Row],[2024 U.S. Sales ($000)]])</f>
        <v>-1</v>
      </c>
      <c r="N276" s="9">
        <f>(Table1[[#This Row],[2024 Market share (%)]]-Table1[[#This Row],[2019 Market share (%)]])*10000</f>
        <v>-18.270139127109452</v>
      </c>
      <c r="O276" s="6" t="e">
        <f>IF(Table1[[#This Row],[2024 AUV]]=0,"",_xlfn.RRI(5,Table1[[#This Row],[2019 AUV]],Table1[[#This Row],[2024 AUV]]))</f>
        <v>#DIV/0!</v>
      </c>
      <c r="P276" s="6">
        <f>_xlfn.RRI(5,Table1[[#This Row],[2019 U.S. Units]],Table1[[#This Row],[2024 U.S. Units]])</f>
        <v>-1</v>
      </c>
      <c r="Q276" s="5">
        <v>57762</v>
      </c>
      <c r="R276" s="6">
        <f>Table1[[#This Row],[2023 U.S. Sales ($000)]]/SUMIF($E:$E, E276, $Q:$Q)</f>
        <v>7.1190105509548705E-3</v>
      </c>
      <c r="S276" s="8">
        <f>(Table1[[#This Row],[2023 Market share (%)]]-Table1[[#This Row],[2022 Market share (%)]])*10000</f>
        <v>15.148173533069903</v>
      </c>
      <c r="T276" s="10">
        <v>0.36883264609697142</v>
      </c>
      <c r="U276" s="5">
        <v>136</v>
      </c>
      <c r="V276" s="5">
        <f t="shared" si="32"/>
        <v>424.72058823529414</v>
      </c>
      <c r="W276" s="10">
        <v>0.40206185567010311</v>
      </c>
      <c r="X276" s="10">
        <f t="shared" si="33"/>
        <v>0.4938123934184746</v>
      </c>
      <c r="Y276" s="8">
        <f>(Table1[[#This Row],[2023 Market share (%)]]-Table1[[#This Row],[2019 Market share (%)]])*10000</f>
        <v>52.919966382439249</v>
      </c>
      <c r="Z276" s="10">
        <f t="shared" si="34"/>
        <v>-4.204901094839586E-2</v>
      </c>
      <c r="AA276" s="10">
        <f t="shared" si="35"/>
        <v>0.55938290214344577</v>
      </c>
      <c r="AB276" s="5">
        <v>42198</v>
      </c>
      <c r="AC276" s="6">
        <f>Table1[[#This Row],[2022 U.S. Sales ($000)]]/SUMIF($E:$E, E276, $AB:$AB)</f>
        <v>5.6041931976478802E-3</v>
      </c>
      <c r="AD276" s="5">
        <v>97</v>
      </c>
      <c r="AE276" s="5">
        <f t="shared" si="36"/>
        <v>435.03092783505156</v>
      </c>
      <c r="AF276" s="5">
        <v>28390</v>
      </c>
      <c r="AG276" s="6">
        <f>Table1[[#This Row],[2021 U.S. Sales ($000)]]/SUMIF($E:$E, E276, $AF:$AF)</f>
        <v>3.8884807285306283E-3</v>
      </c>
      <c r="AH276" s="5">
        <v>60</v>
      </c>
      <c r="AI276" s="12">
        <f t="shared" si="37"/>
        <v>473.16666666666669</v>
      </c>
      <c r="AJ276" s="5">
        <v>14014</v>
      </c>
      <c r="AK276" s="6">
        <f>Table1[[#This Row],[2020 U.S. Sales ($000)]]/SUMIF($E:$E, E276, $AJ:$AJ)</f>
        <v>2.1930407964428108E-3</v>
      </c>
      <c r="AL276" s="5">
        <v>33</v>
      </c>
      <c r="AM276" s="5">
        <f t="shared" si="38"/>
        <v>424.66666666666669</v>
      </c>
      <c r="AN276" s="5">
        <v>11600</v>
      </c>
      <c r="AO276" s="6">
        <f>Table1[[#This Row],[2019 U.S. Sales ($000)]]/SUMIF($E:$E, E276, $AN:$AN)</f>
        <v>1.8270139127109454E-3</v>
      </c>
      <c r="AP276" s="5">
        <v>23</v>
      </c>
      <c r="AQ276" s="5">
        <f t="shared" si="39"/>
        <v>504.3478260869565</v>
      </c>
    </row>
    <row r="277" spans="1:43" x14ac:dyDescent="0.25">
      <c r="A277" t="s">
        <v>342</v>
      </c>
      <c r="B277">
        <v>31386</v>
      </c>
      <c r="C277" t="s">
        <v>68</v>
      </c>
      <c r="D277" t="s">
        <v>92</v>
      </c>
      <c r="E277" t="s">
        <v>93</v>
      </c>
      <c r="F277" s="5">
        <v>430</v>
      </c>
      <c r="G277" s="5">
        <v>0</v>
      </c>
      <c r="H277" s="6">
        <f>Table1[[#This Row],[2024 U.S. Sales ($000)]]/SUMIF($E:$E, E277, $G:$G)</f>
        <v>0</v>
      </c>
      <c r="I277" s="5">
        <v>0</v>
      </c>
      <c r="J277" s="5" t="e">
        <f>Table1[[#This Row],[2024 U.S. Sales ($000)]]/Table1[[#This Row],[2024 U.S. Units]]</f>
        <v>#DIV/0!</v>
      </c>
      <c r="K277" s="6">
        <f>Table1[[#This Row],[2024 U.S. Units]]/Table1[[#This Row],[2023 U.S. Units]]-1</f>
        <v>-1</v>
      </c>
      <c r="L277" s="8">
        <f>(Table1[[#This Row],[2024 Market share (%)]]-Table1[[#This Row],[2023 Market share (%)]])*10000</f>
        <v>-41.599179901881932</v>
      </c>
      <c r="M277" s="6">
        <f>_xlfn.RRI(5,Table1[[#This Row],[2019 U.S. Sales ($000)]],Table1[[#This Row],[2024 U.S. Sales ($000)]])</f>
        <v>-1</v>
      </c>
      <c r="N277" s="9">
        <f>(Table1[[#This Row],[2024 Market share (%)]]-Table1[[#This Row],[2019 Market share (%)]])*10000</f>
        <v>-10.38690329527458</v>
      </c>
      <c r="O277" s="6" t="e">
        <f>IF(Table1[[#This Row],[2024 AUV]]=0,"",_xlfn.RRI(5,Table1[[#This Row],[2019 AUV]],Table1[[#This Row],[2024 AUV]]))</f>
        <v>#DIV/0!</v>
      </c>
      <c r="P277" s="6">
        <f>_xlfn.RRI(5,Table1[[#This Row],[2019 U.S. Units]],Table1[[#This Row],[2024 U.S. Units]])</f>
        <v>-1</v>
      </c>
      <c r="Q277" s="5">
        <v>72800</v>
      </c>
      <c r="R277" s="6">
        <f>Table1[[#This Row],[2023 U.S. Sales ($000)]]/SUMIF($E:$E, E277, $Q:$Q)</f>
        <v>4.1599179901881935E-3</v>
      </c>
      <c r="S277" s="8">
        <f>(Table1[[#This Row],[2023 Market share (%)]]-Table1[[#This Row],[2022 Market share (%)]])*10000</f>
        <v>11.574393559811528</v>
      </c>
      <c r="T277" s="10">
        <v>0.46803791086912683</v>
      </c>
      <c r="U277" s="5">
        <v>40</v>
      </c>
      <c r="V277" s="5">
        <f t="shared" si="32"/>
        <v>1820</v>
      </c>
      <c r="W277" s="10">
        <v>0.29032258064516131</v>
      </c>
      <c r="X277" s="10">
        <f t="shared" si="33"/>
        <v>0.42611542696161786</v>
      </c>
      <c r="Y277" s="8">
        <f>(Table1[[#This Row],[2023 Market share (%)]]-Table1[[#This Row],[2019 Market share (%)]])*10000</f>
        <v>31.212276606607357</v>
      </c>
      <c r="Z277" s="10">
        <f t="shared" si="34"/>
        <v>5.5443504715466885E-2</v>
      </c>
      <c r="AA277" s="10">
        <f t="shared" si="35"/>
        <v>0.35120015480703448</v>
      </c>
      <c r="AB277" s="5">
        <v>49590</v>
      </c>
      <c r="AC277" s="6">
        <f>Table1[[#This Row],[2022 U.S. Sales ($000)]]/SUMIF($E:$E, E277, $AB:$AB)</f>
        <v>3.0024786342070409E-3</v>
      </c>
      <c r="AD277" s="5">
        <v>31</v>
      </c>
      <c r="AE277" s="5">
        <f t="shared" si="36"/>
        <v>1599.6774193548388</v>
      </c>
      <c r="AF277" s="5">
        <v>31000</v>
      </c>
      <c r="AG277" s="6">
        <f>Table1[[#This Row],[2021 U.S. Sales ($000)]]/SUMIF($E:$E, E277, $AF:$AF)</f>
        <v>2.0533087978387003E-3</v>
      </c>
      <c r="AH277" s="5">
        <v>21</v>
      </c>
      <c r="AI277" s="12">
        <f t="shared" si="37"/>
        <v>1476.1904761904761</v>
      </c>
      <c r="AJ277" s="5">
        <v>14000</v>
      </c>
      <c r="AK277" s="6">
        <f>Table1[[#This Row],[2020 U.S. Sales ($000)]]/SUMIF($E:$E, E277, $AJ:$AJ)</f>
        <v>1.3118550182811683E-3</v>
      </c>
      <c r="AL277" s="5">
        <v>15</v>
      </c>
      <c r="AM277" s="5">
        <f t="shared" si="38"/>
        <v>933.33333333333337</v>
      </c>
      <c r="AN277" s="5">
        <v>17600</v>
      </c>
      <c r="AO277" s="6">
        <f>Table1[[#This Row],[2019 U.S. Sales ($000)]]/SUMIF($E:$E, E277, $AN:$AN)</f>
        <v>1.0386903295274579E-3</v>
      </c>
      <c r="AP277" s="5">
        <v>12</v>
      </c>
      <c r="AQ277" s="5">
        <f t="shared" si="39"/>
        <v>1466.6666666666667</v>
      </c>
    </row>
    <row r="278" spans="1:43" x14ac:dyDescent="0.25">
      <c r="A278" t="s">
        <v>343</v>
      </c>
      <c r="B278">
        <v>563079</v>
      </c>
      <c r="C278" t="s">
        <v>44</v>
      </c>
      <c r="D278" t="s">
        <v>56</v>
      </c>
      <c r="E278" t="s">
        <v>50</v>
      </c>
      <c r="F278" s="5">
        <v>472</v>
      </c>
      <c r="G278" s="5">
        <v>0</v>
      </c>
      <c r="H278" s="6">
        <f>Table1[[#This Row],[2024 U.S. Sales ($000)]]/SUMIF($E:$E, E278, $G:$G)</f>
        <v>0</v>
      </c>
      <c r="I278" s="5">
        <v>0</v>
      </c>
      <c r="J278" s="5" t="e">
        <f>Table1[[#This Row],[2024 U.S. Sales ($000)]]/Table1[[#This Row],[2024 U.S. Units]]</f>
        <v>#DIV/0!</v>
      </c>
      <c r="K278" s="6">
        <f>Table1[[#This Row],[2024 U.S. Units]]/Table1[[#This Row],[2023 U.S. Units]]-1</f>
        <v>-1</v>
      </c>
      <c r="L278" s="8">
        <f>(Table1[[#This Row],[2024 Market share (%)]]-Table1[[#This Row],[2023 Market share (%)]])*10000</f>
        <v>-12.922925711183511</v>
      </c>
      <c r="M278" s="6">
        <f>_xlfn.RRI(5,Table1[[#This Row],[2019 U.S. Sales ($000)]],Table1[[#This Row],[2024 U.S. Sales ($000)]])</f>
        <v>-1</v>
      </c>
      <c r="N278" s="9">
        <f>(Table1[[#This Row],[2024 Market share (%)]]-Table1[[#This Row],[2019 Market share (%)]])*10000</f>
        <v>-5.0489176602638031</v>
      </c>
      <c r="O278" s="6" t="e">
        <f>IF(Table1[[#This Row],[2024 AUV]]=0,"",_xlfn.RRI(5,Table1[[#This Row],[2019 AUV]],Table1[[#This Row],[2024 AUV]]))</f>
        <v>#DIV/0!</v>
      </c>
      <c r="P278" s="6">
        <f>_xlfn.RRI(5,Table1[[#This Row],[2019 U.S. Units]],Table1[[#This Row],[2024 U.S. Units]])</f>
        <v>-1</v>
      </c>
      <c r="Q278" s="5">
        <v>63300</v>
      </c>
      <c r="R278" s="6">
        <f>Table1[[#This Row],[2023 U.S. Sales ($000)]]/SUMIF($E:$E, E278, $Q:$Q)</f>
        <v>1.2922925711183512E-3</v>
      </c>
      <c r="S278" s="8">
        <f>(Table1[[#This Row],[2023 Market share (%)]]-Table1[[#This Row],[2022 Market share (%)]])*10000</f>
        <v>2.8656972987405657E-2</v>
      </c>
      <c r="T278" s="10">
        <v>0.12513330963384287</v>
      </c>
      <c r="U278" s="5">
        <v>28</v>
      </c>
      <c r="V278" s="5">
        <f t="shared" si="32"/>
        <v>2260.7142857142858</v>
      </c>
      <c r="W278" s="10">
        <v>0.16666666666666666</v>
      </c>
      <c r="X278" s="10">
        <f t="shared" si="33"/>
        <v>0.42156919205540344</v>
      </c>
      <c r="Y278" s="8">
        <f>(Table1[[#This Row],[2023 Market share (%)]]-Table1[[#This Row],[2019 Market share (%)]])*10000</f>
        <v>7.8740080509197092</v>
      </c>
      <c r="Z278" s="10">
        <f t="shared" si="34"/>
        <v>5.2012156282572608E-3</v>
      </c>
      <c r="AA278" s="10">
        <f t="shared" si="35"/>
        <v>0.41421356237309492</v>
      </c>
      <c r="AB278" s="5">
        <v>56260</v>
      </c>
      <c r="AC278" s="6">
        <f>Table1[[#This Row],[2022 U.S. Sales ($000)]]/SUMIF($E:$E, E278, $AB:$AB)</f>
        <v>1.2894268738196106E-3</v>
      </c>
      <c r="AD278" s="5">
        <v>24</v>
      </c>
      <c r="AE278" s="5">
        <f t="shared" si="36"/>
        <v>2344.1666666666665</v>
      </c>
      <c r="AF278" s="5">
        <v>22600</v>
      </c>
      <c r="AG278" s="6">
        <f>Table1[[#This Row],[2021 U.S. Sales ($000)]]/SUMIF($E:$E, E278, $AF:$AF)</f>
        <v>5.7484615171151407E-4</v>
      </c>
      <c r="AH278" s="5">
        <v>10</v>
      </c>
      <c r="AI278" s="12">
        <f t="shared" si="37"/>
        <v>2260</v>
      </c>
      <c r="AJ278" s="5">
        <v>12800</v>
      </c>
      <c r="AK278" s="6">
        <f>Table1[[#This Row],[2020 U.S. Sales ($000)]]/SUMIF($E:$E, E278, $AJ:$AJ)</f>
        <v>3.784818743108414E-4</v>
      </c>
      <c r="AL278" s="5">
        <v>7</v>
      </c>
      <c r="AM278" s="5">
        <f t="shared" si="38"/>
        <v>1828.5714285714287</v>
      </c>
      <c r="AN278" s="5">
        <v>15500</v>
      </c>
      <c r="AO278" s="6">
        <f>Table1[[#This Row],[2019 U.S. Sales ($000)]]/SUMIF($E:$E, E278, $AN:$AN)</f>
        <v>5.0489176602638028E-4</v>
      </c>
      <c r="AP278" s="5">
        <v>7</v>
      </c>
      <c r="AQ278" s="5">
        <f t="shared" si="39"/>
        <v>2214.2857142857142</v>
      </c>
    </row>
    <row r="279" spans="1:43" x14ac:dyDescent="0.25">
      <c r="A279" t="s">
        <v>344</v>
      </c>
      <c r="B279">
        <v>62235</v>
      </c>
      <c r="C279" t="s">
        <v>44</v>
      </c>
      <c r="D279" t="s">
        <v>56</v>
      </c>
      <c r="E279" t="s">
        <v>52</v>
      </c>
      <c r="F279" s="5">
        <v>349</v>
      </c>
      <c r="G279" s="5">
        <v>0</v>
      </c>
      <c r="H279" s="6">
        <f>Table1[[#This Row],[2024 U.S. Sales ($000)]]/SUMIF($E:$E, E279, $G:$G)</f>
        <v>0</v>
      </c>
      <c r="I279" s="5">
        <v>0</v>
      </c>
      <c r="J279" s="5" t="e">
        <f>Table1[[#This Row],[2024 U.S. Sales ($000)]]/Table1[[#This Row],[2024 U.S. Units]]</f>
        <v>#DIV/0!</v>
      </c>
      <c r="K279" s="6">
        <f>Table1[[#This Row],[2024 U.S. Units]]/Table1[[#This Row],[2023 U.S. Units]]-1</f>
        <v>-1</v>
      </c>
      <c r="L279" s="8">
        <f>(Table1[[#This Row],[2024 Market share (%)]]-Table1[[#This Row],[2023 Market share (%)]])*10000</f>
        <v>-28.740804604718132</v>
      </c>
      <c r="M279" s="6">
        <f>_xlfn.RRI(5,Table1[[#This Row],[2019 U.S. Sales ($000)]],Table1[[#This Row],[2024 U.S. Sales ($000)]])</f>
        <v>-1</v>
      </c>
      <c r="N279" s="9">
        <f>(Table1[[#This Row],[2024 Market share (%)]]-Table1[[#This Row],[2019 Market share (%)]])*10000</f>
        <v>-11.549820977774845</v>
      </c>
      <c r="O279" s="6" t="e">
        <f>IF(Table1[[#This Row],[2024 AUV]]=0,"",_xlfn.RRI(5,Table1[[#This Row],[2019 AUV]],Table1[[#This Row],[2024 AUV]]))</f>
        <v>#DIV/0!</v>
      </c>
      <c r="P279" s="6">
        <f>_xlfn.RRI(5,Table1[[#This Row],[2019 U.S. Units]],Table1[[#This Row],[2024 U.S. Units]])</f>
        <v>-1</v>
      </c>
      <c r="Q279" s="5">
        <v>95100</v>
      </c>
      <c r="R279" s="6">
        <f>Table1[[#This Row],[2023 U.S. Sales ($000)]]/SUMIF($E:$E, E279, $Q:$Q)</f>
        <v>2.8740804604718132E-3</v>
      </c>
      <c r="S279" s="8">
        <f>(Table1[[#This Row],[2023 Market share (%)]]-Table1[[#This Row],[2022 Market share (%)]])*10000</f>
        <v>3.5497063530628892</v>
      </c>
      <c r="T279" s="10">
        <v>0.24639580602883354</v>
      </c>
      <c r="U279" s="5">
        <v>114</v>
      </c>
      <c r="V279" s="5">
        <f t="shared" si="32"/>
        <v>834.21052631578948</v>
      </c>
      <c r="W279" s="10">
        <v>0.16326530612244897</v>
      </c>
      <c r="X279" s="10">
        <f t="shared" si="33"/>
        <v>0.35754933518601062</v>
      </c>
      <c r="Y279" s="8">
        <f>(Table1[[#This Row],[2023 Market share (%)]]-Table1[[#This Row],[2019 Market share (%)]])*10000</f>
        <v>17.190983626943289</v>
      </c>
      <c r="Z279" s="10">
        <f t="shared" si="34"/>
        <v>-1.1863587620235094E-2</v>
      </c>
      <c r="AA279" s="10">
        <f t="shared" si="35"/>
        <v>0.37384810252723621</v>
      </c>
      <c r="AB279" s="5">
        <v>76300</v>
      </c>
      <c r="AC279" s="6">
        <f>Table1[[#This Row],[2022 U.S. Sales ($000)]]/SUMIF($E:$E, E279, $AB:$AB)</f>
        <v>2.5191098251655243E-3</v>
      </c>
      <c r="AD279" s="5">
        <v>98</v>
      </c>
      <c r="AE279" s="5">
        <f t="shared" si="36"/>
        <v>778.57142857142856</v>
      </c>
      <c r="AF279" s="5">
        <v>55900</v>
      </c>
      <c r="AG279" s="6">
        <f>Table1[[#This Row],[2021 U.S. Sales ($000)]]/SUMIF($E:$E, E279, $AF:$AF)</f>
        <v>2.0394570359735411E-3</v>
      </c>
      <c r="AH279" s="5">
        <v>63</v>
      </c>
      <c r="AI279" s="12">
        <f t="shared" si="37"/>
        <v>887.30158730158735</v>
      </c>
      <c r="AJ279" s="5">
        <v>33600</v>
      </c>
      <c r="AK279" s="6">
        <f>Table1[[#This Row],[2020 U.S. Sales ($000)]]/SUMIF($E:$E, E279, $AJ:$AJ)</f>
        <v>1.4254419410921694E-3</v>
      </c>
      <c r="AL279" s="5">
        <v>43</v>
      </c>
      <c r="AM279" s="5">
        <f t="shared" si="38"/>
        <v>781.39534883720933</v>
      </c>
      <c r="AN279" s="5">
        <v>28000</v>
      </c>
      <c r="AO279" s="6">
        <f>Table1[[#This Row],[2019 U.S. Sales ($000)]]/SUMIF($E:$E, E279, $AN:$AN)</f>
        <v>1.1549820977774844E-3</v>
      </c>
      <c r="AP279" s="5">
        <v>32</v>
      </c>
      <c r="AQ279" s="5">
        <f t="shared" si="39"/>
        <v>875</v>
      </c>
    </row>
    <row r="280" spans="1:43" x14ac:dyDescent="0.25">
      <c r="A280" t="s">
        <v>345</v>
      </c>
      <c r="B280">
        <v>563242</v>
      </c>
      <c r="C280" t="s">
        <v>68</v>
      </c>
      <c r="D280" t="s">
        <v>69</v>
      </c>
      <c r="E280" t="s">
        <v>52</v>
      </c>
      <c r="F280" s="5">
        <v>326</v>
      </c>
      <c r="G280" s="5">
        <v>0</v>
      </c>
      <c r="H280" s="6">
        <f>Table1[[#This Row],[2024 U.S. Sales ($000)]]/SUMIF($E:$E, E280, $G:$G)</f>
        <v>0</v>
      </c>
      <c r="I280" s="5">
        <v>0</v>
      </c>
      <c r="J280" s="5" t="e">
        <f>Table1[[#This Row],[2024 U.S. Sales ($000)]]/Table1[[#This Row],[2024 U.S. Units]]</f>
        <v>#DIV/0!</v>
      </c>
      <c r="K280" s="6">
        <f>Table1[[#This Row],[2024 U.S. Units]]/Table1[[#This Row],[2023 U.S. Units]]-1</f>
        <v>-1</v>
      </c>
      <c r="L280" s="8">
        <f>(Table1[[#This Row],[2024 Market share (%)]]-Table1[[#This Row],[2023 Market share (%)]])*10000</f>
        <v>-31.128316238548557</v>
      </c>
      <c r="M280" s="6">
        <f>_xlfn.RRI(5,Table1[[#This Row],[2019 U.S. Sales ($000)]],Table1[[#This Row],[2024 U.S. Sales ($000)]])</f>
        <v>-1</v>
      </c>
      <c r="N280" s="9">
        <f>(Table1[[#This Row],[2024 Market share (%)]]-Table1[[#This Row],[2019 Market share (%)]])*10000</f>
        <v>-13.117296681901429</v>
      </c>
      <c r="O280" s="6" t="e">
        <f>IF(Table1[[#This Row],[2024 AUV]]=0,"",_xlfn.RRI(5,Table1[[#This Row],[2019 AUV]],Table1[[#This Row],[2024 AUV]]))</f>
        <v>#DIV/0!</v>
      </c>
      <c r="P280" s="6">
        <f>_xlfn.RRI(5,Table1[[#This Row],[2019 U.S. Units]],Table1[[#This Row],[2024 U.S. Units]])</f>
        <v>-1</v>
      </c>
      <c r="Q280" s="5">
        <v>103000</v>
      </c>
      <c r="R280" s="6">
        <f>Table1[[#This Row],[2023 U.S. Sales ($000)]]/SUMIF($E:$E, E280, $Q:$Q)</f>
        <v>3.1128316238548557E-3</v>
      </c>
      <c r="S280" s="8">
        <f>(Table1[[#This Row],[2023 Market share (%)]]-Table1[[#This Row],[2022 Market share (%)]])*10000</f>
        <v>5.9372179868933141</v>
      </c>
      <c r="T280" s="10">
        <v>0.34993446920052423</v>
      </c>
      <c r="U280" s="5">
        <v>25</v>
      </c>
      <c r="V280" s="5">
        <f t="shared" si="32"/>
        <v>4120</v>
      </c>
      <c r="W280" s="10">
        <v>8.6956521739130432E-2</v>
      </c>
      <c r="X280" s="10">
        <f t="shared" si="33"/>
        <v>0.34153660161953114</v>
      </c>
      <c r="Y280" s="8">
        <f>(Table1[[#This Row],[2023 Market share (%)]]-Table1[[#This Row],[2019 Market share (%)]])*10000</f>
        <v>18.011019556647128</v>
      </c>
      <c r="Z280" s="10">
        <f t="shared" si="34"/>
        <v>9.2611318972819046E-2</v>
      </c>
      <c r="AA280" s="10">
        <f t="shared" si="35"/>
        <v>0.22782601490961185</v>
      </c>
      <c r="AB280" s="5">
        <v>76300</v>
      </c>
      <c r="AC280" s="6">
        <f>Table1[[#This Row],[2022 U.S. Sales ($000)]]/SUMIF($E:$E, E280, $AB:$AB)</f>
        <v>2.5191098251655243E-3</v>
      </c>
      <c r="AD280" s="5">
        <v>23</v>
      </c>
      <c r="AE280" s="5">
        <f t="shared" si="36"/>
        <v>3317.391304347826</v>
      </c>
      <c r="AF280" s="5">
        <v>42800</v>
      </c>
      <c r="AG280" s="6">
        <f>Table1[[#This Row],[2021 U.S. Sales ($000)]]/SUMIF($E:$E, E280, $AF:$AF)</f>
        <v>1.5615162994573803E-3</v>
      </c>
      <c r="AH280" s="5">
        <v>14</v>
      </c>
      <c r="AI280" s="12">
        <f t="shared" si="37"/>
        <v>3057.1428571428573</v>
      </c>
      <c r="AJ280" s="5">
        <v>27600</v>
      </c>
      <c r="AK280" s="6">
        <f>Table1[[#This Row],[2020 U.S. Sales ($000)]]/SUMIF($E:$E, E280, $AJ:$AJ)</f>
        <v>1.1708987373257105E-3</v>
      </c>
      <c r="AL280" s="5">
        <v>12</v>
      </c>
      <c r="AM280" s="5">
        <f t="shared" si="38"/>
        <v>2300</v>
      </c>
      <c r="AN280" s="5">
        <v>31800</v>
      </c>
      <c r="AO280" s="6">
        <f>Table1[[#This Row],[2019 U.S. Sales ($000)]]/SUMIF($E:$E, E280, $AN:$AN)</f>
        <v>1.3117296681901429E-3</v>
      </c>
      <c r="AP280" s="5">
        <v>11</v>
      </c>
      <c r="AQ280" s="5">
        <f t="shared" si="39"/>
        <v>2890.909090909091</v>
      </c>
    </row>
    <row r="281" spans="1:43" x14ac:dyDescent="0.25">
      <c r="A281" t="s">
        <v>346</v>
      </c>
      <c r="B281">
        <v>563232</v>
      </c>
      <c r="C281" t="s">
        <v>44</v>
      </c>
      <c r="D281" t="s">
        <v>45</v>
      </c>
      <c r="E281" t="s">
        <v>112</v>
      </c>
      <c r="F281" s="5">
        <v>493</v>
      </c>
      <c r="G281" s="5">
        <v>0</v>
      </c>
      <c r="H281" s="6">
        <f>Table1[[#This Row],[2024 U.S. Sales ($000)]]/SUMIF($E:$E, E281, $G:$G)</f>
        <v>0</v>
      </c>
      <c r="I281" s="5">
        <v>0</v>
      </c>
      <c r="J281" s="5" t="e">
        <f>Table1[[#This Row],[2024 U.S. Sales ($000)]]/Table1[[#This Row],[2024 U.S. Units]]</f>
        <v>#DIV/0!</v>
      </c>
      <c r="K281" s="6">
        <f>Table1[[#This Row],[2024 U.S. Units]]/Table1[[#This Row],[2023 U.S. Units]]-1</f>
        <v>-1</v>
      </c>
      <c r="L281" s="8">
        <f>(Table1[[#This Row],[2024 Market share (%)]]-Table1[[#This Row],[2023 Market share (%)]])*10000</f>
        <v>-67.912691347331005</v>
      </c>
      <c r="M281" s="6">
        <f>_xlfn.RRI(5,Table1[[#This Row],[2019 U.S. Sales ($000)]],Table1[[#This Row],[2024 U.S. Sales ($000)]])</f>
        <v>-1</v>
      </c>
      <c r="N281" s="9">
        <f>(Table1[[#This Row],[2024 Market share (%)]]-Table1[[#This Row],[2019 Market share (%)]])*10000</f>
        <v>-36.238247534821149</v>
      </c>
      <c r="O281" s="6" t="e">
        <f>IF(Table1[[#This Row],[2024 AUV]]=0,"",_xlfn.RRI(5,Table1[[#This Row],[2019 AUV]],Table1[[#This Row],[2024 AUV]]))</f>
        <v>#DIV/0!</v>
      </c>
      <c r="P281" s="6">
        <f>_xlfn.RRI(5,Table1[[#This Row],[2019 U.S. Units]],Table1[[#This Row],[2024 U.S. Units]])</f>
        <v>-1</v>
      </c>
      <c r="Q281" s="5">
        <v>56200</v>
      </c>
      <c r="R281" s="6">
        <f>Table1[[#This Row],[2023 U.S. Sales ($000)]]/SUMIF($E:$E, E281, $Q:$Q)</f>
        <v>6.7912691347331005E-3</v>
      </c>
      <c r="S281" s="8">
        <f>(Table1[[#This Row],[2023 Market share (%)]]-Table1[[#This Row],[2022 Market share (%)]])*10000</f>
        <v>13.173281424620617</v>
      </c>
      <c r="T281" s="10">
        <v>0.3910891089108911</v>
      </c>
      <c r="U281" s="5">
        <v>60</v>
      </c>
      <c r="V281" s="5">
        <f t="shared" si="32"/>
        <v>936.66666666666663</v>
      </c>
      <c r="W281" s="10">
        <v>0.33333333333333331</v>
      </c>
      <c r="X281" s="10">
        <f t="shared" si="33"/>
        <v>0.33676760359911362</v>
      </c>
      <c r="Y281" s="8">
        <f>(Table1[[#This Row],[2023 Market share (%)]]-Table1[[#This Row],[2019 Market share (%)]])*10000</f>
        <v>31.674443812509857</v>
      </c>
      <c r="Z281" s="10">
        <f t="shared" si="34"/>
        <v>1.5723728637568657E-2</v>
      </c>
      <c r="AA281" s="10">
        <f t="shared" si="35"/>
        <v>0.3160740129524926</v>
      </c>
      <c r="AB281" s="5">
        <v>40400</v>
      </c>
      <c r="AC281" s="6">
        <f>Table1[[#This Row],[2022 U.S. Sales ($000)]]/SUMIF($E:$E, E281, $AB:$AB)</f>
        <v>5.4739409922710388E-3</v>
      </c>
      <c r="AD281" s="5">
        <v>45</v>
      </c>
      <c r="AE281" s="5">
        <f t="shared" si="36"/>
        <v>897.77777777777783</v>
      </c>
      <c r="AF281" s="5">
        <v>29400</v>
      </c>
      <c r="AG281" s="6">
        <f>Table1[[#This Row],[2021 U.S. Sales ($000)]]/SUMIF($E:$E, E281, $AF:$AF)</f>
        <v>4.6995786364188571E-3</v>
      </c>
      <c r="AH281" s="5">
        <v>37</v>
      </c>
      <c r="AI281" s="12">
        <f t="shared" si="37"/>
        <v>794.59459459459458</v>
      </c>
      <c r="AJ281" s="5">
        <v>19100</v>
      </c>
      <c r="AK281" s="6">
        <f>Table1[[#This Row],[2020 U.S. Sales ($000)]]/SUMIF($E:$E, E281, $AJ:$AJ)</f>
        <v>4.1383715442972592E-3</v>
      </c>
      <c r="AL281" s="5">
        <v>29</v>
      </c>
      <c r="AM281" s="5">
        <f t="shared" si="38"/>
        <v>658.62068965517244</v>
      </c>
      <c r="AN281" s="5">
        <v>17600</v>
      </c>
      <c r="AO281" s="6">
        <f>Table1[[#This Row],[2019 U.S. Sales ($000)]]/SUMIF($E:$E, E281, $AN:$AN)</f>
        <v>3.6238247534821147E-3</v>
      </c>
      <c r="AP281" s="5">
        <v>20</v>
      </c>
      <c r="AQ281" s="5">
        <f t="shared" si="39"/>
        <v>880</v>
      </c>
    </row>
    <row r="282" spans="1:43" x14ac:dyDescent="0.25">
      <c r="A282" t="s">
        <v>347</v>
      </c>
      <c r="B282">
        <v>9700</v>
      </c>
      <c r="C282" t="s">
        <v>44</v>
      </c>
      <c r="D282" t="s">
        <v>45</v>
      </c>
      <c r="E282" t="s">
        <v>76</v>
      </c>
      <c r="F282" s="5">
        <v>318</v>
      </c>
      <c r="G282" s="5">
        <v>0</v>
      </c>
      <c r="H282" s="6">
        <f>Table1[[#This Row],[2024 U.S. Sales ($000)]]/SUMIF($E:$E, E282, $G:$G)</f>
        <v>0</v>
      </c>
      <c r="I282" s="5">
        <v>0</v>
      </c>
      <c r="J282" s="5" t="e">
        <f>Table1[[#This Row],[2024 U.S. Sales ($000)]]/Table1[[#This Row],[2024 U.S. Units]]</f>
        <v>#DIV/0!</v>
      </c>
      <c r="K282" s="6">
        <f>Table1[[#This Row],[2024 U.S. Units]]/Table1[[#This Row],[2023 U.S. Units]]-1</f>
        <v>-1</v>
      </c>
      <c r="L282" s="8">
        <f>(Table1[[#This Row],[2024 Market share (%)]]-Table1[[#This Row],[2023 Market share (%)]])*10000</f>
        <v>-130.60146654427388</v>
      </c>
      <c r="M282" s="6">
        <f>_xlfn.RRI(5,Table1[[#This Row],[2019 U.S. Sales ($000)]],Table1[[#This Row],[2024 U.S. Sales ($000)]])</f>
        <v>-1</v>
      </c>
      <c r="N282" s="9">
        <f>(Table1[[#This Row],[2024 Market share (%)]]-Table1[[#This Row],[2019 Market share (%)]])*10000</f>
        <v>-57.645438970017757</v>
      </c>
      <c r="O282" s="6" t="e">
        <f>IF(Table1[[#This Row],[2024 AUV]]=0,"",_xlfn.RRI(5,Table1[[#This Row],[2019 AUV]],Table1[[#This Row],[2024 AUV]]))</f>
        <v>#DIV/0!</v>
      </c>
      <c r="P282" s="6">
        <f>_xlfn.RRI(5,Table1[[#This Row],[2019 U.S. Units]],Table1[[#This Row],[2024 U.S. Units]])</f>
        <v>-1</v>
      </c>
      <c r="Q282" s="5">
        <v>105967</v>
      </c>
      <c r="R282" s="6">
        <f>Table1[[#This Row],[2023 U.S. Sales ($000)]]/SUMIF($E:$E, E282, $Q:$Q)</f>
        <v>1.3060146654427389E-2</v>
      </c>
      <c r="S282" s="8">
        <f>(Table1[[#This Row],[2023 Market share (%)]]-Table1[[#This Row],[2022 Market share (%)]])*10000</f>
        <v>21.311863572370161</v>
      </c>
      <c r="T282" s="10">
        <v>0.2876950371846595</v>
      </c>
      <c r="U282" s="5">
        <v>124</v>
      </c>
      <c r="V282" s="5">
        <f t="shared" si="32"/>
        <v>854.57258064516134</v>
      </c>
      <c r="W282" s="10">
        <v>0.31914893617021278</v>
      </c>
      <c r="X282" s="10">
        <f t="shared" si="33"/>
        <v>0.30443483601534438</v>
      </c>
      <c r="Y282" s="8">
        <f>(Table1[[#This Row],[2023 Market share (%)]]-Table1[[#This Row],[2019 Market share (%)]])*10000</f>
        <v>72.95602757425614</v>
      </c>
      <c r="Z282" s="10">
        <f t="shared" si="34"/>
        <v>4.4622825678290123E-2</v>
      </c>
      <c r="AA282" s="10">
        <f t="shared" si="35"/>
        <v>0.24871370216169097</v>
      </c>
      <c r="AB282" s="5">
        <v>82292</v>
      </c>
      <c r="AC282" s="6">
        <f>Table1[[#This Row],[2022 U.S. Sales ($000)]]/SUMIF($E:$E, E282, $AB:$AB)</f>
        <v>1.0928960297190373E-2</v>
      </c>
      <c r="AD282" s="5">
        <v>94</v>
      </c>
      <c r="AE282" s="5">
        <f t="shared" si="36"/>
        <v>875.44680851063833</v>
      </c>
      <c r="AF282" s="5">
        <v>59498</v>
      </c>
      <c r="AG282" s="6">
        <f>Table1[[#This Row],[2021 U.S. Sales ($000)]]/SUMIF($E:$E, E282, $AF:$AF)</f>
        <v>8.149236575770177E-3</v>
      </c>
      <c r="AH282" s="5">
        <v>74</v>
      </c>
      <c r="AI282" s="12">
        <f t="shared" si="37"/>
        <v>804.02702702702697</v>
      </c>
      <c r="AJ282" s="5">
        <v>40500</v>
      </c>
      <c r="AK282" s="6">
        <f>Table1[[#This Row],[2020 U.S. Sales ($000)]]/SUMIF($E:$E, E282, $AJ:$AJ)</f>
        <v>6.3378159166500529E-3</v>
      </c>
      <c r="AL282" s="5">
        <v>60</v>
      </c>
      <c r="AM282" s="5">
        <f t="shared" si="38"/>
        <v>675</v>
      </c>
      <c r="AN282" s="5">
        <v>36600</v>
      </c>
      <c r="AO282" s="6">
        <f>Table1[[#This Row],[2019 U.S. Sales ($000)]]/SUMIF($E:$E, E282, $AN:$AN)</f>
        <v>5.7645438970017754E-3</v>
      </c>
      <c r="AP282" s="5">
        <v>51</v>
      </c>
      <c r="AQ282" s="5">
        <f t="shared" si="39"/>
        <v>717.64705882352939</v>
      </c>
    </row>
    <row r="283" spans="1:43" x14ac:dyDescent="0.25">
      <c r="A283" t="s">
        <v>348</v>
      </c>
      <c r="B283">
        <v>562762</v>
      </c>
      <c r="C283" t="s">
        <v>44</v>
      </c>
      <c r="D283" t="s">
        <v>45</v>
      </c>
      <c r="E283" t="s">
        <v>112</v>
      </c>
      <c r="F283" s="5">
        <v>343</v>
      </c>
      <c r="G283" s="5">
        <v>0</v>
      </c>
      <c r="H283" s="6">
        <f>Table1[[#This Row],[2024 U.S. Sales ($000)]]/SUMIF($E:$E, E283, $G:$G)</f>
        <v>0</v>
      </c>
      <c r="I283" s="5">
        <v>0</v>
      </c>
      <c r="J283" s="5" t="e">
        <f>Table1[[#This Row],[2024 U.S. Sales ($000)]]/Table1[[#This Row],[2024 U.S. Units]]</f>
        <v>#DIV/0!</v>
      </c>
      <c r="K283" s="6">
        <f>Table1[[#This Row],[2024 U.S. Units]]/Table1[[#This Row],[2023 U.S. Units]]-1</f>
        <v>-1</v>
      </c>
      <c r="L283" s="8">
        <f>(Table1[[#This Row],[2024 Market share (%)]]-Table1[[#This Row],[2023 Market share (%)]])*10000</f>
        <v>-116.73249082121308</v>
      </c>
      <c r="M283" s="6">
        <f>_xlfn.RRI(5,Table1[[#This Row],[2019 U.S. Sales ($000)]],Table1[[#This Row],[2024 U.S. Sales ($000)]])</f>
        <v>-1</v>
      </c>
      <c r="N283" s="9">
        <f>(Table1[[#This Row],[2024 Market share (%)]]-Table1[[#This Row],[2019 Market share (%)]])*10000</f>
        <v>-71.44699940103942</v>
      </c>
      <c r="O283" s="6" t="e">
        <f>IF(Table1[[#This Row],[2024 AUV]]=0,"",_xlfn.RRI(5,Table1[[#This Row],[2019 AUV]],Table1[[#This Row],[2024 AUV]]))</f>
        <v>#DIV/0!</v>
      </c>
      <c r="P283" s="6">
        <f>_xlfn.RRI(5,Table1[[#This Row],[2019 U.S. Units]],Table1[[#This Row],[2024 U.S. Units]])</f>
        <v>-1</v>
      </c>
      <c r="Q283" s="5">
        <v>96600</v>
      </c>
      <c r="R283" s="6">
        <f>Table1[[#This Row],[2023 U.S. Sales ($000)]]/SUMIF($E:$E, E283, $Q:$Q)</f>
        <v>1.1673249082121308E-2</v>
      </c>
      <c r="S283" s="8">
        <f>(Table1[[#This Row],[2023 Market share (%)]]-Table1[[#This Row],[2022 Market share (%)]])*10000</f>
        <v>15.383286310848288</v>
      </c>
      <c r="T283" s="10">
        <v>0.29144385026737968</v>
      </c>
      <c r="U283" s="5">
        <v>225</v>
      </c>
      <c r="V283" s="5">
        <f t="shared" si="32"/>
        <v>429.33333333333331</v>
      </c>
      <c r="W283" s="10">
        <v>0.18421052631578946</v>
      </c>
      <c r="X283" s="10">
        <f t="shared" si="33"/>
        <v>0.29170075346249846</v>
      </c>
      <c r="Y283" s="8">
        <f>(Table1[[#This Row],[2023 Market share (%)]]-Table1[[#This Row],[2019 Market share (%)]])*10000</f>
        <v>45.285491420173663</v>
      </c>
      <c r="Z283" s="10">
        <f t="shared" si="34"/>
        <v>6.6669407274664305E-3</v>
      </c>
      <c r="AA283" s="10">
        <f t="shared" si="35"/>
        <v>0.28314609450574846</v>
      </c>
      <c r="AB283" s="5">
        <v>74800</v>
      </c>
      <c r="AC283" s="6">
        <f>Table1[[#This Row],[2022 U.S. Sales ($000)]]/SUMIF($E:$E, E283, $AB:$AB)</f>
        <v>1.0134920451036479E-2</v>
      </c>
      <c r="AD283" s="5">
        <v>190</v>
      </c>
      <c r="AE283" s="5">
        <f t="shared" si="36"/>
        <v>393.68421052631578</v>
      </c>
      <c r="AF283" s="5">
        <v>52300</v>
      </c>
      <c r="AG283" s="6">
        <f>Table1[[#This Row],[2021 U.S. Sales ($000)]]/SUMIF($E:$E, E283, $AF:$AF)</f>
        <v>8.3601347851940885E-3</v>
      </c>
      <c r="AH283" s="5">
        <v>146</v>
      </c>
      <c r="AI283" s="12">
        <f t="shared" si="37"/>
        <v>358.21917808219177</v>
      </c>
      <c r="AJ283" s="5">
        <v>33100</v>
      </c>
      <c r="AK283" s="6">
        <f>Table1[[#This Row],[2020 U.S. Sales ($000)]]/SUMIF($E:$E, E283, $AJ:$AJ)</f>
        <v>7.1717328856669774E-3</v>
      </c>
      <c r="AL283" s="5">
        <v>109</v>
      </c>
      <c r="AM283" s="5">
        <f t="shared" si="38"/>
        <v>303.66972477064218</v>
      </c>
      <c r="AN283" s="5">
        <v>34700</v>
      </c>
      <c r="AO283" s="6">
        <f>Table1[[#This Row],[2019 U.S. Sales ($000)]]/SUMIF($E:$E, E283, $AN:$AN)</f>
        <v>7.1446999401039418E-3</v>
      </c>
      <c r="AP283" s="5">
        <v>83</v>
      </c>
      <c r="AQ283" s="5">
        <f t="shared" si="39"/>
        <v>418.07228915662648</v>
      </c>
    </row>
    <row r="284" spans="1:43" x14ac:dyDescent="0.25">
      <c r="A284" t="s">
        <v>349</v>
      </c>
      <c r="B284">
        <v>563078</v>
      </c>
      <c r="C284" t="s">
        <v>44</v>
      </c>
      <c r="D284" t="s">
        <v>45</v>
      </c>
      <c r="E284" t="s">
        <v>50</v>
      </c>
      <c r="F284" s="5">
        <v>396</v>
      </c>
      <c r="G284" s="5">
        <v>0</v>
      </c>
      <c r="H284" s="6">
        <f>Table1[[#This Row],[2024 U.S. Sales ($000)]]/SUMIF($E:$E, E284, $G:$G)</f>
        <v>0</v>
      </c>
      <c r="I284" s="5">
        <v>0</v>
      </c>
      <c r="J284" s="5" t="e">
        <f>Table1[[#This Row],[2024 U.S. Sales ($000)]]/Table1[[#This Row],[2024 U.S. Units]]</f>
        <v>#DIV/0!</v>
      </c>
      <c r="K284" s="6">
        <f>Table1[[#This Row],[2024 U.S. Units]]/Table1[[#This Row],[2023 U.S. Units]]-1</f>
        <v>-1</v>
      </c>
      <c r="L284" s="8">
        <f>(Table1[[#This Row],[2024 Market share (%)]]-Table1[[#This Row],[2023 Market share (%)]])*10000</f>
        <v>-16.189384026806518</v>
      </c>
      <c r="M284" s="6">
        <f>_xlfn.RRI(5,Table1[[#This Row],[2019 U.S. Sales ($000)]],Table1[[#This Row],[2024 U.S. Sales ($000)]])</f>
        <v>-1</v>
      </c>
      <c r="N284" s="9">
        <f>(Table1[[#This Row],[2024 Market share (%)]]-Table1[[#This Row],[2019 Market share (%)]])*10000</f>
        <v>-9.2834937624205409</v>
      </c>
      <c r="O284" s="6" t="e">
        <f>IF(Table1[[#This Row],[2024 AUV]]=0,"",_xlfn.RRI(5,Table1[[#This Row],[2019 AUV]],Table1[[#This Row],[2024 AUV]]))</f>
        <v>#DIV/0!</v>
      </c>
      <c r="P284" s="6">
        <f>_xlfn.RRI(5,Table1[[#This Row],[2019 U.S. Units]],Table1[[#This Row],[2024 U.S. Units]])</f>
        <v>-1</v>
      </c>
      <c r="Q284" s="5">
        <v>79300</v>
      </c>
      <c r="R284" s="6">
        <f>Table1[[#This Row],[2023 U.S. Sales ($000)]]/SUMIF($E:$E, E284, $Q:$Q)</f>
        <v>1.6189384026806517E-3</v>
      </c>
      <c r="S284" s="8">
        <f>(Table1[[#This Row],[2023 Market share (%)]]-Table1[[#This Row],[2022 Market share (%)]])*10000</f>
        <v>0.81068810905040711</v>
      </c>
      <c r="T284" s="10">
        <v>0.18181818181818182</v>
      </c>
      <c r="U284" s="5">
        <v>86</v>
      </c>
      <c r="V284" s="5">
        <f t="shared" si="32"/>
        <v>922.09302325581393</v>
      </c>
      <c r="W284" s="10">
        <v>0.14666666666666667</v>
      </c>
      <c r="X284" s="10">
        <f t="shared" si="33"/>
        <v>0.29153768237115507</v>
      </c>
      <c r="Y284" s="8">
        <f>(Table1[[#This Row],[2023 Market share (%)]]-Table1[[#This Row],[2019 Market share (%)]])*10000</f>
        <v>6.9058902643859765</v>
      </c>
      <c r="Z284" s="10">
        <f t="shared" si="34"/>
        <v>8.7184481815745229E-3</v>
      </c>
      <c r="AA284" s="10">
        <f t="shared" si="35"/>
        <v>0.28037480101550738</v>
      </c>
      <c r="AB284" s="5">
        <v>67100</v>
      </c>
      <c r="AC284" s="6">
        <f>Table1[[#This Row],[2022 U.S. Sales ($000)]]/SUMIF($E:$E, E284, $AB:$AB)</f>
        <v>1.537869591775611E-3</v>
      </c>
      <c r="AD284" s="5">
        <v>75</v>
      </c>
      <c r="AE284" s="5">
        <f t="shared" si="36"/>
        <v>894.66666666666663</v>
      </c>
      <c r="AF284" s="5">
        <v>51400</v>
      </c>
      <c r="AG284" s="6">
        <f>Table1[[#This Row],[2021 U.S. Sales ($000)]]/SUMIF($E:$E, E284, $AF:$AF)</f>
        <v>1.3073934600872489E-3</v>
      </c>
      <c r="AH284" s="5">
        <v>62</v>
      </c>
      <c r="AI284" s="12">
        <f t="shared" si="37"/>
        <v>829.0322580645161</v>
      </c>
      <c r="AJ284" s="5">
        <v>35900</v>
      </c>
      <c r="AK284" s="6">
        <f>Table1[[#This Row],[2020 U.S. Sales ($000)]]/SUMIF($E:$E, E284, $AJ:$AJ)</f>
        <v>1.0615233818561881E-3</v>
      </c>
      <c r="AL284" s="5">
        <v>44</v>
      </c>
      <c r="AM284" s="5">
        <f t="shared" si="38"/>
        <v>815.90909090909088</v>
      </c>
      <c r="AN284" s="5">
        <v>28500</v>
      </c>
      <c r="AO284" s="6">
        <f>Table1[[#This Row],[2019 U.S. Sales ($000)]]/SUMIF($E:$E, E284, $AN:$AN)</f>
        <v>9.2834937624205408E-4</v>
      </c>
      <c r="AP284" s="5">
        <v>32</v>
      </c>
      <c r="AQ284" s="5">
        <f t="shared" si="39"/>
        <v>890.625</v>
      </c>
    </row>
    <row r="285" spans="1:43" x14ac:dyDescent="0.25">
      <c r="A285" t="s">
        <v>350</v>
      </c>
      <c r="B285">
        <v>31329</v>
      </c>
      <c r="C285" t="s">
        <v>44</v>
      </c>
      <c r="D285" t="s">
        <v>45</v>
      </c>
      <c r="E285" t="s">
        <v>59</v>
      </c>
      <c r="F285" s="5">
        <v>284</v>
      </c>
      <c r="G285" s="5">
        <v>0</v>
      </c>
      <c r="H285" s="6">
        <f>Table1[[#This Row],[2024 U.S. Sales ($000)]]/SUMIF($E:$E, E285, $G:$G)</f>
        <v>0</v>
      </c>
      <c r="I285" s="5">
        <v>0</v>
      </c>
      <c r="J285" s="5" t="e">
        <f>Table1[[#This Row],[2024 U.S. Sales ($000)]]/Table1[[#This Row],[2024 U.S. Units]]</f>
        <v>#DIV/0!</v>
      </c>
      <c r="K285" s="6">
        <f>Table1[[#This Row],[2024 U.S. Units]]/Table1[[#This Row],[2023 U.S. Units]]-1</f>
        <v>-1</v>
      </c>
      <c r="L285" s="8">
        <f>(Table1[[#This Row],[2024 Market share (%)]]-Table1[[#This Row],[2023 Market share (%)]])*10000</f>
        <v>-32.635413920948523</v>
      </c>
      <c r="M285" s="6">
        <f>_xlfn.RRI(5,Table1[[#This Row],[2019 U.S. Sales ($000)]],Table1[[#This Row],[2024 U.S. Sales ($000)]])</f>
        <v>-1</v>
      </c>
      <c r="N285" s="9">
        <f>(Table1[[#This Row],[2024 Market share (%)]]-Table1[[#This Row],[2019 Market share (%)]])*10000</f>
        <v>-13.868091853423637</v>
      </c>
      <c r="O285" s="6" t="e">
        <f>IF(Table1[[#This Row],[2024 AUV]]=0,"",_xlfn.RRI(5,Table1[[#This Row],[2019 AUV]],Table1[[#This Row],[2024 AUV]]))</f>
        <v>#DIV/0!</v>
      </c>
      <c r="P285" s="6">
        <f>_xlfn.RRI(5,Table1[[#This Row],[2019 U.S. Units]],Table1[[#This Row],[2024 U.S. Units]])</f>
        <v>-1</v>
      </c>
      <c r="Q285" s="5">
        <v>123267</v>
      </c>
      <c r="R285" s="6">
        <f>Table1[[#This Row],[2023 U.S. Sales ($000)]]/SUMIF($E:$E, E285, $Q:$Q)</f>
        <v>3.2635413920948523E-3</v>
      </c>
      <c r="S285" s="8">
        <f>(Table1[[#This Row],[2023 Market share (%)]]-Table1[[#This Row],[2022 Market share (%)]])*10000</f>
        <v>5.9358636245031384</v>
      </c>
      <c r="T285" s="10">
        <v>0.2902945548181799</v>
      </c>
      <c r="U285" s="5">
        <v>60</v>
      </c>
      <c r="V285" s="5">
        <f t="shared" si="32"/>
        <v>2054.4499999999998</v>
      </c>
      <c r="W285" s="10">
        <v>0.17647058823529413</v>
      </c>
      <c r="X285" s="10">
        <f t="shared" si="33"/>
        <v>0.28436113754148917</v>
      </c>
      <c r="Y285" s="8">
        <f>(Table1[[#This Row],[2023 Market share (%)]]-Table1[[#This Row],[2019 Market share (%)]])*10000</f>
        <v>18.767322067524884</v>
      </c>
      <c r="Z285" s="10">
        <f t="shared" si="34"/>
        <v>7.0899813669383027E-2</v>
      </c>
      <c r="AA285" s="10">
        <f t="shared" si="35"/>
        <v>0.19932893922232719</v>
      </c>
      <c r="AB285" s="5">
        <v>95534</v>
      </c>
      <c r="AC285" s="6">
        <f>Table1[[#This Row],[2022 U.S. Sales ($000)]]/SUMIF($E:$E, E285, $AB:$AB)</f>
        <v>2.6699550296445385E-3</v>
      </c>
      <c r="AD285" s="5">
        <v>51</v>
      </c>
      <c r="AE285" s="5">
        <f t="shared" si="36"/>
        <v>1873.2156862745098</v>
      </c>
      <c r="AF285" s="5">
        <v>71619</v>
      </c>
      <c r="AG285" s="6">
        <f>Table1[[#This Row],[2021 U.S. Sales ($000)]]/SUMIF($E:$E, E285, $AF:$AF)</f>
        <v>2.1586191926169251E-3</v>
      </c>
      <c r="AH285" s="5">
        <v>45</v>
      </c>
      <c r="AI285" s="12">
        <f t="shared" si="37"/>
        <v>1591.5333333333333</v>
      </c>
      <c r="AJ285" s="5">
        <v>47100</v>
      </c>
      <c r="AK285" s="6">
        <f>Table1[[#This Row],[2020 U.S. Sales ($000)]]/SUMIF($E:$E, E285, $AJ:$AJ)</f>
        <v>1.6538237247228319E-3</v>
      </c>
      <c r="AL285" s="5">
        <v>36</v>
      </c>
      <c r="AM285" s="5">
        <f t="shared" si="38"/>
        <v>1308.3333333333333</v>
      </c>
      <c r="AN285" s="5">
        <v>45300</v>
      </c>
      <c r="AO285" s="6">
        <f>Table1[[#This Row],[2019 U.S. Sales ($000)]]/SUMIF($E:$E, E285, $AN:$AN)</f>
        <v>1.3868091853423638E-3</v>
      </c>
      <c r="AP285" s="5">
        <v>29</v>
      </c>
      <c r="AQ285" s="5">
        <f t="shared" si="39"/>
        <v>1562.0689655172414</v>
      </c>
    </row>
    <row r="286" spans="1:43" x14ac:dyDescent="0.25">
      <c r="A286" t="s">
        <v>351</v>
      </c>
      <c r="B286">
        <v>62019</v>
      </c>
      <c r="C286" t="s">
        <v>68</v>
      </c>
      <c r="D286" t="s">
        <v>69</v>
      </c>
      <c r="E286" t="s">
        <v>125</v>
      </c>
      <c r="F286" s="5">
        <v>459</v>
      </c>
      <c r="G286" s="5">
        <v>0</v>
      </c>
      <c r="H286" s="6">
        <f>Table1[[#This Row],[2024 U.S. Sales ($000)]]/SUMIF($E:$E, E286, $G:$G)</f>
        <v>0</v>
      </c>
      <c r="I286" s="5">
        <v>0</v>
      </c>
      <c r="J286" s="5" t="e">
        <f>Table1[[#This Row],[2024 U.S. Sales ($000)]]/Table1[[#This Row],[2024 U.S. Units]]</f>
        <v>#DIV/0!</v>
      </c>
      <c r="K286" s="6">
        <f>Table1[[#This Row],[2024 U.S. Units]]/Table1[[#This Row],[2023 U.S. Units]]-1</f>
        <v>-1</v>
      </c>
      <c r="L286" s="8">
        <f>(Table1[[#This Row],[2024 Market share (%)]]-Table1[[#This Row],[2023 Market share (%)]])*10000</f>
        <v>-186.57000778457007</v>
      </c>
      <c r="M286" s="6">
        <f>_xlfn.RRI(5,Table1[[#This Row],[2019 U.S. Sales ($000)]],Table1[[#This Row],[2024 U.S. Sales ($000)]])</f>
        <v>-1</v>
      </c>
      <c r="N286" s="9">
        <f>(Table1[[#This Row],[2024 Market share (%)]]-Table1[[#This Row],[2019 Market share (%)]])*10000</f>
        <v>-92.660986221763352</v>
      </c>
      <c r="O286" s="6" t="e">
        <f>IF(Table1[[#This Row],[2024 AUV]]=0,"",_xlfn.RRI(5,Table1[[#This Row],[2019 AUV]],Table1[[#This Row],[2024 AUV]]))</f>
        <v>#DIV/0!</v>
      </c>
      <c r="P286" s="6">
        <f>_xlfn.RRI(5,Table1[[#This Row],[2019 U.S. Units]],Table1[[#This Row],[2024 U.S. Units]])</f>
        <v>-1</v>
      </c>
      <c r="Q286" s="5">
        <v>66100</v>
      </c>
      <c r="R286" s="6">
        <f>Table1[[#This Row],[2023 U.S. Sales ($000)]]/SUMIF($E:$E, E286, $Q:$Q)</f>
        <v>1.8657000778457007E-2</v>
      </c>
      <c r="S286" s="8">
        <f>(Table1[[#This Row],[2023 Market share (%)]]-Table1[[#This Row],[2022 Market share (%)]])*10000</f>
        <v>9.326769074138527</v>
      </c>
      <c r="T286" s="10">
        <v>0.18458781362007168</v>
      </c>
      <c r="U286" s="5">
        <v>14</v>
      </c>
      <c r="V286" s="5">
        <f t="shared" si="32"/>
        <v>4721.4285714285716</v>
      </c>
      <c r="W286" s="10">
        <v>7.6923076923076927E-2</v>
      </c>
      <c r="X286" s="10">
        <f t="shared" si="33"/>
        <v>0.28031427607733383</v>
      </c>
      <c r="Y286" s="8">
        <f>(Table1[[#This Row],[2023 Market share (%)]]-Table1[[#This Row],[2019 Market share (%)]])*10000</f>
        <v>93.909021562806714</v>
      </c>
      <c r="Z286" s="10">
        <f t="shared" si="34"/>
        <v>7.6611685151584563E-2</v>
      </c>
      <c r="AA286" s="10">
        <f t="shared" si="35"/>
        <v>0.18920711500272103</v>
      </c>
      <c r="AB286" s="5">
        <v>55800</v>
      </c>
      <c r="AC286" s="6">
        <f>Table1[[#This Row],[2022 U.S. Sales ($000)]]/SUMIF($E:$E, E286, $AB:$AB)</f>
        <v>1.7724323871043154E-2</v>
      </c>
      <c r="AD286" s="5">
        <v>13</v>
      </c>
      <c r="AE286" s="5">
        <f t="shared" si="36"/>
        <v>4292.3076923076924</v>
      </c>
      <c r="AF286" s="5">
        <v>44400</v>
      </c>
      <c r="AG286" s="6">
        <f>Table1[[#This Row],[2021 U.S. Sales ($000)]]/SUMIF($E:$E, E286, $AF:$AF)</f>
        <v>1.66957714574506E-2</v>
      </c>
      <c r="AH286" s="5">
        <v>12</v>
      </c>
      <c r="AI286" s="12">
        <f t="shared" si="37"/>
        <v>3700</v>
      </c>
      <c r="AJ286" s="5">
        <v>23000</v>
      </c>
      <c r="AK286" s="6">
        <f>Table1[[#This Row],[2020 U.S. Sales ($000)]]/SUMIF($E:$E, E286, $AJ:$AJ)</f>
        <v>1.2137273620057953E-2</v>
      </c>
      <c r="AL286" s="5">
        <v>10</v>
      </c>
      <c r="AM286" s="5">
        <f t="shared" si="38"/>
        <v>2300</v>
      </c>
      <c r="AN286" s="5">
        <v>24600</v>
      </c>
      <c r="AO286" s="6">
        <f>Table1[[#This Row],[2019 U.S. Sales ($000)]]/SUMIF($E:$E, E286, $AN:$AN)</f>
        <v>9.2660986221763351E-3</v>
      </c>
      <c r="AP286" s="5">
        <v>7</v>
      </c>
      <c r="AQ286" s="5">
        <f t="shared" si="39"/>
        <v>3514.2857142857142</v>
      </c>
    </row>
    <row r="287" spans="1:43" x14ac:dyDescent="0.25">
      <c r="A287" t="s">
        <v>352</v>
      </c>
      <c r="B287">
        <v>62045</v>
      </c>
      <c r="C287" t="s">
        <v>68</v>
      </c>
      <c r="D287" t="s">
        <v>92</v>
      </c>
      <c r="E287" t="s">
        <v>93</v>
      </c>
      <c r="F287" s="5">
        <v>385</v>
      </c>
      <c r="G287" s="5">
        <v>0</v>
      </c>
      <c r="H287" s="6">
        <f>Table1[[#This Row],[2024 U.S. Sales ($000)]]/SUMIF($E:$E, E287, $G:$G)</f>
        <v>0</v>
      </c>
      <c r="I287" s="5">
        <v>0</v>
      </c>
      <c r="J287" s="5" t="e">
        <f>Table1[[#This Row],[2024 U.S. Sales ($000)]]/Table1[[#This Row],[2024 U.S. Units]]</f>
        <v>#DIV/0!</v>
      </c>
      <c r="K287" s="6">
        <f>Table1[[#This Row],[2024 U.S. Units]]/Table1[[#This Row],[2023 U.S. Units]]-1</f>
        <v>-1</v>
      </c>
      <c r="L287" s="8">
        <f>(Table1[[#This Row],[2024 Market share (%)]]-Table1[[#This Row],[2023 Market share (%)]])*10000</f>
        <v>-46.231660004417051</v>
      </c>
      <c r="M287" s="6">
        <f>_xlfn.RRI(5,Table1[[#This Row],[2019 U.S. Sales ($000)]],Table1[[#This Row],[2024 U.S. Sales ($000)]])</f>
        <v>-1</v>
      </c>
      <c r="N287" s="9">
        <f>(Table1[[#This Row],[2024 Market share (%)]]-Table1[[#This Row],[2019 Market share (%)]])*10000</f>
        <v>-18.469212421910111</v>
      </c>
      <c r="O287" s="6" t="e">
        <f>IF(Table1[[#This Row],[2024 AUV]]=0,"",_xlfn.RRI(5,Table1[[#This Row],[2019 AUV]],Table1[[#This Row],[2024 AUV]]))</f>
        <v>#DIV/0!</v>
      </c>
      <c r="P287" s="6">
        <f>_xlfn.RRI(5,Table1[[#This Row],[2019 U.S. Units]],Table1[[#This Row],[2024 U.S. Units]])</f>
        <v>-1</v>
      </c>
      <c r="Q287" s="5">
        <v>80907</v>
      </c>
      <c r="R287" s="6">
        <f>Table1[[#This Row],[2023 U.S. Sales ($000)]]/SUMIF($E:$E, E287, $Q:$Q)</f>
        <v>4.6231660004417054E-3</v>
      </c>
      <c r="S287" s="8">
        <f>(Table1[[#This Row],[2023 Market share (%)]]-Table1[[#This Row],[2022 Market share (%)]])*10000</f>
        <v>7.0934821717065155</v>
      </c>
      <c r="T287" s="10">
        <v>0.25161659602116271</v>
      </c>
      <c r="U287" s="5">
        <v>71</v>
      </c>
      <c r="V287" s="5">
        <f t="shared" si="32"/>
        <v>1139.5352112676057</v>
      </c>
      <c r="W287" s="10">
        <v>0.20338983050847459</v>
      </c>
      <c r="X287" s="10">
        <f t="shared" si="33"/>
        <v>0.26802491088465863</v>
      </c>
      <c r="Y287" s="8">
        <f>(Table1[[#This Row],[2023 Market share (%)]]-Table1[[#This Row],[2019 Market share (%)]])*10000</f>
        <v>27.762447582506947</v>
      </c>
      <c r="Z287" s="10">
        <f t="shared" si="34"/>
        <v>7.7366901990212567E-2</v>
      </c>
      <c r="AA287" s="10">
        <f t="shared" si="35"/>
        <v>0.17696664761303205</v>
      </c>
      <c r="AB287" s="5">
        <v>64642</v>
      </c>
      <c r="AC287" s="6">
        <f>Table1[[#This Row],[2022 U.S. Sales ($000)]]/SUMIF($E:$E, E287, $AB:$AB)</f>
        <v>3.9138177832710539E-3</v>
      </c>
      <c r="AD287" s="5">
        <v>59</v>
      </c>
      <c r="AE287" s="5">
        <f t="shared" si="36"/>
        <v>1095.6271186440679</v>
      </c>
      <c r="AF287" s="5">
        <v>49114</v>
      </c>
      <c r="AG287" s="6">
        <f>Table1[[#This Row],[2021 U.S. Sales ($000)]]/SUMIF($E:$E, E287, $AF:$AF)</f>
        <v>3.2531034934532234E-3</v>
      </c>
      <c r="AH287" s="5">
        <v>53</v>
      </c>
      <c r="AI287" s="12">
        <f t="shared" si="37"/>
        <v>926.67924528301887</v>
      </c>
      <c r="AJ287" s="5">
        <v>28688</v>
      </c>
      <c r="AK287" s="6">
        <f>Table1[[#This Row],[2020 U.S. Sales ($000)]]/SUMIF($E:$E, E287, $AJ:$AJ)</f>
        <v>2.6881783403178679E-3</v>
      </c>
      <c r="AL287" s="5">
        <v>46</v>
      </c>
      <c r="AM287" s="5">
        <f t="shared" si="38"/>
        <v>623.6521739130435</v>
      </c>
      <c r="AN287" s="5">
        <v>31295</v>
      </c>
      <c r="AO287" s="6">
        <f>Table1[[#This Row],[2019 U.S. Sales ($000)]]/SUMIF($E:$E, E287, $AN:$AN)</f>
        <v>1.846921242191011E-3</v>
      </c>
      <c r="AP287" s="5">
        <v>37</v>
      </c>
      <c r="AQ287" s="5">
        <f t="shared" si="39"/>
        <v>845.81081081081084</v>
      </c>
    </row>
    <row r="288" spans="1:43" x14ac:dyDescent="0.25">
      <c r="A288" t="s">
        <v>353</v>
      </c>
      <c r="B288">
        <v>62612</v>
      </c>
      <c r="C288" t="s">
        <v>68</v>
      </c>
      <c r="D288" t="s">
        <v>92</v>
      </c>
      <c r="E288" t="s">
        <v>93</v>
      </c>
      <c r="F288" s="5">
        <v>468</v>
      </c>
      <c r="G288" s="5">
        <v>0</v>
      </c>
      <c r="H288" s="6">
        <f>Table1[[#This Row],[2024 U.S. Sales ($000)]]/SUMIF($E:$E, E288, $G:$G)</f>
        <v>0</v>
      </c>
      <c r="I288" s="5">
        <v>0</v>
      </c>
      <c r="J288" s="5" t="e">
        <f>Table1[[#This Row],[2024 U.S. Sales ($000)]]/Table1[[#This Row],[2024 U.S. Units]]</f>
        <v>#DIV/0!</v>
      </c>
      <c r="K288" s="6">
        <f>Table1[[#This Row],[2024 U.S. Units]]/Table1[[#This Row],[2023 U.S. Units]]-1</f>
        <v>-1</v>
      </c>
      <c r="L288" s="8">
        <f>(Table1[[#This Row],[2024 Market share (%)]]-Table1[[#This Row],[2023 Market share (%)]])*10000</f>
        <v>-36.39928241414669</v>
      </c>
      <c r="M288" s="6">
        <f>_xlfn.RRI(5,Table1[[#This Row],[2019 U.S. Sales ($000)]],Table1[[#This Row],[2024 U.S. Sales ($000)]])</f>
        <v>-1</v>
      </c>
      <c r="N288" s="9">
        <f>(Table1[[#This Row],[2024 Market share (%)]]-Table1[[#This Row],[2019 Market share (%)]])*10000</f>
        <v>-14.636091006977816</v>
      </c>
      <c r="O288" s="6" t="e">
        <f>IF(Table1[[#This Row],[2024 AUV]]=0,"",_xlfn.RRI(5,Table1[[#This Row],[2019 AUV]],Table1[[#This Row],[2024 AUV]]))</f>
        <v>#DIV/0!</v>
      </c>
      <c r="P288" s="6">
        <f>_xlfn.RRI(5,Table1[[#This Row],[2019 U.S. Units]],Table1[[#This Row],[2024 U.S. Units]])</f>
        <v>-1</v>
      </c>
      <c r="Q288" s="5">
        <v>63700</v>
      </c>
      <c r="R288" s="6">
        <f>Table1[[#This Row],[2023 U.S. Sales ($000)]]/SUMIF($E:$E, E288, $Q:$Q)</f>
        <v>3.6399282414146692E-3</v>
      </c>
      <c r="S288" s="8">
        <f>(Table1[[#This Row],[2023 Market share (%)]]-Table1[[#This Row],[2022 Market share (%)]])*10000</f>
        <v>9.1535597806889673</v>
      </c>
      <c r="T288" s="10">
        <v>0.41555555555555557</v>
      </c>
      <c r="U288" s="5">
        <v>37</v>
      </c>
      <c r="V288" s="5">
        <f t="shared" si="32"/>
        <v>1721.6216216216217</v>
      </c>
      <c r="W288" s="10">
        <v>0.32142857142857145</v>
      </c>
      <c r="X288" s="10">
        <f t="shared" si="33"/>
        <v>0.26596569646009338</v>
      </c>
      <c r="Y288" s="8">
        <f>(Table1[[#This Row],[2023 Market share (%)]]-Table1[[#This Row],[2019 Market share (%)]])*10000</f>
        <v>21.763191407168875</v>
      </c>
      <c r="Z288" s="10">
        <f t="shared" si="34"/>
        <v>-7.1045608387961812E-3</v>
      </c>
      <c r="AA288" s="10">
        <f t="shared" si="35"/>
        <v>0.27502418334158008</v>
      </c>
      <c r="AB288" s="5">
        <v>45000</v>
      </c>
      <c r="AC288" s="6">
        <f>Table1[[#This Row],[2022 U.S. Sales ($000)]]/SUMIF($E:$E, E288, $AB:$AB)</f>
        <v>2.7245722633457725E-3</v>
      </c>
      <c r="AD288" s="5">
        <v>28</v>
      </c>
      <c r="AE288" s="5">
        <f t="shared" si="36"/>
        <v>1607.1428571428571</v>
      </c>
      <c r="AF288" s="5">
        <v>32612</v>
      </c>
      <c r="AG288" s="6">
        <f>Table1[[#This Row],[2021 U.S. Sales ($000)]]/SUMIF($E:$E, E288, $AF:$AF)</f>
        <v>2.1600808553263128E-3</v>
      </c>
      <c r="AH288" s="5">
        <v>19</v>
      </c>
      <c r="AI288" s="12">
        <f t="shared" si="37"/>
        <v>1716.421052631579</v>
      </c>
      <c r="AJ288" s="5">
        <v>21000</v>
      </c>
      <c r="AK288" s="6">
        <f>Table1[[#This Row],[2020 U.S. Sales ($000)]]/SUMIF($E:$E, E288, $AJ:$AJ)</f>
        <v>1.9677825274217525E-3</v>
      </c>
      <c r="AL288" s="5">
        <v>16</v>
      </c>
      <c r="AM288" s="5">
        <f t="shared" si="38"/>
        <v>1312.5</v>
      </c>
      <c r="AN288" s="5">
        <v>24800</v>
      </c>
      <c r="AO288" s="6">
        <f>Table1[[#This Row],[2019 U.S. Sales ($000)]]/SUMIF($E:$E, E288, $AN:$AN)</f>
        <v>1.4636091006977815E-3</v>
      </c>
      <c r="AP288" s="5">
        <v>14</v>
      </c>
      <c r="AQ288" s="5">
        <f t="shared" si="39"/>
        <v>1771.4285714285713</v>
      </c>
    </row>
    <row r="289" spans="1:43" x14ac:dyDescent="0.25">
      <c r="A289" t="s">
        <v>354</v>
      </c>
      <c r="B289">
        <v>562753</v>
      </c>
      <c r="C289" t="s">
        <v>68</v>
      </c>
      <c r="D289" t="s">
        <v>69</v>
      </c>
      <c r="E289" t="s">
        <v>73</v>
      </c>
      <c r="F289" s="5">
        <v>461</v>
      </c>
      <c r="G289" s="5">
        <v>0</v>
      </c>
      <c r="H289" s="6">
        <f>Table1[[#This Row],[2024 U.S. Sales ($000)]]/SUMIF($E:$E, E289, $G:$G)</f>
        <v>0</v>
      </c>
      <c r="I289" s="5">
        <v>0</v>
      </c>
      <c r="J289" s="5" t="e">
        <f>Table1[[#This Row],[2024 U.S. Sales ($000)]]/Table1[[#This Row],[2024 U.S. Units]]</f>
        <v>#DIV/0!</v>
      </c>
      <c r="K289" s="6">
        <f>Table1[[#This Row],[2024 U.S. Units]]/Table1[[#This Row],[2023 U.S. Units]]-1</f>
        <v>-1</v>
      </c>
      <c r="L289" s="8">
        <f>(Table1[[#This Row],[2024 Market share (%)]]-Table1[[#This Row],[2023 Market share (%)]])*10000</f>
        <v>-67.637856096402885</v>
      </c>
      <c r="M289" s="6">
        <f>_xlfn.RRI(5,Table1[[#This Row],[2019 U.S. Sales ($000)]],Table1[[#This Row],[2024 U.S. Sales ($000)]])</f>
        <v>-1</v>
      </c>
      <c r="N289" s="9">
        <f>(Table1[[#This Row],[2024 Market share (%)]]-Table1[[#This Row],[2019 Market share (%)]])*10000</f>
        <v>-30.149264072909034</v>
      </c>
      <c r="O289" s="6" t="e">
        <f>IF(Table1[[#This Row],[2024 AUV]]=0,"",_xlfn.RRI(5,Table1[[#This Row],[2019 AUV]],Table1[[#This Row],[2024 AUV]]))</f>
        <v>#DIV/0!</v>
      </c>
      <c r="P289" s="6">
        <f>_xlfn.RRI(5,Table1[[#This Row],[2019 U.S. Units]],Table1[[#This Row],[2024 U.S. Units]])</f>
        <v>-1</v>
      </c>
      <c r="Q289" s="5">
        <v>65000</v>
      </c>
      <c r="R289" s="6">
        <f>Table1[[#This Row],[2023 U.S. Sales ($000)]]/SUMIF($E:$E, E289, $Q:$Q)</f>
        <v>6.7637856096402884E-3</v>
      </c>
      <c r="S289" s="8">
        <f>(Table1[[#This Row],[2023 Market share (%)]]-Table1[[#This Row],[2022 Market share (%)]])*10000</f>
        <v>13.847884376426075</v>
      </c>
      <c r="T289" s="10">
        <v>0.31578947368421051</v>
      </c>
      <c r="U289" s="5">
        <v>24</v>
      </c>
      <c r="V289" s="5">
        <f t="shared" si="32"/>
        <v>2708.3333333333335</v>
      </c>
      <c r="W289" s="10">
        <v>0.2</v>
      </c>
      <c r="X289" s="10">
        <f t="shared" si="33"/>
        <v>0.23992428380591635</v>
      </c>
      <c r="Y289" s="8">
        <f>(Table1[[#This Row],[2023 Market share (%)]]-Table1[[#This Row],[2019 Market share (%)]])*10000</f>
        <v>37.488592023493851</v>
      </c>
      <c r="Z289" s="10">
        <f t="shared" si="34"/>
        <v>-3.8095930507329179E-3</v>
      </c>
      <c r="AA289" s="10">
        <f t="shared" si="35"/>
        <v>0.24466595457695672</v>
      </c>
      <c r="AB289" s="5">
        <v>49400</v>
      </c>
      <c r="AC289" s="6">
        <f>Table1[[#This Row],[2022 U.S. Sales ($000)]]/SUMIF($E:$E, E289, $AB:$AB)</f>
        <v>5.3789971719976808E-3</v>
      </c>
      <c r="AD289" s="5">
        <v>20</v>
      </c>
      <c r="AE289" s="5">
        <f t="shared" si="36"/>
        <v>2470</v>
      </c>
      <c r="AF289" s="5">
        <v>36500</v>
      </c>
      <c r="AG289" s="6">
        <f>Table1[[#This Row],[2021 U.S. Sales ($000)]]/SUMIF($E:$E, E289, $AF:$AF)</f>
        <v>4.3590198630384016E-3</v>
      </c>
      <c r="AH289" s="5">
        <v>15</v>
      </c>
      <c r="AI289" s="12">
        <f t="shared" si="37"/>
        <v>2433.3333333333335</v>
      </c>
      <c r="AJ289" s="5">
        <v>25800</v>
      </c>
      <c r="AK289" s="6">
        <f>Table1[[#This Row],[2020 U.S. Sales ($000)]]/SUMIF($E:$E, E289, $AJ:$AJ)</f>
        <v>3.7397380067109454E-3</v>
      </c>
      <c r="AL289" s="5">
        <v>12</v>
      </c>
      <c r="AM289" s="5">
        <f t="shared" si="38"/>
        <v>2150</v>
      </c>
      <c r="AN289" s="5">
        <v>27500</v>
      </c>
      <c r="AO289" s="6">
        <f>Table1[[#This Row],[2019 U.S. Sales ($000)]]/SUMIF($E:$E, E289, $AN:$AN)</f>
        <v>3.0149264072909035E-3</v>
      </c>
      <c r="AP289" s="5">
        <v>10</v>
      </c>
      <c r="AQ289" s="5">
        <f t="shared" si="39"/>
        <v>2750</v>
      </c>
    </row>
    <row r="290" spans="1:43" x14ac:dyDescent="0.25">
      <c r="A290" t="s">
        <v>355</v>
      </c>
      <c r="B290">
        <v>61752</v>
      </c>
      <c r="C290" t="s">
        <v>44</v>
      </c>
      <c r="D290" t="s">
        <v>45</v>
      </c>
      <c r="E290" t="s">
        <v>59</v>
      </c>
      <c r="F290" s="5">
        <v>400</v>
      </c>
      <c r="G290" s="5">
        <v>0</v>
      </c>
      <c r="H290" s="6">
        <f>Table1[[#This Row],[2024 U.S. Sales ($000)]]/SUMIF($E:$E, E290, $G:$G)</f>
        <v>0</v>
      </c>
      <c r="I290" s="5">
        <v>0</v>
      </c>
      <c r="J290" s="5" t="e">
        <f>Table1[[#This Row],[2024 U.S. Sales ($000)]]/Table1[[#This Row],[2024 U.S. Units]]</f>
        <v>#DIV/0!</v>
      </c>
      <c r="K290" s="6">
        <f>Table1[[#This Row],[2024 U.S. Units]]/Table1[[#This Row],[2023 U.S. Units]]-1</f>
        <v>-1</v>
      </c>
      <c r="L290" s="8">
        <f>(Table1[[#This Row],[2024 Market share (%)]]-Table1[[#This Row],[2023 Market share (%)]])*10000</f>
        <v>-20.88907946459992</v>
      </c>
      <c r="M290" s="6">
        <f>_xlfn.RRI(5,Table1[[#This Row],[2019 U.S. Sales ($000)]],Table1[[#This Row],[2024 U.S. Sales ($000)]])</f>
        <v>-1</v>
      </c>
      <c r="N290" s="9">
        <f>(Table1[[#This Row],[2024 Market share (%)]]-Table1[[#This Row],[2019 Market share (%)]])*10000</f>
        <v>-10.53117791959764</v>
      </c>
      <c r="O290" s="6" t="e">
        <f>IF(Table1[[#This Row],[2024 AUV]]=0,"",_xlfn.RRI(5,Table1[[#This Row],[2019 AUV]],Table1[[#This Row],[2024 AUV]]))</f>
        <v>#DIV/0!</v>
      </c>
      <c r="P290" s="6">
        <f>_xlfn.RRI(5,Table1[[#This Row],[2019 U.S. Units]],Table1[[#This Row],[2024 U.S. Units]])</f>
        <v>-1</v>
      </c>
      <c r="Q290" s="5">
        <v>78900</v>
      </c>
      <c r="R290" s="6">
        <f>Table1[[#This Row],[2023 U.S. Sales ($000)]]/SUMIF($E:$E, E290, $Q:$Q)</f>
        <v>2.0889079464599921E-3</v>
      </c>
      <c r="S290" s="8">
        <f>(Table1[[#This Row],[2023 Market share (%)]]-Table1[[#This Row],[2022 Market share (%)]])*10000</f>
        <v>4.204305952574992</v>
      </c>
      <c r="T290" s="10">
        <v>0.32160804020100503</v>
      </c>
      <c r="U290" s="5">
        <v>114</v>
      </c>
      <c r="V290" s="5">
        <f t="shared" si="32"/>
        <v>692.10526315789468</v>
      </c>
      <c r="W290" s="10">
        <v>0.31034482758620691</v>
      </c>
      <c r="X290" s="10">
        <f t="shared" si="33"/>
        <v>0.23063607008389586</v>
      </c>
      <c r="Y290" s="8">
        <f>(Table1[[#This Row],[2023 Market share (%)]]-Table1[[#This Row],[2019 Market share (%)]])*10000</f>
        <v>10.357901545002282</v>
      </c>
      <c r="Z290" s="10">
        <f t="shared" si="34"/>
        <v>-3.0011475290366185E-2</v>
      </c>
      <c r="AA290" s="10">
        <f t="shared" si="35"/>
        <v>0.26871198857974821</v>
      </c>
      <c r="AB290" s="5">
        <v>59700</v>
      </c>
      <c r="AC290" s="6">
        <f>Table1[[#This Row],[2022 U.S. Sales ($000)]]/SUMIF($E:$E, E290, $AB:$AB)</f>
        <v>1.6684773512024929E-3</v>
      </c>
      <c r="AD290" s="5">
        <v>87</v>
      </c>
      <c r="AE290" s="5">
        <f t="shared" si="36"/>
        <v>686.20689655172418</v>
      </c>
      <c r="AF290" s="5">
        <v>44400</v>
      </c>
      <c r="AG290" s="6">
        <f>Table1[[#This Row],[2021 U.S. Sales ($000)]]/SUMIF($E:$E, E290, $AF:$AF)</f>
        <v>1.338229969033238E-3</v>
      </c>
      <c r="AH290" s="5">
        <v>69</v>
      </c>
      <c r="AI290" s="12">
        <f t="shared" si="37"/>
        <v>643.47826086956525</v>
      </c>
      <c r="AJ290" s="5">
        <v>32000</v>
      </c>
      <c r="AK290" s="6">
        <f>Table1[[#This Row],[2020 U.S. Sales ($000)]]/SUMIF($E:$E, E290, $AJ:$AJ)</f>
        <v>1.1236169679645566E-3</v>
      </c>
      <c r="AL290" s="5">
        <v>51</v>
      </c>
      <c r="AM290" s="5">
        <f t="shared" si="38"/>
        <v>627.45098039215691</v>
      </c>
      <c r="AN290" s="5">
        <v>34400</v>
      </c>
      <c r="AO290" s="6">
        <f>Table1[[#This Row],[2019 U.S. Sales ($000)]]/SUMIF($E:$E, E290, $AN:$AN)</f>
        <v>1.0531177919597639E-3</v>
      </c>
      <c r="AP290" s="5">
        <v>44</v>
      </c>
      <c r="AQ290" s="5">
        <f t="shared" si="39"/>
        <v>781.81818181818187</v>
      </c>
    </row>
    <row r="291" spans="1:43" x14ac:dyDescent="0.25">
      <c r="A291" t="s">
        <v>356</v>
      </c>
      <c r="B291">
        <v>562783</v>
      </c>
      <c r="C291" t="s">
        <v>44</v>
      </c>
      <c r="D291" t="s">
        <v>45</v>
      </c>
      <c r="E291" t="s">
        <v>112</v>
      </c>
      <c r="F291" s="5">
        <v>471</v>
      </c>
      <c r="G291" s="5">
        <v>0</v>
      </c>
      <c r="H291" s="6">
        <f>Table1[[#This Row],[2024 U.S. Sales ($000)]]/SUMIF($E:$E, E291, $G:$G)</f>
        <v>0</v>
      </c>
      <c r="I291" s="5">
        <v>0</v>
      </c>
      <c r="J291" s="5" t="e">
        <f>Table1[[#This Row],[2024 U.S. Sales ($000)]]/Table1[[#This Row],[2024 U.S. Units]]</f>
        <v>#DIV/0!</v>
      </c>
      <c r="K291" s="6">
        <f>Table1[[#This Row],[2024 U.S. Units]]/Table1[[#This Row],[2023 U.S. Units]]-1</f>
        <v>-1</v>
      </c>
      <c r="L291" s="8">
        <f>(Table1[[#This Row],[2024 Market share (%)]]-Table1[[#This Row],[2023 Market share (%)]])*10000</f>
        <v>-76.73409075721564</v>
      </c>
      <c r="M291" s="6">
        <f>_xlfn.RRI(5,Table1[[#This Row],[2019 U.S. Sales ($000)]],Table1[[#This Row],[2024 U.S. Sales ($000)]])</f>
        <v>-1</v>
      </c>
      <c r="N291" s="9">
        <f>(Table1[[#This Row],[2024 Market share (%)]]-Table1[[#This Row],[2019 Market share (%)]])*10000</f>
        <v>-57.857656575481485</v>
      </c>
      <c r="O291" s="6" t="e">
        <f>IF(Table1[[#This Row],[2024 AUV]]=0,"",_xlfn.RRI(5,Table1[[#This Row],[2019 AUV]],Table1[[#This Row],[2024 AUV]]))</f>
        <v>#DIV/0!</v>
      </c>
      <c r="P291" s="6">
        <f>_xlfn.RRI(5,Table1[[#This Row],[2019 U.S. Units]],Table1[[#This Row],[2024 U.S. Units]])</f>
        <v>-1</v>
      </c>
      <c r="Q291" s="5">
        <v>63500</v>
      </c>
      <c r="R291" s="6">
        <f>Table1[[#This Row],[2023 U.S. Sales ($000)]]/SUMIF($E:$E, E291, $Q:$Q)</f>
        <v>7.6734090757215635E-3</v>
      </c>
      <c r="S291" s="8">
        <f>(Table1[[#This Row],[2023 Market share (%)]]-Table1[[#This Row],[2022 Market share (%)]])*10000</f>
        <v>3.5675527417116433</v>
      </c>
      <c r="T291" s="10">
        <v>0.17592592592592593</v>
      </c>
      <c r="U291" s="5">
        <v>161</v>
      </c>
      <c r="V291" s="5">
        <f t="shared" si="32"/>
        <v>394.40993788819878</v>
      </c>
      <c r="W291" s="10">
        <v>0.10273972602739725</v>
      </c>
      <c r="X291" s="10">
        <f t="shared" si="33"/>
        <v>0.22607447547960779</v>
      </c>
      <c r="Y291" s="8">
        <f>(Table1[[#This Row],[2023 Market share (%)]]-Table1[[#This Row],[2019 Market share (%)]])*10000</f>
        <v>18.876434181734147</v>
      </c>
      <c r="Z291" s="10">
        <f t="shared" si="34"/>
        <v>3.8914733782636768E-2</v>
      </c>
      <c r="AA291" s="10">
        <f t="shared" si="35"/>
        <v>0.18014928040873146</v>
      </c>
      <c r="AB291" s="5">
        <v>54000</v>
      </c>
      <c r="AC291" s="6">
        <f>Table1[[#This Row],[2022 U.S. Sales ($000)]]/SUMIF($E:$E, E291, $AB:$AB)</f>
        <v>7.3166538015503992E-3</v>
      </c>
      <c r="AD291" s="5">
        <v>146</v>
      </c>
      <c r="AE291" s="5">
        <f t="shared" si="36"/>
        <v>369.86301369863014</v>
      </c>
      <c r="AF291" s="5">
        <v>43500</v>
      </c>
      <c r="AG291" s="6">
        <f>Table1[[#This Row],[2021 U.S. Sales ($000)]]/SUMIF($E:$E, E291, $AF:$AF)</f>
        <v>6.9534581865381053E-3</v>
      </c>
      <c r="AH291" s="5">
        <v>124</v>
      </c>
      <c r="AI291" s="12">
        <f t="shared" si="37"/>
        <v>350.80645161290323</v>
      </c>
      <c r="AJ291" s="5">
        <v>30500</v>
      </c>
      <c r="AK291" s="6">
        <f>Table1[[#This Row],[2020 U.S. Sales ($000)]]/SUMIF($E:$E, E291, $AJ:$AJ)</f>
        <v>6.608394350841173E-3</v>
      </c>
      <c r="AL291" s="5">
        <v>99</v>
      </c>
      <c r="AM291" s="5">
        <f t="shared" si="38"/>
        <v>308.08080808080808</v>
      </c>
      <c r="AN291" s="5">
        <v>28100</v>
      </c>
      <c r="AO291" s="6">
        <f>Table1[[#This Row],[2019 U.S. Sales ($000)]]/SUMIF($E:$E, E291, $AN:$AN)</f>
        <v>5.7857656575481487E-3</v>
      </c>
      <c r="AP291" s="5">
        <v>83</v>
      </c>
      <c r="AQ291" s="5">
        <f t="shared" si="39"/>
        <v>338.5542168674699</v>
      </c>
    </row>
    <row r="292" spans="1:43" x14ac:dyDescent="0.25">
      <c r="A292" t="s">
        <v>357</v>
      </c>
      <c r="B292">
        <v>61995</v>
      </c>
      <c r="C292" t="s">
        <v>68</v>
      </c>
      <c r="D292" t="s">
        <v>92</v>
      </c>
      <c r="E292" t="s">
        <v>93</v>
      </c>
      <c r="F292" s="5">
        <v>473</v>
      </c>
      <c r="G292" s="5">
        <v>0</v>
      </c>
      <c r="H292" s="6">
        <f>Table1[[#This Row],[2024 U.S. Sales ($000)]]/SUMIF($E:$E, E292, $G:$G)</f>
        <v>0</v>
      </c>
      <c r="I292" s="5">
        <v>0</v>
      </c>
      <c r="J292" s="5" t="e">
        <f>Table1[[#This Row],[2024 U.S. Sales ($000)]]/Table1[[#This Row],[2024 U.S. Units]]</f>
        <v>#DIV/0!</v>
      </c>
      <c r="K292" s="6">
        <f>Table1[[#This Row],[2024 U.S. Units]]/Table1[[#This Row],[2023 U.S. Units]]-1</f>
        <v>-1</v>
      </c>
      <c r="L292" s="8">
        <f>(Table1[[#This Row],[2024 Market share (%)]]-Table1[[#This Row],[2023 Market share (%)]])*10000</f>
        <v>-36.113573760974425</v>
      </c>
      <c r="M292" s="6">
        <f>_xlfn.RRI(5,Table1[[#This Row],[2019 U.S. Sales ($000)]],Table1[[#This Row],[2024 U.S. Sales ($000)]])</f>
        <v>-1</v>
      </c>
      <c r="N292" s="9">
        <f>(Table1[[#This Row],[2024 Market share (%)]]-Table1[[#This Row],[2019 Market share (%)]])*10000</f>
        <v>-17.350849822788216</v>
      </c>
      <c r="O292" s="6" t="e">
        <f>IF(Table1[[#This Row],[2024 AUV]]=0,"",_xlfn.RRI(5,Table1[[#This Row],[2019 AUV]],Table1[[#This Row],[2024 AUV]]))</f>
        <v>#DIV/0!</v>
      </c>
      <c r="P292" s="6">
        <f>_xlfn.RRI(5,Table1[[#This Row],[2019 U.S. Units]],Table1[[#This Row],[2024 U.S. Units]])</f>
        <v>-1</v>
      </c>
      <c r="Q292" s="5">
        <v>63200</v>
      </c>
      <c r="R292" s="6">
        <f>Table1[[#This Row],[2023 U.S. Sales ($000)]]/SUMIF($E:$E, E292, $Q:$Q)</f>
        <v>3.6113573760974426E-3</v>
      </c>
      <c r="S292" s="8">
        <f>(Table1[[#This Row],[2023 Market share (%)]]-Table1[[#This Row],[2022 Market share (%)]])*10000</f>
        <v>6.9303775180263756</v>
      </c>
      <c r="T292" s="10">
        <v>0.31120331950207469</v>
      </c>
      <c r="U292" s="5">
        <v>25</v>
      </c>
      <c r="V292" s="5">
        <f t="shared" si="32"/>
        <v>2528</v>
      </c>
      <c r="W292" s="10">
        <v>0.19047619047619047</v>
      </c>
      <c r="X292" s="10">
        <f t="shared" si="33"/>
        <v>0.21085582950323478</v>
      </c>
      <c r="Y292" s="8">
        <f>(Table1[[#This Row],[2023 Market share (%)]]-Table1[[#This Row],[2019 Market share (%)]])*10000</f>
        <v>18.762723938186209</v>
      </c>
      <c r="Z292" s="10">
        <f t="shared" si="34"/>
        <v>-1.3821327452184784E-2</v>
      </c>
      <c r="AA292" s="10">
        <f t="shared" si="35"/>
        <v>0.22782601490961185</v>
      </c>
      <c r="AB292" s="5">
        <v>48200</v>
      </c>
      <c r="AC292" s="6">
        <f>Table1[[#This Row],[2022 U.S. Sales ($000)]]/SUMIF($E:$E, E292, $AB:$AB)</f>
        <v>2.918319624294805E-3</v>
      </c>
      <c r="AD292" s="5">
        <v>21</v>
      </c>
      <c r="AE292" s="5">
        <f t="shared" si="36"/>
        <v>2295.2380952380954</v>
      </c>
      <c r="AF292" s="5">
        <v>34400</v>
      </c>
      <c r="AG292" s="6">
        <f>Table1[[#This Row],[2021 U.S. Sales ($000)]]/SUMIF($E:$E, E292, $AF:$AF)</f>
        <v>2.2785104079242353E-3</v>
      </c>
      <c r="AH292" s="5">
        <v>15</v>
      </c>
      <c r="AI292" s="12">
        <f t="shared" si="37"/>
        <v>2293.3333333333335</v>
      </c>
      <c r="AJ292" s="5">
        <v>23700</v>
      </c>
      <c r="AK292" s="6">
        <f>Table1[[#This Row],[2020 U.S. Sales ($000)]]/SUMIF($E:$E, E292, $AJ:$AJ)</f>
        <v>2.2207831380902632E-3</v>
      </c>
      <c r="AL292" s="5">
        <v>12</v>
      </c>
      <c r="AM292" s="5">
        <f t="shared" si="38"/>
        <v>1975</v>
      </c>
      <c r="AN292" s="5">
        <v>29400</v>
      </c>
      <c r="AO292" s="6">
        <f>Table1[[#This Row],[2019 U.S. Sales ($000)]]/SUMIF($E:$E, E292, $AN:$AN)</f>
        <v>1.7350849822788217E-3</v>
      </c>
      <c r="AP292" s="5">
        <v>11</v>
      </c>
      <c r="AQ292" s="5">
        <f t="shared" si="39"/>
        <v>2672.7272727272725</v>
      </c>
    </row>
    <row r="293" spans="1:43" x14ac:dyDescent="0.25">
      <c r="A293" t="s">
        <v>358</v>
      </c>
      <c r="B293">
        <v>563070</v>
      </c>
      <c r="C293" t="s">
        <v>68</v>
      </c>
      <c r="D293" t="s">
        <v>69</v>
      </c>
      <c r="E293" t="s">
        <v>79</v>
      </c>
      <c r="F293" s="5">
        <v>263</v>
      </c>
      <c r="G293" s="5">
        <v>0</v>
      </c>
      <c r="H293" s="6">
        <f>Table1[[#This Row],[2024 U.S. Sales ($000)]]/SUMIF($E:$E, E293, $G:$G)</f>
        <v>0</v>
      </c>
      <c r="I293" s="5">
        <v>0</v>
      </c>
      <c r="J293" s="5" t="e">
        <f>Table1[[#This Row],[2024 U.S. Sales ($000)]]/Table1[[#This Row],[2024 U.S. Units]]</f>
        <v>#DIV/0!</v>
      </c>
      <c r="K293" s="6">
        <f>Table1[[#This Row],[2024 U.S. Units]]/Table1[[#This Row],[2023 U.S. Units]]-1</f>
        <v>-1</v>
      </c>
      <c r="L293" s="8">
        <f>(Table1[[#This Row],[2024 Market share (%)]]-Table1[[#This Row],[2023 Market share (%)]])*10000</f>
        <v>-57.632056397036386</v>
      </c>
      <c r="M293" s="6">
        <f>_xlfn.RRI(5,Table1[[#This Row],[2019 U.S. Sales ($000)]],Table1[[#This Row],[2024 U.S. Sales ($000)]])</f>
        <v>-1</v>
      </c>
      <c r="N293" s="9">
        <f>(Table1[[#This Row],[2024 Market share (%)]]-Table1[[#This Row],[2019 Market share (%)]])*10000</f>
        <v>-28.550327352273296</v>
      </c>
      <c r="O293" s="6" t="e">
        <f>IF(Table1[[#This Row],[2024 AUV]]=0,"",_xlfn.RRI(5,Table1[[#This Row],[2019 AUV]],Table1[[#This Row],[2024 AUV]]))</f>
        <v>#DIV/0!</v>
      </c>
      <c r="P293" s="6">
        <f>_xlfn.RRI(5,Table1[[#This Row],[2019 U.S. Units]],Table1[[#This Row],[2024 U.S. Units]])</f>
        <v>-1</v>
      </c>
      <c r="Q293" s="5">
        <v>139024</v>
      </c>
      <c r="R293" s="6">
        <f>Table1[[#This Row],[2023 U.S. Sales ($000)]]/SUMIF($E:$E, E293, $Q:$Q)</f>
        <v>5.7632056397036386E-3</v>
      </c>
      <c r="S293" s="8">
        <f>(Table1[[#This Row],[2023 Market share (%)]]-Table1[[#This Row],[2022 Market share (%)]])*10000</f>
        <v>11.997888938347582</v>
      </c>
      <c r="T293" s="10">
        <v>0.29545179235349478</v>
      </c>
      <c r="U293" s="5">
        <v>24</v>
      </c>
      <c r="V293" s="5">
        <f t="shared" si="32"/>
        <v>5792.666666666667</v>
      </c>
      <c r="W293" s="10">
        <v>0.2</v>
      </c>
      <c r="X293" s="10">
        <f t="shared" si="33"/>
        <v>0.20839952541389994</v>
      </c>
      <c r="Y293" s="8">
        <f>(Table1[[#This Row],[2023 Market share (%)]]-Table1[[#This Row],[2019 Market share (%)]])*10000</f>
        <v>29.08172904476309</v>
      </c>
      <c r="Z293" s="10">
        <f t="shared" si="34"/>
        <v>1.6138829114838327E-2</v>
      </c>
      <c r="AA293" s="10">
        <f t="shared" si="35"/>
        <v>0.18920711500272103</v>
      </c>
      <c r="AB293" s="5">
        <v>107317</v>
      </c>
      <c r="AC293" s="6">
        <f>Table1[[#This Row],[2022 U.S. Sales ($000)]]/SUMIF($E:$E, E293, $AB:$AB)</f>
        <v>4.5634167458688804E-3</v>
      </c>
      <c r="AD293" s="5">
        <v>20</v>
      </c>
      <c r="AE293" s="5">
        <f t="shared" si="36"/>
        <v>5365.85</v>
      </c>
      <c r="AF293" s="5">
        <v>83300</v>
      </c>
      <c r="AG293" s="6">
        <f>Table1[[#This Row],[2021 U.S. Sales ($000)]]/SUMIF($E:$E, E293, $AF:$AF)</f>
        <v>3.8351564138386991E-3</v>
      </c>
      <c r="AH293" s="5">
        <v>15</v>
      </c>
      <c r="AI293" s="12">
        <f t="shared" si="37"/>
        <v>5553.333333333333</v>
      </c>
      <c r="AJ293" s="5">
        <v>50000</v>
      </c>
      <c r="AK293" s="6">
        <f>Table1[[#This Row],[2020 U.S. Sales ($000)]]/SUMIF($E:$E, E293, $AJ:$AJ)</f>
        <v>3.0663000925348041E-3</v>
      </c>
      <c r="AL293" s="5">
        <v>14</v>
      </c>
      <c r="AM293" s="5">
        <f t="shared" si="38"/>
        <v>3571.4285714285716</v>
      </c>
      <c r="AN293" s="5">
        <v>65200</v>
      </c>
      <c r="AO293" s="6">
        <f>Table1[[#This Row],[2019 U.S. Sales ($000)]]/SUMIF($E:$E, E293, $AN:$AN)</f>
        <v>2.8550327352273295E-3</v>
      </c>
      <c r="AP293" s="5">
        <v>12</v>
      </c>
      <c r="AQ293" s="5">
        <f t="shared" si="39"/>
        <v>5433.333333333333</v>
      </c>
    </row>
    <row r="294" spans="1:43" x14ac:dyDescent="0.25">
      <c r="A294" t="s">
        <v>359</v>
      </c>
      <c r="B294">
        <v>62256</v>
      </c>
      <c r="C294" t="s">
        <v>44</v>
      </c>
      <c r="D294" t="s">
        <v>45</v>
      </c>
      <c r="E294" t="s">
        <v>112</v>
      </c>
      <c r="F294" s="5">
        <v>407</v>
      </c>
      <c r="G294" s="5">
        <v>0</v>
      </c>
      <c r="H294" s="6">
        <f>Table1[[#This Row],[2024 U.S. Sales ($000)]]/SUMIF($E:$E, E294, $G:$G)</f>
        <v>0</v>
      </c>
      <c r="I294" s="5">
        <v>0</v>
      </c>
      <c r="J294" s="5" t="e">
        <f>Table1[[#This Row],[2024 U.S. Sales ($000)]]/Table1[[#This Row],[2024 U.S. Units]]</f>
        <v>#DIV/0!</v>
      </c>
      <c r="K294" s="6">
        <f>Table1[[#This Row],[2024 U.S. Units]]/Table1[[#This Row],[2023 U.S. Units]]-1</f>
        <v>-1</v>
      </c>
      <c r="L294" s="8">
        <f>(Table1[[#This Row],[2024 Market share (%)]]-Table1[[#This Row],[2023 Market share (%)]])*10000</f>
        <v>-93.772684137951714</v>
      </c>
      <c r="M294" s="6">
        <f>_xlfn.RRI(5,Table1[[#This Row],[2019 U.S. Sales ($000)]],Table1[[#This Row],[2024 U.S. Sales ($000)]])</f>
        <v>-1</v>
      </c>
      <c r="N294" s="9">
        <f>(Table1[[#This Row],[2024 Market share (%)]]-Table1[[#This Row],[2019 Market share (%)]])*10000</f>
        <v>-77.418074278936089</v>
      </c>
      <c r="O294" s="6" t="e">
        <f>IF(Table1[[#This Row],[2024 AUV]]=0,"",_xlfn.RRI(5,Table1[[#This Row],[2019 AUV]],Table1[[#This Row],[2024 AUV]]))</f>
        <v>#DIV/0!</v>
      </c>
      <c r="P294" s="6">
        <f>_xlfn.RRI(5,Table1[[#This Row],[2019 U.S. Units]],Table1[[#This Row],[2024 U.S. Units]])</f>
        <v>-1</v>
      </c>
      <c r="Q294" s="5">
        <v>77600</v>
      </c>
      <c r="R294" s="6">
        <f>Table1[[#This Row],[2023 U.S. Sales ($000)]]/SUMIF($E:$E, E294, $Q:$Q)</f>
        <v>9.3772684137951711E-3</v>
      </c>
      <c r="S294" s="8">
        <f>(Table1[[#This Row],[2023 Market share (%)]]-Table1[[#This Row],[2022 Market share (%)]])*10000</f>
        <v>-2.1567768157090828</v>
      </c>
      <c r="T294" s="10">
        <v>9.6045197740112997E-2</v>
      </c>
      <c r="U294" s="5">
        <v>139</v>
      </c>
      <c r="V294" s="5">
        <f t="shared" si="32"/>
        <v>558.273381294964</v>
      </c>
      <c r="W294" s="10">
        <v>2.9629629629629631E-2</v>
      </c>
      <c r="X294" s="10">
        <f t="shared" si="33"/>
        <v>0.1985839810054868</v>
      </c>
      <c r="Y294" s="8">
        <f>(Table1[[#This Row],[2023 Market share (%)]]-Table1[[#This Row],[2019 Market share (%)]])*10000</f>
        <v>16.354609859015628</v>
      </c>
      <c r="Z294" s="10">
        <f t="shared" si="34"/>
        <v>5.6780012297077187E-2</v>
      </c>
      <c r="AA294" s="10">
        <f t="shared" si="35"/>
        <v>0.1341849458338793</v>
      </c>
      <c r="AB294" s="5">
        <v>70800</v>
      </c>
      <c r="AC294" s="6">
        <f>Table1[[#This Row],[2022 U.S. Sales ($000)]]/SUMIF($E:$E, E294, $AB:$AB)</f>
        <v>9.5929460953660794E-3</v>
      </c>
      <c r="AD294" s="5">
        <v>135</v>
      </c>
      <c r="AE294" s="5">
        <f t="shared" si="36"/>
        <v>524.44444444444446</v>
      </c>
      <c r="AF294" s="5">
        <v>58711</v>
      </c>
      <c r="AG294" s="6">
        <f>Table1[[#This Row],[2021 U.S. Sales ($000)]]/SUMIF($E:$E, E294, $AF:$AF)</f>
        <v>9.3849306572376702E-3</v>
      </c>
      <c r="AH294" s="5">
        <v>120</v>
      </c>
      <c r="AI294" s="12">
        <f t="shared" si="37"/>
        <v>489.25833333333333</v>
      </c>
      <c r="AJ294" s="5">
        <v>41138</v>
      </c>
      <c r="AK294" s="6">
        <f>Table1[[#This Row],[2020 U.S. Sales ($000)]]/SUMIF($E:$E, E294, $AJ:$AJ)</f>
        <v>8.9133156329476767E-3</v>
      </c>
      <c r="AL294" s="5">
        <v>103</v>
      </c>
      <c r="AM294" s="5">
        <f t="shared" si="38"/>
        <v>399.39805825242718</v>
      </c>
      <c r="AN294" s="5">
        <v>37600</v>
      </c>
      <c r="AO294" s="6">
        <f>Table1[[#This Row],[2019 U.S. Sales ($000)]]/SUMIF($E:$E, E294, $AN:$AN)</f>
        <v>7.7418074278936084E-3</v>
      </c>
      <c r="AP294" s="5">
        <v>84</v>
      </c>
      <c r="AQ294" s="5">
        <f t="shared" si="39"/>
        <v>447.61904761904759</v>
      </c>
    </row>
    <row r="295" spans="1:43" x14ac:dyDescent="0.25">
      <c r="A295" t="s">
        <v>360</v>
      </c>
      <c r="B295">
        <v>38209</v>
      </c>
      <c r="C295" t="s">
        <v>44</v>
      </c>
      <c r="D295" t="s">
        <v>56</v>
      </c>
      <c r="E295" t="s">
        <v>63</v>
      </c>
      <c r="F295" s="5">
        <v>393</v>
      </c>
      <c r="G295" s="5">
        <v>0</v>
      </c>
      <c r="H295" s="6">
        <f>Table1[[#This Row],[2024 U.S. Sales ($000)]]/SUMIF($E:$E, E295, $G:$G)</f>
        <v>0</v>
      </c>
      <c r="I295" s="5">
        <v>0</v>
      </c>
      <c r="J295" s="5" t="e">
        <f>Table1[[#This Row],[2024 U.S. Sales ($000)]]/Table1[[#This Row],[2024 U.S. Units]]</f>
        <v>#DIV/0!</v>
      </c>
      <c r="K295" s="6">
        <f>Table1[[#This Row],[2024 U.S. Units]]/Table1[[#This Row],[2023 U.S. Units]]-1</f>
        <v>-1</v>
      </c>
      <c r="L295" s="8">
        <f>(Table1[[#This Row],[2024 Market share (%)]]-Table1[[#This Row],[2023 Market share (%)]])*10000</f>
        <v>-96.387199489293153</v>
      </c>
      <c r="M295" s="6">
        <f>_xlfn.RRI(5,Table1[[#This Row],[2019 U.S. Sales ($000)]],Table1[[#This Row],[2024 U.S. Sales ($000)]])</f>
        <v>-1</v>
      </c>
      <c r="N295" s="9">
        <f>(Table1[[#This Row],[2024 Market share (%)]]-Table1[[#This Row],[2019 Market share (%)]])*10000</f>
        <v>-67.00793298521198</v>
      </c>
      <c r="O295" s="6" t="e">
        <f>IF(Table1[[#This Row],[2024 AUV]]=0,"",_xlfn.RRI(5,Table1[[#This Row],[2019 AUV]],Table1[[#This Row],[2024 AUV]]))</f>
        <v>#DIV/0!</v>
      </c>
      <c r="P295" s="6">
        <f>_xlfn.RRI(5,Table1[[#This Row],[2019 U.S. Units]],Table1[[#This Row],[2024 U.S. Units]])</f>
        <v>-1</v>
      </c>
      <c r="Q295" s="5">
        <v>79600</v>
      </c>
      <c r="R295" s="6">
        <f>Table1[[#This Row],[2023 U.S. Sales ($000)]]/SUMIF($E:$E, E295, $Q:$Q)</f>
        <v>9.6387199489293158E-3</v>
      </c>
      <c r="S295" s="8">
        <f>(Table1[[#This Row],[2023 Market share (%)]]-Table1[[#This Row],[2022 Market share (%)]])*10000</f>
        <v>21.69735302163636</v>
      </c>
      <c r="T295" s="10">
        <v>0.40140845070422537</v>
      </c>
      <c r="U295" s="5">
        <v>50</v>
      </c>
      <c r="V295" s="5">
        <f t="shared" si="32"/>
        <v>1592</v>
      </c>
      <c r="W295" s="10">
        <v>0.31578947368421051</v>
      </c>
      <c r="X295" s="10">
        <f t="shared" si="33"/>
        <v>0.19449428872814067</v>
      </c>
      <c r="Y295" s="8">
        <f>(Table1[[#This Row],[2023 Market share (%)]]-Table1[[#This Row],[2019 Market share (%)]])*10000</f>
        <v>29.379266504081176</v>
      </c>
      <c r="Z295" s="10">
        <f t="shared" si="34"/>
        <v>-5.7527763507193574E-3</v>
      </c>
      <c r="AA295" s="10">
        <f t="shared" si="35"/>
        <v>0.20140570706737715</v>
      </c>
      <c r="AB295" s="5">
        <v>56800</v>
      </c>
      <c r="AC295" s="6">
        <f>Table1[[#This Row],[2022 U.S. Sales ($000)]]/SUMIF($E:$E, E295, $AB:$AB)</f>
        <v>7.4689846467656798E-3</v>
      </c>
      <c r="AD295" s="5">
        <v>38</v>
      </c>
      <c r="AE295" s="5">
        <f t="shared" si="36"/>
        <v>1494.7368421052631</v>
      </c>
      <c r="AF295" s="5">
        <v>41900</v>
      </c>
      <c r="AG295" s="6">
        <f>Table1[[#This Row],[2021 U.S. Sales ($000)]]/SUMIF($E:$E, E295, $AF:$AF)</f>
        <v>6.324511118309414E-3</v>
      </c>
      <c r="AH295" s="5">
        <v>28</v>
      </c>
      <c r="AI295" s="12">
        <f t="shared" si="37"/>
        <v>1496.4285714285713</v>
      </c>
      <c r="AJ295" s="5">
        <v>33800</v>
      </c>
      <c r="AK295" s="6">
        <f>Table1[[#This Row],[2020 U.S. Sales ($000)]]/SUMIF($E:$E, E295, $AJ:$AJ)</f>
        <v>6.1623404787919771E-3</v>
      </c>
      <c r="AL295" s="5">
        <v>25</v>
      </c>
      <c r="AM295" s="5">
        <f t="shared" si="38"/>
        <v>1352</v>
      </c>
      <c r="AN295" s="5">
        <v>39100</v>
      </c>
      <c r="AO295" s="6">
        <f>Table1[[#This Row],[2019 U.S. Sales ($000)]]/SUMIF($E:$E, E295, $AN:$AN)</f>
        <v>6.7007932985211982E-3</v>
      </c>
      <c r="AP295" s="5">
        <v>24</v>
      </c>
      <c r="AQ295" s="5">
        <f t="shared" si="39"/>
        <v>1629.1666666666667</v>
      </c>
    </row>
    <row r="296" spans="1:43" x14ac:dyDescent="0.25">
      <c r="A296" t="s">
        <v>361</v>
      </c>
      <c r="B296">
        <v>5962</v>
      </c>
      <c r="C296" t="s">
        <v>44</v>
      </c>
      <c r="D296" t="s">
        <v>45</v>
      </c>
      <c r="E296" t="s">
        <v>59</v>
      </c>
      <c r="F296" s="5">
        <v>272</v>
      </c>
      <c r="G296" s="5">
        <v>0</v>
      </c>
      <c r="H296" s="6">
        <f>Table1[[#This Row],[2024 U.S. Sales ($000)]]/SUMIF($E:$E, E296, $G:$G)</f>
        <v>0</v>
      </c>
      <c r="I296" s="5">
        <v>0</v>
      </c>
      <c r="J296" s="5" t="e">
        <f>Table1[[#This Row],[2024 U.S. Sales ($000)]]/Table1[[#This Row],[2024 U.S. Units]]</f>
        <v>#DIV/0!</v>
      </c>
      <c r="K296" s="6">
        <f>Table1[[#This Row],[2024 U.S. Units]]/Table1[[#This Row],[2023 U.S. Units]]-1</f>
        <v>-1</v>
      </c>
      <c r="L296" s="8">
        <f>(Table1[[#This Row],[2024 Market share (%)]]-Table1[[#This Row],[2023 Market share (%)]])*10000</f>
        <v>-35.026935528093404</v>
      </c>
      <c r="M296" s="6">
        <f>_xlfn.RRI(5,Table1[[#This Row],[2019 U.S. Sales ($000)]],Table1[[#This Row],[2024 U.S. Sales ($000)]])</f>
        <v>-1</v>
      </c>
      <c r="N296" s="9">
        <f>(Table1[[#This Row],[2024 Market share (%)]]-Table1[[#This Row],[2019 Market share (%)]])*10000</f>
        <v>-20.002809130482273</v>
      </c>
      <c r="O296" s="6" t="e">
        <f>IF(Table1[[#This Row],[2024 AUV]]=0,"",_xlfn.RRI(5,Table1[[#This Row],[2019 AUV]],Table1[[#This Row],[2024 AUV]]))</f>
        <v>#DIV/0!</v>
      </c>
      <c r="P296" s="6">
        <f>_xlfn.RRI(5,Table1[[#This Row],[2019 U.S. Units]],Table1[[#This Row],[2024 U.S. Units]])</f>
        <v>-1</v>
      </c>
      <c r="Q296" s="5">
        <v>132300</v>
      </c>
      <c r="R296" s="6">
        <f>Table1[[#This Row],[2023 U.S. Sales ($000)]]/SUMIF($E:$E, E296, $Q:$Q)</f>
        <v>3.5026935528093403E-3</v>
      </c>
      <c r="S296" s="8">
        <f>(Table1[[#This Row],[2023 Market share (%)]]-Table1[[#This Row],[2022 Market share (%)]])*10000</f>
        <v>1.5562178505870456</v>
      </c>
      <c r="T296" s="10">
        <v>0.10469097042467561</v>
      </c>
      <c r="U296" s="5">
        <v>154</v>
      </c>
      <c r="V296" s="5">
        <f t="shared" si="32"/>
        <v>859.09090909090912</v>
      </c>
      <c r="W296" s="10">
        <v>6.2068965517241378E-2</v>
      </c>
      <c r="X296" s="10">
        <f t="shared" si="33"/>
        <v>0.19288022796648785</v>
      </c>
      <c r="Y296" s="8">
        <f>(Table1[[#This Row],[2023 Market share (%)]]-Table1[[#This Row],[2019 Market share (%)]])*10000</f>
        <v>15.024126397611129</v>
      </c>
      <c r="Z296" s="10">
        <f t="shared" si="34"/>
        <v>8.3961818208738492E-2</v>
      </c>
      <c r="AA296" s="10">
        <f t="shared" si="35"/>
        <v>0.10048177705902828</v>
      </c>
      <c r="AB296" s="5">
        <v>119762</v>
      </c>
      <c r="AC296" s="6">
        <f>Table1[[#This Row],[2022 U.S. Sales ($000)]]/SUMIF($E:$E, E296, $AB:$AB)</f>
        <v>3.3470717677506357E-3</v>
      </c>
      <c r="AD296" s="5">
        <v>145</v>
      </c>
      <c r="AE296" s="5">
        <f t="shared" si="36"/>
        <v>825.94482758620688</v>
      </c>
      <c r="AF296" s="5">
        <v>104989</v>
      </c>
      <c r="AG296" s="6">
        <f>Table1[[#This Row],[2021 U.S. Sales ($000)]]/SUMIF($E:$E, E296, $AF:$AF)</f>
        <v>3.1644014914151042E-3</v>
      </c>
      <c r="AH296" s="5">
        <v>124</v>
      </c>
      <c r="AI296" s="12">
        <f t="shared" si="37"/>
        <v>846.68548387096769</v>
      </c>
      <c r="AJ296" s="5">
        <v>75900</v>
      </c>
      <c r="AK296" s="6">
        <f>Table1[[#This Row],[2020 U.S. Sales ($000)]]/SUMIF($E:$E, E296, $AJ:$AJ)</f>
        <v>2.6650789958909326E-3</v>
      </c>
      <c r="AL296" s="5">
        <v>115</v>
      </c>
      <c r="AM296" s="5">
        <f t="shared" si="38"/>
        <v>660</v>
      </c>
      <c r="AN296" s="5">
        <v>65339</v>
      </c>
      <c r="AO296" s="6">
        <f>Table1[[#This Row],[2019 U.S. Sales ($000)]]/SUMIF($E:$E, E296, $AN:$AN)</f>
        <v>2.0002809130482274E-3</v>
      </c>
      <c r="AP296" s="5">
        <v>105</v>
      </c>
      <c r="AQ296" s="5">
        <f t="shared" si="39"/>
        <v>622.27619047619044</v>
      </c>
    </row>
    <row r="297" spans="1:43" x14ac:dyDescent="0.25">
      <c r="A297" t="s">
        <v>362</v>
      </c>
      <c r="B297">
        <v>563016</v>
      </c>
      <c r="C297" t="s">
        <v>68</v>
      </c>
      <c r="D297" t="s">
        <v>69</v>
      </c>
      <c r="E297" t="s">
        <v>125</v>
      </c>
      <c r="F297" s="5">
        <v>448</v>
      </c>
      <c r="G297" s="5">
        <v>0</v>
      </c>
      <c r="H297" s="6">
        <f>Table1[[#This Row],[2024 U.S. Sales ($000)]]/SUMIF($E:$E, E297, $G:$G)</f>
        <v>0</v>
      </c>
      <c r="I297" s="5">
        <v>0</v>
      </c>
      <c r="J297" s="5" t="e">
        <f>Table1[[#This Row],[2024 U.S. Sales ($000)]]/Table1[[#This Row],[2024 U.S. Units]]</f>
        <v>#DIV/0!</v>
      </c>
      <c r="K297" s="6">
        <f>Table1[[#This Row],[2024 U.S. Units]]/Table1[[#This Row],[2023 U.S. Units]]-1</f>
        <v>-1</v>
      </c>
      <c r="L297" s="8">
        <f>(Table1[[#This Row],[2024 Market share (%)]]-Table1[[#This Row],[2023 Market share (%)]])*10000</f>
        <v>-191.15099299840301</v>
      </c>
      <c r="M297" s="6">
        <f>_xlfn.RRI(5,Table1[[#This Row],[2019 U.S. Sales ($000)]],Table1[[#This Row],[2024 U.S. Sales ($000)]])</f>
        <v>-1</v>
      </c>
      <c r="N297" s="9">
        <f>(Table1[[#This Row],[2024 Market share (%)]]-Table1[[#This Row],[2019 Market share (%)]])*10000</f>
        <v>-128.82137108879297</v>
      </c>
      <c r="O297" s="6" t="e">
        <f>IF(Table1[[#This Row],[2024 AUV]]=0,"",_xlfn.RRI(5,Table1[[#This Row],[2019 AUV]],Table1[[#This Row],[2024 AUV]]))</f>
        <v>#DIV/0!</v>
      </c>
      <c r="P297" s="6">
        <f>_xlfn.RRI(5,Table1[[#This Row],[2019 U.S. Units]],Table1[[#This Row],[2024 U.S. Units]])</f>
        <v>-1</v>
      </c>
      <c r="Q297" s="5">
        <v>67723</v>
      </c>
      <c r="R297" s="6">
        <f>Table1[[#This Row],[2023 U.S. Sales ($000)]]/SUMIF($E:$E, E297, $Q:$Q)</f>
        <v>1.9115099299840302E-2</v>
      </c>
      <c r="S297" s="8">
        <f>(Table1[[#This Row],[2023 Market share (%)]]-Table1[[#This Row],[2022 Market share (%)]])*10000</f>
        <v>-4.1437390021966873</v>
      </c>
      <c r="T297" s="10">
        <v>0.10149146918660443</v>
      </c>
      <c r="U297" s="5">
        <v>64</v>
      </c>
      <c r="V297" s="5">
        <f t="shared" si="32"/>
        <v>1058.171875</v>
      </c>
      <c r="W297" s="10">
        <v>0.10344827586206896</v>
      </c>
      <c r="X297" s="10">
        <f t="shared" si="33"/>
        <v>0.18625353755290086</v>
      </c>
      <c r="Y297" s="8">
        <f>(Table1[[#This Row],[2023 Market share (%)]]-Table1[[#This Row],[2019 Market share (%)]])*10000</f>
        <v>62.329621909610054</v>
      </c>
      <c r="Z297" s="10">
        <f t="shared" si="34"/>
        <v>2.0115950300835905E-2</v>
      </c>
      <c r="AA297" s="10">
        <f t="shared" si="35"/>
        <v>0.16286147393643868</v>
      </c>
      <c r="AB297" s="5">
        <v>61483</v>
      </c>
      <c r="AC297" s="6">
        <f>Table1[[#This Row],[2022 U.S. Sales ($000)]]/SUMIF($E:$E, E297, $AB:$AB)</f>
        <v>1.9529473200059971E-2</v>
      </c>
      <c r="AD297" s="5">
        <v>58</v>
      </c>
      <c r="AE297" s="5">
        <f t="shared" si="36"/>
        <v>1060.0517241379309</v>
      </c>
      <c r="AF297" s="5">
        <v>49875</v>
      </c>
      <c r="AG297" s="6">
        <f>Table1[[#This Row],[2021 U.S. Sales ($000)]]/SUMIF($E:$E, E297, $AF:$AF)</f>
        <v>1.8754540572980826E-2</v>
      </c>
      <c r="AH297" s="5">
        <v>51</v>
      </c>
      <c r="AI297" s="12">
        <f t="shared" si="37"/>
        <v>977.94117647058829</v>
      </c>
      <c r="AJ297" s="5">
        <v>32700</v>
      </c>
      <c r="AK297" s="6">
        <f>Table1[[#This Row],[2020 U.S. Sales ($000)]]/SUMIF($E:$E, E297, $AJ:$AJ)</f>
        <v>1.7256036842430218E-2</v>
      </c>
      <c r="AL297" s="5">
        <v>45</v>
      </c>
      <c r="AM297" s="5">
        <f t="shared" si="38"/>
        <v>726.66666666666663</v>
      </c>
      <c r="AN297" s="5">
        <v>34200</v>
      </c>
      <c r="AO297" s="6">
        <f>Table1[[#This Row],[2019 U.S. Sales ($000)]]/SUMIF($E:$E, E297, $AN:$AN)</f>
        <v>1.2882137108879296E-2</v>
      </c>
      <c r="AP297" s="5">
        <v>35</v>
      </c>
      <c r="AQ297" s="5">
        <f t="shared" si="39"/>
        <v>977.14285714285711</v>
      </c>
    </row>
    <row r="298" spans="1:43" x14ac:dyDescent="0.25">
      <c r="A298" t="s">
        <v>363</v>
      </c>
      <c r="B298">
        <v>35686</v>
      </c>
      <c r="C298" t="s">
        <v>68</v>
      </c>
      <c r="D298" t="s">
        <v>69</v>
      </c>
      <c r="E298" t="s">
        <v>79</v>
      </c>
      <c r="F298" s="5">
        <v>339</v>
      </c>
      <c r="G298" s="5">
        <v>0</v>
      </c>
      <c r="H298" s="6">
        <f>Table1[[#This Row],[2024 U.S. Sales ($000)]]/SUMIF($E:$E, E298, $G:$G)</f>
        <v>0</v>
      </c>
      <c r="I298" s="5">
        <v>0</v>
      </c>
      <c r="J298" s="5" t="e">
        <f>Table1[[#This Row],[2024 U.S. Sales ($000)]]/Table1[[#This Row],[2024 U.S. Units]]</f>
        <v>#DIV/0!</v>
      </c>
      <c r="K298" s="6">
        <f>Table1[[#This Row],[2024 U.S. Units]]/Table1[[#This Row],[2023 U.S. Units]]-1</f>
        <v>-1</v>
      </c>
      <c r="L298" s="8">
        <f>(Table1[[#This Row],[2024 Market share (%)]]-Table1[[#This Row],[2023 Market share (%)]])*10000</f>
        <v>-40.667113106724521</v>
      </c>
      <c r="M298" s="6">
        <f>_xlfn.RRI(5,Table1[[#This Row],[2019 U.S. Sales ($000)]],Table1[[#This Row],[2024 U.S. Sales ($000)]])</f>
        <v>-1</v>
      </c>
      <c r="N298" s="9">
        <f>(Table1[[#This Row],[2024 Market share (%)]]-Table1[[#This Row],[2019 Market share (%)]])*10000</f>
        <v>-21.8944228161605</v>
      </c>
      <c r="O298" s="6" t="e">
        <f>IF(Table1[[#This Row],[2024 AUV]]=0,"",_xlfn.RRI(5,Table1[[#This Row],[2019 AUV]],Table1[[#This Row],[2024 AUV]]))</f>
        <v>#DIV/0!</v>
      </c>
      <c r="P298" s="6">
        <f>_xlfn.RRI(5,Table1[[#This Row],[2019 U.S. Units]],Table1[[#This Row],[2024 U.S. Units]])</f>
        <v>-1</v>
      </c>
      <c r="Q298" s="5">
        <v>98100</v>
      </c>
      <c r="R298" s="6">
        <f>Table1[[#This Row],[2023 U.S. Sales ($000)]]/SUMIF($E:$E, E298, $Q:$Q)</f>
        <v>4.0667113106724519E-3</v>
      </c>
      <c r="S298" s="8">
        <f>(Table1[[#This Row],[2023 Market share (%)]]-Table1[[#This Row],[2022 Market share (%)]])*10000</f>
        <v>9.5404411164897898</v>
      </c>
      <c r="T298" s="10">
        <v>0.3401639344262295</v>
      </c>
      <c r="U298" s="5">
        <v>25</v>
      </c>
      <c r="V298" s="5">
        <f t="shared" si="32"/>
        <v>3924</v>
      </c>
      <c r="W298" s="10">
        <v>0.25</v>
      </c>
      <c r="X298" s="10">
        <f t="shared" si="33"/>
        <v>0.18351768199357732</v>
      </c>
      <c r="Y298" s="8">
        <f>(Table1[[#This Row],[2023 Market share (%)]]-Table1[[#This Row],[2019 Market share (%)]])*10000</f>
        <v>18.772690290564018</v>
      </c>
      <c r="Z298" s="10">
        <f t="shared" si="34"/>
        <v>5.0220418244120157E-3</v>
      </c>
      <c r="AA298" s="10">
        <f t="shared" si="35"/>
        <v>0.17760370692481797</v>
      </c>
      <c r="AB298" s="5">
        <v>73200</v>
      </c>
      <c r="AC298" s="6">
        <f>Table1[[#This Row],[2022 U.S. Sales ($000)]]/SUMIF($E:$E, E298, $AB:$AB)</f>
        <v>3.112667199023473E-3</v>
      </c>
      <c r="AD298" s="5">
        <v>20</v>
      </c>
      <c r="AE298" s="5">
        <f t="shared" si="36"/>
        <v>3660</v>
      </c>
      <c r="AF298" s="5">
        <v>55400</v>
      </c>
      <c r="AG298" s="6">
        <f>Table1[[#This Row],[2021 U.S. Sales ($000)]]/SUMIF($E:$E, E298, $AF:$AF)</f>
        <v>2.550632236814693E-3</v>
      </c>
      <c r="AH298" s="5">
        <v>16</v>
      </c>
      <c r="AI298" s="12">
        <f t="shared" si="37"/>
        <v>3462.5</v>
      </c>
      <c r="AJ298" s="5">
        <v>40500</v>
      </c>
      <c r="AK298" s="6">
        <f>Table1[[#This Row],[2020 U.S. Sales ($000)]]/SUMIF($E:$E, E298, $AJ:$AJ)</f>
        <v>2.4837030749531915E-3</v>
      </c>
      <c r="AL298" s="5">
        <v>14</v>
      </c>
      <c r="AM298" s="5">
        <f t="shared" si="38"/>
        <v>2892.8571428571427</v>
      </c>
      <c r="AN298" s="5">
        <v>50000</v>
      </c>
      <c r="AO298" s="6">
        <f>Table1[[#This Row],[2019 U.S. Sales ($000)]]/SUMIF($E:$E, E298, $AN:$AN)</f>
        <v>2.1894422816160501E-3</v>
      </c>
      <c r="AP298" s="5">
        <v>13</v>
      </c>
      <c r="AQ298" s="5">
        <f t="shared" si="39"/>
        <v>3846.1538461538462</v>
      </c>
    </row>
    <row r="299" spans="1:43" x14ac:dyDescent="0.25">
      <c r="A299" t="s">
        <v>364</v>
      </c>
      <c r="B299">
        <v>33423</v>
      </c>
      <c r="C299" t="s">
        <v>44</v>
      </c>
      <c r="D299" t="s">
        <v>56</v>
      </c>
      <c r="E299" t="s">
        <v>59</v>
      </c>
      <c r="F299" s="5">
        <v>406</v>
      </c>
      <c r="G299" s="5">
        <v>0</v>
      </c>
      <c r="H299" s="6">
        <f>Table1[[#This Row],[2024 U.S. Sales ($000)]]/SUMIF($E:$E, E299, $G:$G)</f>
        <v>0</v>
      </c>
      <c r="I299" s="5">
        <v>0</v>
      </c>
      <c r="J299" s="5" t="e">
        <f>Table1[[#This Row],[2024 U.S. Sales ($000)]]/Table1[[#This Row],[2024 U.S. Units]]</f>
        <v>#DIV/0!</v>
      </c>
      <c r="K299" s="6">
        <f>Table1[[#This Row],[2024 U.S. Units]]/Table1[[#This Row],[2023 U.S. Units]]-1</f>
        <v>-1</v>
      </c>
      <c r="L299" s="8">
        <f>(Table1[[#This Row],[2024 Market share (%)]]-Table1[[#This Row],[2023 Market share (%)]])*10000</f>
        <v>-20.571374833959617</v>
      </c>
      <c r="M299" s="6">
        <f>_xlfn.RRI(5,Table1[[#This Row],[2019 U.S. Sales ($000)]],Table1[[#This Row],[2024 U.S. Sales ($000)]])</f>
        <v>-1</v>
      </c>
      <c r="N299" s="9">
        <f>(Table1[[#This Row],[2024 Market share (%)]]-Table1[[#This Row],[2019 Market share (%)]])*10000</f>
        <v>-12.153714052558906</v>
      </c>
      <c r="O299" s="6" t="e">
        <f>IF(Table1[[#This Row],[2024 AUV]]=0,"",_xlfn.RRI(5,Table1[[#This Row],[2019 AUV]],Table1[[#This Row],[2024 AUV]]))</f>
        <v>#DIV/0!</v>
      </c>
      <c r="P299" s="6">
        <f>_xlfn.RRI(5,Table1[[#This Row],[2019 U.S. Units]],Table1[[#This Row],[2024 U.S. Units]])</f>
        <v>-1</v>
      </c>
      <c r="Q299" s="5">
        <v>77700</v>
      </c>
      <c r="R299" s="6">
        <f>Table1[[#This Row],[2023 U.S. Sales ($000)]]/SUMIF($E:$E, E299, $Q:$Q)</f>
        <v>2.0571374833959618E-3</v>
      </c>
      <c r="S299" s="8">
        <f>(Table1[[#This Row],[2023 Market share (%)]]-Table1[[#This Row],[2022 Market share (%)]])*10000</f>
        <v>3.4953336013846914</v>
      </c>
      <c r="T299" s="10">
        <v>0.27168576104746317</v>
      </c>
      <c r="U299" s="5">
        <v>63</v>
      </c>
      <c r="V299" s="5">
        <f t="shared" si="32"/>
        <v>1233.3333333333333</v>
      </c>
      <c r="W299" s="10">
        <v>0.18867924528301888</v>
      </c>
      <c r="X299" s="10">
        <f t="shared" si="33"/>
        <v>0.18278995620646721</v>
      </c>
      <c r="Y299" s="8">
        <f>(Table1[[#This Row],[2023 Market share (%)]]-Table1[[#This Row],[2019 Market share (%)]])*10000</f>
        <v>8.4176607814007127</v>
      </c>
      <c r="Z299" s="10">
        <f t="shared" si="34"/>
        <v>6.2386057304659737E-3</v>
      </c>
      <c r="AA299" s="10">
        <f t="shared" si="35"/>
        <v>0.17545674502106401</v>
      </c>
      <c r="AB299" s="5">
        <v>61100</v>
      </c>
      <c r="AC299" s="6">
        <f>Table1[[#This Row],[2022 U.S. Sales ($000)]]/SUMIF($E:$E, E299, $AB:$AB)</f>
        <v>1.7076041232574927E-3</v>
      </c>
      <c r="AD299" s="5">
        <v>53</v>
      </c>
      <c r="AE299" s="5">
        <f t="shared" si="36"/>
        <v>1152.8301886792453</v>
      </c>
      <c r="AF299" s="5">
        <v>49500</v>
      </c>
      <c r="AG299" s="6">
        <f>Table1[[#This Row],[2021 U.S. Sales ($000)]]/SUMIF($E:$E, E299, $AF:$AF)</f>
        <v>1.4919455735843531E-3</v>
      </c>
      <c r="AH299" s="5">
        <v>44</v>
      </c>
      <c r="AI299" s="12">
        <f t="shared" si="37"/>
        <v>1125</v>
      </c>
      <c r="AJ299" s="5">
        <v>37000</v>
      </c>
      <c r="AK299" s="6">
        <f>Table1[[#This Row],[2020 U.S. Sales ($000)]]/SUMIF($E:$E, E299, $AJ:$AJ)</f>
        <v>1.2991821192090186E-3</v>
      </c>
      <c r="AL299" s="5">
        <v>41</v>
      </c>
      <c r="AM299" s="5">
        <f t="shared" si="38"/>
        <v>902.43902439024396</v>
      </c>
      <c r="AN299" s="5">
        <v>39700</v>
      </c>
      <c r="AO299" s="6">
        <f>Table1[[#This Row],[2019 U.S. Sales ($000)]]/SUMIF($E:$E, E299, $AN:$AN)</f>
        <v>1.2153714052558905E-3</v>
      </c>
      <c r="AP299" s="5">
        <v>33</v>
      </c>
      <c r="AQ299" s="5">
        <f t="shared" si="39"/>
        <v>1203.030303030303</v>
      </c>
    </row>
    <row r="300" spans="1:43" x14ac:dyDescent="0.25">
      <c r="A300" t="s">
        <v>365</v>
      </c>
      <c r="B300">
        <v>563233</v>
      </c>
      <c r="C300" t="s">
        <v>68</v>
      </c>
      <c r="D300" t="s">
        <v>69</v>
      </c>
      <c r="E300" t="s">
        <v>107</v>
      </c>
      <c r="F300" s="5">
        <v>488</v>
      </c>
      <c r="G300" s="5">
        <v>0</v>
      </c>
      <c r="H300" s="6">
        <f>Table1[[#This Row],[2024 U.S. Sales ($000)]]/SUMIF($E:$E, E300, $G:$G)</f>
        <v>0</v>
      </c>
      <c r="I300" s="5">
        <v>0</v>
      </c>
      <c r="J300" s="5" t="e">
        <f>Table1[[#This Row],[2024 U.S. Sales ($000)]]/Table1[[#This Row],[2024 U.S. Units]]</f>
        <v>#DIV/0!</v>
      </c>
      <c r="K300" s="6">
        <f>Table1[[#This Row],[2024 U.S. Units]]/Table1[[#This Row],[2023 U.S. Units]]-1</f>
        <v>-1</v>
      </c>
      <c r="L300" s="8">
        <f>(Table1[[#This Row],[2024 Market share (%)]]-Table1[[#This Row],[2023 Market share (%)]])*10000</f>
        <v>-111.9410381676185</v>
      </c>
      <c r="M300" s="6">
        <f>_xlfn.RRI(5,Table1[[#This Row],[2019 U.S. Sales ($000)]],Table1[[#This Row],[2024 U.S. Sales ($000)]])</f>
        <v>-1</v>
      </c>
      <c r="N300" s="9">
        <f>(Table1[[#This Row],[2024 Market share (%)]]-Table1[[#This Row],[2019 Market share (%)]])*10000</f>
        <v>-57.936143482553248</v>
      </c>
      <c r="O300" s="6" t="e">
        <f>IF(Table1[[#This Row],[2024 AUV]]=0,"",_xlfn.RRI(5,Table1[[#This Row],[2019 AUV]],Table1[[#This Row],[2024 AUV]]))</f>
        <v>#DIV/0!</v>
      </c>
      <c r="P300" s="6">
        <f>_xlfn.RRI(5,Table1[[#This Row],[2019 U.S. Units]],Table1[[#This Row],[2024 U.S. Units]])</f>
        <v>-1</v>
      </c>
      <c r="Q300" s="5">
        <v>57600</v>
      </c>
      <c r="R300" s="6">
        <f>Table1[[#This Row],[2023 U.S. Sales ($000)]]/SUMIF($E:$E, E300, $Q:$Q)</f>
        <v>1.119410381676185E-2</v>
      </c>
      <c r="S300" s="8">
        <f>(Table1[[#This Row],[2023 Market share (%)]]-Table1[[#This Row],[2022 Market share (%)]])*10000</f>
        <v>20.7936340495175</v>
      </c>
      <c r="T300" s="10">
        <v>0.21008403361344538</v>
      </c>
      <c r="U300" s="5">
        <v>11</v>
      </c>
      <c r="V300" s="5">
        <f t="shared" si="32"/>
        <v>5236.363636363636</v>
      </c>
      <c r="W300" s="10">
        <v>0.22222222222222221</v>
      </c>
      <c r="X300" s="10">
        <f t="shared" si="33"/>
        <v>0.17910248548308183</v>
      </c>
      <c r="Y300" s="8">
        <f>(Table1[[#This Row],[2023 Market share (%)]]-Table1[[#This Row],[2019 Market share (%)]])*10000</f>
        <v>54.004894685065246</v>
      </c>
      <c r="Z300" s="10">
        <f t="shared" si="34"/>
        <v>1.330735778335379E-2</v>
      </c>
      <c r="AA300" s="10">
        <f t="shared" si="35"/>
        <v>0.16361780700222184</v>
      </c>
      <c r="AB300" s="5">
        <v>47600</v>
      </c>
      <c r="AC300" s="6">
        <f>Table1[[#This Row],[2022 U.S. Sales ($000)]]/SUMIF($E:$E, E300, $AB:$AB)</f>
        <v>9.1147404118100996E-3</v>
      </c>
      <c r="AD300" s="5">
        <v>9</v>
      </c>
      <c r="AE300" s="5">
        <f t="shared" si="36"/>
        <v>5288.8888888888887</v>
      </c>
      <c r="AF300" s="5">
        <v>36900</v>
      </c>
      <c r="AG300" s="6">
        <f>Table1[[#This Row],[2021 U.S. Sales ($000)]]/SUMIF($E:$E, E300, $AF:$AF)</f>
        <v>7.6642422183017117E-3</v>
      </c>
      <c r="AH300" s="5">
        <v>8</v>
      </c>
      <c r="AI300" s="12">
        <f t="shared" si="37"/>
        <v>4612.5</v>
      </c>
      <c r="AJ300" s="5">
        <v>18200</v>
      </c>
      <c r="AK300" s="6">
        <f>Table1[[#This Row],[2020 U.S. Sales ($000)]]/SUMIF($E:$E, E300, $AJ:$AJ)</f>
        <v>5.3424997321411538E-3</v>
      </c>
      <c r="AL300" s="5">
        <v>7</v>
      </c>
      <c r="AM300" s="5">
        <f t="shared" si="38"/>
        <v>2600</v>
      </c>
      <c r="AN300" s="5">
        <v>29800</v>
      </c>
      <c r="AO300" s="6">
        <f>Table1[[#This Row],[2019 U.S. Sales ($000)]]/SUMIF($E:$E, E300, $AN:$AN)</f>
        <v>5.7936143482553246E-3</v>
      </c>
      <c r="AP300" s="5">
        <v>6</v>
      </c>
      <c r="AQ300" s="5">
        <f t="shared" si="39"/>
        <v>4966.666666666667</v>
      </c>
    </row>
    <row r="301" spans="1:43" x14ac:dyDescent="0.25">
      <c r="A301" t="s">
        <v>366</v>
      </c>
      <c r="B301">
        <v>33530</v>
      </c>
      <c r="C301" t="s">
        <v>44</v>
      </c>
      <c r="D301" t="s">
        <v>56</v>
      </c>
      <c r="E301" t="s">
        <v>63</v>
      </c>
      <c r="F301" s="5">
        <v>350</v>
      </c>
      <c r="G301" s="5">
        <v>0</v>
      </c>
      <c r="H301" s="6">
        <f>Table1[[#This Row],[2024 U.S. Sales ($000)]]/SUMIF($E:$E, E301, $G:$G)</f>
        <v>0</v>
      </c>
      <c r="I301" s="5">
        <v>0</v>
      </c>
      <c r="J301" s="5" t="e">
        <f>Table1[[#This Row],[2024 U.S. Sales ($000)]]/Table1[[#This Row],[2024 U.S. Units]]</f>
        <v>#DIV/0!</v>
      </c>
      <c r="K301" s="6">
        <f>Table1[[#This Row],[2024 U.S. Units]]/Table1[[#This Row],[2023 U.S. Units]]-1</f>
        <v>-1</v>
      </c>
      <c r="L301" s="8">
        <f>(Table1[[#This Row],[2024 Market share (%)]]-Table1[[#This Row],[2023 Market share (%)]])*10000</f>
        <v>-115.03497426485993</v>
      </c>
      <c r="M301" s="6">
        <f>_xlfn.RRI(5,Table1[[#This Row],[2019 U.S. Sales ($000)]],Table1[[#This Row],[2024 U.S. Sales ($000)]])</f>
        <v>-1</v>
      </c>
      <c r="N301" s="9">
        <f>(Table1[[#This Row],[2024 Market share (%)]]-Table1[[#This Row],[2019 Market share (%)]])*10000</f>
        <v>-86.373396993725933</v>
      </c>
      <c r="O301" s="6" t="e">
        <f>IF(Table1[[#This Row],[2024 AUV]]=0,"",_xlfn.RRI(5,Table1[[#This Row],[2019 AUV]],Table1[[#This Row],[2024 AUV]]))</f>
        <v>#DIV/0!</v>
      </c>
      <c r="P301" s="6">
        <f>_xlfn.RRI(5,Table1[[#This Row],[2019 U.S. Units]],Table1[[#This Row],[2024 U.S. Units]])</f>
        <v>-1</v>
      </c>
      <c r="Q301" s="5">
        <v>95000</v>
      </c>
      <c r="R301" s="6">
        <f>Table1[[#This Row],[2023 U.S. Sales ($000)]]/SUMIF($E:$E, E301, $Q:$Q)</f>
        <v>1.1503497426485992E-2</v>
      </c>
      <c r="S301" s="8">
        <f>(Table1[[#This Row],[2023 Market share (%)]]-Table1[[#This Row],[2022 Market share (%)]])*10000</f>
        <v>19.779120776883541</v>
      </c>
      <c r="T301" s="10">
        <v>0.31143014908890115</v>
      </c>
      <c r="U301" s="5">
        <v>40</v>
      </c>
      <c r="V301" s="5">
        <f t="shared" si="32"/>
        <v>2375</v>
      </c>
      <c r="W301" s="10">
        <v>0.29032258064516131</v>
      </c>
      <c r="X301" s="10">
        <f t="shared" si="33"/>
        <v>0.17171844673248615</v>
      </c>
      <c r="Y301" s="8">
        <f>(Table1[[#This Row],[2023 Market share (%)]]-Table1[[#This Row],[2019 Market share (%)]])*10000</f>
        <v>28.661577271133982</v>
      </c>
      <c r="Z301" s="10">
        <f t="shared" si="34"/>
        <v>9.040688002881625E-2</v>
      </c>
      <c r="AA301" s="10">
        <f t="shared" si="35"/>
        <v>7.4569931823541991E-2</v>
      </c>
      <c r="AB301" s="5">
        <v>72440</v>
      </c>
      <c r="AC301" s="6">
        <f>Table1[[#This Row],[2022 U.S. Sales ($000)]]/SUMIF($E:$E, E301, $AB:$AB)</f>
        <v>9.5255853487976379E-3</v>
      </c>
      <c r="AD301" s="5">
        <v>31</v>
      </c>
      <c r="AE301" s="5">
        <f t="shared" si="36"/>
        <v>2336.7741935483873</v>
      </c>
      <c r="AF301" s="5">
        <v>52200</v>
      </c>
      <c r="AG301" s="6">
        <f>Table1[[#This Row],[2021 U.S. Sales ($000)]]/SUMIF($E:$E, E301, $AF:$AF)</f>
        <v>7.8792238753162634E-3</v>
      </c>
      <c r="AH301" s="5">
        <v>26</v>
      </c>
      <c r="AI301" s="12">
        <f t="shared" si="37"/>
        <v>2007.6923076923076</v>
      </c>
      <c r="AJ301" s="5">
        <v>34800</v>
      </c>
      <c r="AK301" s="6">
        <f>Table1[[#This Row],[2020 U.S. Sales ($000)]]/SUMIF($E:$E, E301, $AJ:$AJ)</f>
        <v>6.34465824443671E-3</v>
      </c>
      <c r="AL301" s="5">
        <v>28</v>
      </c>
      <c r="AM301" s="5">
        <f t="shared" si="38"/>
        <v>1242.8571428571429</v>
      </c>
      <c r="AN301" s="5">
        <v>50400</v>
      </c>
      <c r="AO301" s="6">
        <f>Table1[[#This Row],[2019 U.S. Sales ($000)]]/SUMIF($E:$E, E301, $AN:$AN)</f>
        <v>8.6373396993725936E-3</v>
      </c>
      <c r="AP301" s="5">
        <v>30</v>
      </c>
      <c r="AQ301" s="5">
        <f t="shared" si="39"/>
        <v>1680</v>
      </c>
    </row>
    <row r="302" spans="1:43" x14ac:dyDescent="0.25">
      <c r="A302" t="s">
        <v>367</v>
      </c>
      <c r="B302">
        <v>562771</v>
      </c>
      <c r="C302" t="s">
        <v>44</v>
      </c>
      <c r="D302" t="s">
        <v>56</v>
      </c>
      <c r="E302" t="s">
        <v>52</v>
      </c>
      <c r="F302" s="5">
        <v>288</v>
      </c>
      <c r="G302" s="5">
        <v>0</v>
      </c>
      <c r="H302" s="6">
        <f>Table1[[#This Row],[2024 U.S. Sales ($000)]]/SUMIF($E:$E, E302, $G:$G)</f>
        <v>0</v>
      </c>
      <c r="I302" s="5">
        <v>0</v>
      </c>
      <c r="J302" s="5" t="e">
        <f>Table1[[#This Row],[2024 U.S. Sales ($000)]]/Table1[[#This Row],[2024 U.S. Units]]</f>
        <v>#DIV/0!</v>
      </c>
      <c r="K302" s="6">
        <f>Table1[[#This Row],[2024 U.S. Units]]/Table1[[#This Row],[2023 U.S. Units]]-1</f>
        <v>-1</v>
      </c>
      <c r="L302" s="8">
        <f>(Table1[[#This Row],[2024 Market share (%)]]-Table1[[#This Row],[2023 Market share (%)]])*10000</f>
        <v>-36.598437829982821</v>
      </c>
      <c r="M302" s="6">
        <f>_xlfn.RRI(5,Table1[[#This Row],[2019 U.S. Sales ($000)]],Table1[[#This Row],[2024 U.S. Sales ($000)]])</f>
        <v>-1</v>
      </c>
      <c r="N302" s="9">
        <f>(Table1[[#This Row],[2024 Market share (%)]]-Table1[[#This Row],[2019 Market share (%)]])*10000</f>
        <v>-26.605837609517049</v>
      </c>
      <c r="O302" s="6" t="e">
        <f>IF(Table1[[#This Row],[2024 AUV]]=0,"",_xlfn.RRI(5,Table1[[#This Row],[2019 AUV]],Table1[[#This Row],[2024 AUV]]))</f>
        <v>#DIV/0!</v>
      </c>
      <c r="P302" s="6">
        <f>_xlfn.RRI(5,Table1[[#This Row],[2019 U.S. Units]],Table1[[#This Row],[2024 U.S. Units]])</f>
        <v>-1</v>
      </c>
      <c r="Q302" s="5">
        <v>121100</v>
      </c>
      <c r="R302" s="6">
        <f>Table1[[#This Row],[2023 U.S. Sales ($000)]]/SUMIF($E:$E, E302, $Q:$Q)</f>
        <v>3.659843782998282E-3</v>
      </c>
      <c r="S302" s="8">
        <f>(Table1[[#This Row],[2023 Market share (%)]]-Table1[[#This Row],[2022 Market share (%)]])*10000</f>
        <v>4.3419463596457675</v>
      </c>
      <c r="T302" s="10">
        <v>0.23950870010235414</v>
      </c>
      <c r="U302" s="5">
        <v>40</v>
      </c>
      <c r="V302" s="5">
        <f t="shared" si="32"/>
        <v>3027.5</v>
      </c>
      <c r="W302" s="10">
        <v>0.14285714285714285</v>
      </c>
      <c r="X302" s="10">
        <f t="shared" si="33"/>
        <v>0.17056654334219168</v>
      </c>
      <c r="Y302" s="8">
        <f>(Table1[[#This Row],[2023 Market share (%)]]-Table1[[#This Row],[2019 Market share (%)]])*10000</f>
        <v>9.9926002204657696</v>
      </c>
      <c r="Z302" s="10">
        <f t="shared" si="34"/>
        <v>1.9325921078540143E-2</v>
      </c>
      <c r="AA302" s="10">
        <f t="shared" si="35"/>
        <v>0.14837317401251315</v>
      </c>
      <c r="AB302" s="5">
        <v>97700</v>
      </c>
      <c r="AC302" s="6">
        <f>Table1[[#This Row],[2022 U.S. Sales ($000)]]/SUMIF($E:$E, E302, $AB:$AB)</f>
        <v>3.2256491470337052E-3</v>
      </c>
      <c r="AD302" s="5">
        <v>35</v>
      </c>
      <c r="AE302" s="5">
        <f t="shared" si="36"/>
        <v>2791.4285714285716</v>
      </c>
      <c r="AF302" s="5">
        <v>76900</v>
      </c>
      <c r="AG302" s="6">
        <f>Table1[[#This Row],[2021 U.S. Sales ($000)]]/SUMIF($E:$E, E302, $AF:$AF)</f>
        <v>2.8056215754269287E-3</v>
      </c>
      <c r="AH302" s="5">
        <v>30</v>
      </c>
      <c r="AI302" s="12">
        <f t="shared" si="37"/>
        <v>2563.3333333333335</v>
      </c>
      <c r="AJ302" s="5">
        <v>60000</v>
      </c>
      <c r="AK302" s="6">
        <f>Table1[[#This Row],[2020 U.S. Sales ($000)]]/SUMIF($E:$E, E302, $AJ:$AJ)</f>
        <v>2.5454320376645883E-3</v>
      </c>
      <c r="AL302" s="5">
        <v>25</v>
      </c>
      <c r="AM302" s="5">
        <f t="shared" si="38"/>
        <v>2400</v>
      </c>
      <c r="AN302" s="5">
        <v>64500</v>
      </c>
      <c r="AO302" s="6">
        <f>Table1[[#This Row],[2019 U.S. Sales ($000)]]/SUMIF($E:$E, E302, $AN:$AN)</f>
        <v>2.6605837609517051E-3</v>
      </c>
      <c r="AP302" s="5">
        <v>23</v>
      </c>
      <c r="AQ302" s="5">
        <f t="shared" si="39"/>
        <v>2804.3478260869565</v>
      </c>
    </row>
    <row r="303" spans="1:43" x14ac:dyDescent="0.25">
      <c r="A303" t="s">
        <v>368</v>
      </c>
      <c r="B303">
        <v>33368</v>
      </c>
      <c r="C303" t="s">
        <v>68</v>
      </c>
      <c r="D303" t="s">
        <v>69</v>
      </c>
      <c r="E303" t="s">
        <v>79</v>
      </c>
      <c r="F303" s="5">
        <v>372</v>
      </c>
      <c r="G303" s="5">
        <v>0</v>
      </c>
      <c r="H303" s="6">
        <f>Table1[[#This Row],[2024 U.S. Sales ($000)]]/SUMIF($E:$E, E303, $G:$G)</f>
        <v>0</v>
      </c>
      <c r="I303" s="5">
        <v>0</v>
      </c>
      <c r="J303" s="5" t="e">
        <f>Table1[[#This Row],[2024 U.S. Sales ($000)]]/Table1[[#This Row],[2024 U.S. Units]]</f>
        <v>#DIV/0!</v>
      </c>
      <c r="K303" s="6">
        <f>Table1[[#This Row],[2024 U.S. Units]]/Table1[[#This Row],[2023 U.S. Units]]-1</f>
        <v>-1</v>
      </c>
      <c r="L303" s="8">
        <f>(Table1[[#This Row],[2024 Market share (%)]]-Table1[[#This Row],[2023 Market share (%)]])*10000</f>
        <v>-36.068122762116957</v>
      </c>
      <c r="M303" s="6">
        <f>_xlfn.RRI(5,Table1[[#This Row],[2019 U.S. Sales ($000)]],Table1[[#This Row],[2024 U.S. Sales ($000)]])</f>
        <v>-1</v>
      </c>
      <c r="N303" s="9">
        <f>(Table1[[#This Row],[2024 Market share (%)]]-Table1[[#This Row],[2019 Market share (%)]])*10000</f>
        <v>-20.544850593772367</v>
      </c>
      <c r="O303" s="6" t="e">
        <f>IF(Table1[[#This Row],[2024 AUV]]=0,"",_xlfn.RRI(5,Table1[[#This Row],[2019 AUV]],Table1[[#This Row],[2024 AUV]]))</f>
        <v>#DIV/0!</v>
      </c>
      <c r="P303" s="6">
        <f>_xlfn.RRI(5,Table1[[#This Row],[2019 U.S. Units]],Table1[[#This Row],[2024 U.S. Units]])</f>
        <v>-1</v>
      </c>
      <c r="Q303" s="5">
        <v>87006</v>
      </c>
      <c r="R303" s="6">
        <f>Table1[[#This Row],[2023 U.S. Sales ($000)]]/SUMIF($E:$E, E303, $Q:$Q)</f>
        <v>3.6068122762116955E-3</v>
      </c>
      <c r="S303" s="8">
        <f>(Table1[[#This Row],[2023 Market share (%)]]-Table1[[#This Row],[2022 Market share (%)]])*10000</f>
        <v>3.5768948918731653</v>
      </c>
      <c r="T303" s="10">
        <v>0.1386878509076156</v>
      </c>
      <c r="U303" s="5">
        <v>22</v>
      </c>
      <c r="V303" s="5">
        <f t="shared" si="32"/>
        <v>3954.818181818182</v>
      </c>
      <c r="W303" s="10">
        <v>0.1</v>
      </c>
      <c r="X303" s="10">
        <f t="shared" si="33"/>
        <v>0.16695048274473989</v>
      </c>
      <c r="Y303" s="8">
        <f>(Table1[[#This Row],[2023 Market share (%)]]-Table1[[#This Row],[2019 Market share (%)]])*10000</f>
        <v>15.523272168344588</v>
      </c>
      <c r="Z303" s="10">
        <f t="shared" si="34"/>
        <v>7.7647568762300834E-2</v>
      </c>
      <c r="AA303" s="10">
        <f t="shared" si="35"/>
        <v>8.2868385333996875E-2</v>
      </c>
      <c r="AB303" s="5">
        <v>76409</v>
      </c>
      <c r="AC303" s="6">
        <f>Table1[[#This Row],[2022 U.S. Sales ($000)]]/SUMIF($E:$E, E303, $AB:$AB)</f>
        <v>3.2491227870243789E-3</v>
      </c>
      <c r="AD303" s="5">
        <v>20</v>
      </c>
      <c r="AE303" s="5">
        <f t="shared" si="36"/>
        <v>3820.45</v>
      </c>
      <c r="AF303" s="5">
        <v>59838</v>
      </c>
      <c r="AG303" s="6">
        <f>Table1[[#This Row],[2021 U.S. Sales ($000)]]/SUMIF($E:$E, E303, $AF:$AF)</f>
        <v>2.7549590575183685E-3</v>
      </c>
      <c r="AH303" s="5">
        <v>17</v>
      </c>
      <c r="AI303" s="12">
        <f t="shared" si="37"/>
        <v>3519.8823529411766</v>
      </c>
      <c r="AJ303" s="5">
        <v>38400</v>
      </c>
      <c r="AK303" s="6">
        <f>Table1[[#This Row],[2020 U.S. Sales ($000)]]/SUMIF($E:$E, E303, $AJ:$AJ)</f>
        <v>2.3549184710667296E-3</v>
      </c>
      <c r="AL303" s="5">
        <v>17</v>
      </c>
      <c r="AM303" s="5">
        <f t="shared" si="38"/>
        <v>2258.8235294117649</v>
      </c>
      <c r="AN303" s="5">
        <v>46918</v>
      </c>
      <c r="AO303" s="6">
        <f>Table1[[#This Row],[2019 U.S. Sales ($000)]]/SUMIF($E:$E, E303, $AN:$AN)</f>
        <v>2.0544850593772366E-3</v>
      </c>
      <c r="AP303" s="5">
        <v>16</v>
      </c>
      <c r="AQ303" s="5">
        <f t="shared" si="39"/>
        <v>2932.375</v>
      </c>
    </row>
    <row r="304" spans="1:43" x14ac:dyDescent="0.25">
      <c r="A304" t="s">
        <v>369</v>
      </c>
      <c r="B304">
        <v>563230</v>
      </c>
      <c r="C304" t="s">
        <v>44</v>
      </c>
      <c r="D304" t="s">
        <v>56</v>
      </c>
      <c r="E304" t="s">
        <v>59</v>
      </c>
      <c r="F304" s="5">
        <v>458</v>
      </c>
      <c r="G304" s="5">
        <v>0</v>
      </c>
      <c r="H304" s="6">
        <f>Table1[[#This Row],[2024 U.S. Sales ($000)]]/SUMIF($E:$E, E304, $G:$G)</f>
        <v>0</v>
      </c>
      <c r="I304" s="5">
        <v>0</v>
      </c>
      <c r="J304" s="5" t="e">
        <f>Table1[[#This Row],[2024 U.S. Sales ($000)]]/Table1[[#This Row],[2024 U.S. Units]]</f>
        <v>#DIV/0!</v>
      </c>
      <c r="K304" s="6">
        <f>Table1[[#This Row],[2024 U.S. Units]]/Table1[[#This Row],[2023 U.S. Units]]-1</f>
        <v>-1</v>
      </c>
      <c r="L304" s="8">
        <f>(Table1[[#This Row],[2024 Market share (%)]]-Table1[[#This Row],[2023 Market share (%)]])*10000</f>
        <v>-17.616721769004798</v>
      </c>
      <c r="M304" s="6">
        <f>_xlfn.RRI(5,Table1[[#This Row],[2019 U.S. Sales ($000)]],Table1[[#This Row],[2024 U.S. Sales ($000)]])</f>
        <v>-1</v>
      </c>
      <c r="N304" s="9">
        <f>(Table1[[#This Row],[2024 Market share (%)]]-Table1[[#This Row],[2019 Market share (%)]])*10000</f>
        <v>-11.265911262825384</v>
      </c>
      <c r="O304" s="6" t="e">
        <f>IF(Table1[[#This Row],[2024 AUV]]=0,"",_xlfn.RRI(5,Table1[[#This Row],[2019 AUV]],Table1[[#This Row],[2024 AUV]]))</f>
        <v>#DIV/0!</v>
      </c>
      <c r="P304" s="6">
        <f>_xlfn.RRI(5,Table1[[#This Row],[2019 U.S. Units]],Table1[[#This Row],[2024 U.S. Units]])</f>
        <v>-1</v>
      </c>
      <c r="Q304" s="5">
        <v>66540</v>
      </c>
      <c r="R304" s="6">
        <f>Table1[[#This Row],[2023 U.S. Sales ($000)]]/SUMIF($E:$E, E304, $Q:$Q)</f>
        <v>1.7616721769004799E-3</v>
      </c>
      <c r="S304" s="8">
        <f>(Table1[[#This Row],[2023 Market share (%)]]-Table1[[#This Row],[2022 Market share (%)]])*10000</f>
        <v>2.279586077331365</v>
      </c>
      <c r="T304" s="10">
        <v>0.21250774445132839</v>
      </c>
      <c r="U304" s="5">
        <v>28</v>
      </c>
      <c r="V304" s="5">
        <f t="shared" si="32"/>
        <v>2376.4285714285716</v>
      </c>
      <c r="W304" s="10">
        <v>0.16666666666666666</v>
      </c>
      <c r="X304" s="10">
        <f t="shared" si="33"/>
        <v>0.15960143592023135</v>
      </c>
      <c r="Y304" s="8">
        <f>(Table1[[#This Row],[2023 Market share (%)]]-Table1[[#This Row],[2019 Market share (%)]])*10000</f>
        <v>6.3508105061794149</v>
      </c>
      <c r="Z304" s="10">
        <f t="shared" si="34"/>
        <v>8.2058946638141617E-3</v>
      </c>
      <c r="AA304" s="10">
        <f t="shared" si="35"/>
        <v>0.15016331689560292</v>
      </c>
      <c r="AB304" s="5">
        <v>54878</v>
      </c>
      <c r="AC304" s="6">
        <f>Table1[[#This Row],[2022 U.S. Sales ($000)]]/SUMIF($E:$E, E304, $AB:$AB)</f>
        <v>1.5337135691673434E-3</v>
      </c>
      <c r="AD304" s="5">
        <v>24</v>
      </c>
      <c r="AE304" s="5">
        <f t="shared" si="36"/>
        <v>2286.5833333333335</v>
      </c>
      <c r="AF304" s="5">
        <v>41100</v>
      </c>
      <c r="AG304" s="6">
        <f>Table1[[#This Row],[2021 U.S. Sales ($000)]]/SUMIF($E:$E, E304, $AF:$AF)</f>
        <v>1.2387669307942811E-3</v>
      </c>
      <c r="AH304" s="5">
        <v>20</v>
      </c>
      <c r="AI304" s="12">
        <f t="shared" si="37"/>
        <v>2055</v>
      </c>
      <c r="AJ304" s="5">
        <v>34700</v>
      </c>
      <c r="AK304" s="6">
        <f>Table1[[#This Row],[2020 U.S. Sales ($000)]]/SUMIF($E:$E, E304, $AJ:$AJ)</f>
        <v>1.2184221496365662E-3</v>
      </c>
      <c r="AL304" s="5">
        <v>17</v>
      </c>
      <c r="AM304" s="5">
        <f t="shared" si="38"/>
        <v>2041.1764705882354</v>
      </c>
      <c r="AN304" s="5">
        <v>36800</v>
      </c>
      <c r="AO304" s="6">
        <f>Table1[[#This Row],[2019 U.S. Sales ($000)]]/SUMIF($E:$E, E304, $AN:$AN)</f>
        <v>1.1265911262825384E-3</v>
      </c>
      <c r="AP304" s="5">
        <v>16</v>
      </c>
      <c r="AQ304" s="5">
        <f t="shared" si="39"/>
        <v>2300</v>
      </c>
    </row>
    <row r="305" spans="1:43" x14ac:dyDescent="0.25">
      <c r="A305" t="s">
        <v>370</v>
      </c>
      <c r="B305">
        <v>61739</v>
      </c>
      <c r="C305" t="s">
        <v>68</v>
      </c>
      <c r="D305" t="s">
        <v>69</v>
      </c>
      <c r="E305" t="s">
        <v>87</v>
      </c>
      <c r="F305" s="5">
        <v>496</v>
      </c>
      <c r="G305" s="5">
        <v>0</v>
      </c>
      <c r="H305" s="6">
        <f>Table1[[#This Row],[2024 U.S. Sales ($000)]]/SUMIF($E:$E, E305, $G:$G)</f>
        <v>0</v>
      </c>
      <c r="I305" s="5">
        <v>0</v>
      </c>
      <c r="J305" s="5" t="e">
        <f>Table1[[#This Row],[2024 U.S. Sales ($000)]]/Table1[[#This Row],[2024 U.S. Units]]</f>
        <v>#DIV/0!</v>
      </c>
      <c r="K305" s="6">
        <f>Table1[[#This Row],[2024 U.S. Units]]/Table1[[#This Row],[2023 U.S. Units]]-1</f>
        <v>-1</v>
      </c>
      <c r="L305" s="8">
        <f>(Table1[[#This Row],[2024 Market share (%)]]-Table1[[#This Row],[2023 Market share (%)]])*10000</f>
        <v>-57.14649050524028</v>
      </c>
      <c r="M305" s="6">
        <f>_xlfn.RRI(5,Table1[[#This Row],[2019 U.S. Sales ($000)]],Table1[[#This Row],[2024 U.S. Sales ($000)]])</f>
        <v>-1</v>
      </c>
      <c r="N305" s="9">
        <f>(Table1[[#This Row],[2024 Market share (%)]]-Table1[[#This Row],[2019 Market share (%)]])*10000</f>
        <v>-36.01884925688632</v>
      </c>
      <c r="O305" s="6" t="e">
        <f>IF(Table1[[#This Row],[2024 AUV]]=0,"",_xlfn.RRI(5,Table1[[#This Row],[2019 AUV]],Table1[[#This Row],[2024 AUV]]))</f>
        <v>#DIV/0!</v>
      </c>
      <c r="P305" s="6">
        <f>_xlfn.RRI(5,Table1[[#This Row],[2019 U.S. Units]],Table1[[#This Row],[2024 U.S. Units]])</f>
        <v>-1</v>
      </c>
      <c r="Q305" s="5">
        <v>55723</v>
      </c>
      <c r="R305" s="6">
        <f>Table1[[#This Row],[2023 U.S. Sales ($000)]]/SUMIF($E:$E, E305, $Q:$Q)</f>
        <v>5.7146490505240281E-3</v>
      </c>
      <c r="S305" s="8">
        <f>(Table1[[#This Row],[2023 Market share (%)]]-Table1[[#This Row],[2022 Market share (%)]])*10000</f>
        <v>-6.8552132163746808</v>
      </c>
      <c r="T305" s="10">
        <v>-7.0120984564038383E-2</v>
      </c>
      <c r="U305" s="5">
        <v>12</v>
      </c>
      <c r="V305" s="5">
        <f t="shared" si="32"/>
        <v>4643.583333333333</v>
      </c>
      <c r="W305" s="10">
        <v>0</v>
      </c>
      <c r="X305" s="10">
        <f t="shared" si="33"/>
        <v>0.15950408994763432</v>
      </c>
      <c r="Y305" s="8">
        <f>(Table1[[#This Row],[2023 Market share (%)]]-Table1[[#This Row],[2019 Market share (%)]])*10000</f>
        <v>21.12764124835396</v>
      </c>
      <c r="Z305" s="10">
        <f t="shared" si="34"/>
        <v>4.7730218870492003E-2</v>
      </c>
      <c r="AA305" s="10">
        <f t="shared" si="35"/>
        <v>0.1066819197003217</v>
      </c>
      <c r="AB305" s="5">
        <v>59925</v>
      </c>
      <c r="AC305" s="6">
        <f>Table1[[#This Row],[2022 U.S. Sales ($000)]]/SUMIF($E:$E, E305, $AB:$AB)</f>
        <v>6.4001703721614962E-3</v>
      </c>
      <c r="AD305" s="5">
        <v>12</v>
      </c>
      <c r="AE305" s="5">
        <f t="shared" si="36"/>
        <v>4993.75</v>
      </c>
      <c r="AF305" s="5">
        <v>56621</v>
      </c>
      <c r="AG305" s="6">
        <f>Table1[[#This Row],[2021 U.S. Sales ($000)]]/SUMIF($E:$E, E305, $AF:$AF)</f>
        <v>6.6389886778046182E-3</v>
      </c>
      <c r="AH305" s="5">
        <v>10</v>
      </c>
      <c r="AI305" s="12">
        <f t="shared" si="37"/>
        <v>5662.1</v>
      </c>
      <c r="AJ305" s="5">
        <v>43215</v>
      </c>
      <c r="AK305" s="6">
        <f>Table1[[#This Row],[2020 U.S. Sales ($000)]]/SUMIF($E:$E, E305, $AJ:$AJ)</f>
        <v>6.5224744259082977E-3</v>
      </c>
      <c r="AL305" s="5">
        <v>10</v>
      </c>
      <c r="AM305" s="5">
        <f t="shared" si="38"/>
        <v>4321.5</v>
      </c>
      <c r="AN305" s="5">
        <v>30828</v>
      </c>
      <c r="AO305" s="6">
        <f>Table1[[#This Row],[2019 U.S. Sales ($000)]]/SUMIF($E:$E, E305, $AN:$AN)</f>
        <v>3.6018849256886322E-3</v>
      </c>
      <c r="AP305" s="5">
        <v>8</v>
      </c>
      <c r="AQ305" s="5">
        <f t="shared" si="39"/>
        <v>3853.5</v>
      </c>
    </row>
    <row r="306" spans="1:43" x14ac:dyDescent="0.25">
      <c r="A306" t="s">
        <v>371</v>
      </c>
      <c r="B306">
        <v>62015</v>
      </c>
      <c r="C306" t="s">
        <v>68</v>
      </c>
      <c r="D306" t="s">
        <v>69</v>
      </c>
      <c r="E306" t="s">
        <v>79</v>
      </c>
      <c r="F306" s="5">
        <v>267</v>
      </c>
      <c r="G306" s="5">
        <v>0</v>
      </c>
      <c r="H306" s="6">
        <f>Table1[[#This Row],[2024 U.S. Sales ($000)]]/SUMIF($E:$E, E306, $G:$G)</f>
        <v>0</v>
      </c>
      <c r="I306" s="5">
        <v>0</v>
      </c>
      <c r="J306" s="5" t="e">
        <f>Table1[[#This Row],[2024 U.S. Sales ($000)]]/Table1[[#This Row],[2024 U.S. Units]]</f>
        <v>#DIV/0!</v>
      </c>
      <c r="K306" s="6">
        <f>Table1[[#This Row],[2024 U.S. Units]]/Table1[[#This Row],[2023 U.S. Units]]-1</f>
        <v>-1</v>
      </c>
      <c r="L306" s="8">
        <f>(Table1[[#This Row],[2024 Market share (%)]]-Table1[[#This Row],[2023 Market share (%)]])*10000</f>
        <v>-56.295555146719565</v>
      </c>
      <c r="M306" s="6">
        <f>_xlfn.RRI(5,Table1[[#This Row],[2019 U.S. Sales ($000)]],Table1[[#This Row],[2024 U.S. Sales ($000)]])</f>
        <v>-1</v>
      </c>
      <c r="N306" s="9">
        <f>(Table1[[#This Row],[2024 Market share (%)]]-Table1[[#This Row],[2019 Market share (%)]])*10000</f>
        <v>-33.63552599555473</v>
      </c>
      <c r="O306" s="6" t="e">
        <f>IF(Table1[[#This Row],[2024 AUV]]=0,"",_xlfn.RRI(5,Table1[[#This Row],[2019 AUV]],Table1[[#This Row],[2024 AUV]]))</f>
        <v>#DIV/0!</v>
      </c>
      <c r="P306" s="6">
        <f>_xlfn.RRI(5,Table1[[#This Row],[2019 U.S. Units]],Table1[[#This Row],[2024 U.S. Units]])</f>
        <v>-1</v>
      </c>
      <c r="Q306" s="5">
        <v>135800</v>
      </c>
      <c r="R306" s="6">
        <f>Table1[[#This Row],[2023 U.S. Sales ($000)]]/SUMIF($E:$E, E306, $Q:$Q)</f>
        <v>5.6295555146719566E-3</v>
      </c>
      <c r="S306" s="8">
        <f>(Table1[[#This Row],[2023 Market share (%)]]-Table1[[#This Row],[2022 Market share (%)]])*10000</f>
        <v>6.2462478618749255</v>
      </c>
      <c r="T306" s="10">
        <v>0.15378079864061173</v>
      </c>
      <c r="U306" s="5">
        <v>40</v>
      </c>
      <c r="V306" s="5">
        <f t="shared" si="32"/>
        <v>3395</v>
      </c>
      <c r="W306" s="10">
        <v>0.1111111111111111</v>
      </c>
      <c r="X306" s="10">
        <f t="shared" si="33"/>
        <v>0.15309811101693671</v>
      </c>
      <c r="Y306" s="8">
        <f>(Table1[[#This Row],[2023 Market share (%)]]-Table1[[#This Row],[2019 Market share (%)]])*10000</f>
        <v>22.660029151164835</v>
      </c>
      <c r="Z306" s="10">
        <f t="shared" si="34"/>
        <v>6.4022378990120421E-2</v>
      </c>
      <c r="AA306" s="10">
        <f t="shared" si="35"/>
        <v>8.3716032468564627E-2</v>
      </c>
      <c r="AB306" s="5">
        <v>117700</v>
      </c>
      <c r="AC306" s="6">
        <f>Table1[[#This Row],[2022 U.S. Sales ($000)]]/SUMIF($E:$E, E306, $AB:$AB)</f>
        <v>5.004930728484464E-3</v>
      </c>
      <c r="AD306" s="5">
        <v>36</v>
      </c>
      <c r="AE306" s="5">
        <f t="shared" si="36"/>
        <v>3269.4444444444443</v>
      </c>
      <c r="AF306" s="5">
        <v>103700</v>
      </c>
      <c r="AG306" s="6">
        <f>Table1[[#This Row],[2021 U.S. Sales ($000)]]/SUMIF($E:$E, E306, $AF:$AF)</f>
        <v>4.7743783927379725E-3</v>
      </c>
      <c r="AH306" s="5">
        <v>35</v>
      </c>
      <c r="AI306" s="12">
        <f t="shared" si="37"/>
        <v>2962.8571428571427</v>
      </c>
      <c r="AJ306" s="5">
        <v>68000</v>
      </c>
      <c r="AK306" s="6">
        <f>Table1[[#This Row],[2020 U.S. Sales ($000)]]/SUMIF($E:$E, E306, $AJ:$AJ)</f>
        <v>4.1701681258473336E-3</v>
      </c>
      <c r="AL306" s="5">
        <v>33</v>
      </c>
      <c r="AM306" s="5">
        <f t="shared" si="38"/>
        <v>2060.6060606060605</v>
      </c>
      <c r="AN306" s="5">
        <v>76813</v>
      </c>
      <c r="AO306" s="6">
        <f>Table1[[#This Row],[2019 U.S. Sales ($000)]]/SUMIF($E:$E, E306, $AN:$AN)</f>
        <v>3.3635525995554731E-3</v>
      </c>
      <c r="AP306" s="5">
        <v>29</v>
      </c>
      <c r="AQ306" s="5">
        <f t="shared" si="39"/>
        <v>2648.7241379310344</v>
      </c>
    </row>
    <row r="307" spans="1:43" x14ac:dyDescent="0.25">
      <c r="A307" t="s">
        <v>372</v>
      </c>
      <c r="B307">
        <v>31268</v>
      </c>
      <c r="C307" t="s">
        <v>44</v>
      </c>
      <c r="D307" t="s">
        <v>56</v>
      </c>
      <c r="E307" t="s">
        <v>128</v>
      </c>
      <c r="F307" s="5">
        <v>270</v>
      </c>
      <c r="G307" s="5">
        <v>0</v>
      </c>
      <c r="H307" s="6">
        <f>Table1[[#This Row],[2024 U.S. Sales ($000)]]/SUMIF($E:$E, E307, $G:$G)</f>
        <v>0</v>
      </c>
      <c r="I307" s="5">
        <v>0</v>
      </c>
      <c r="J307" s="5" t="e">
        <f>Table1[[#This Row],[2024 U.S. Sales ($000)]]/Table1[[#This Row],[2024 U.S. Units]]</f>
        <v>#DIV/0!</v>
      </c>
      <c r="K307" s="6">
        <f>Table1[[#This Row],[2024 U.S. Units]]/Table1[[#This Row],[2023 U.S. Units]]-1</f>
        <v>-1</v>
      </c>
      <c r="L307" s="8">
        <f>(Table1[[#This Row],[2024 Market share (%)]]-Table1[[#This Row],[2023 Market share (%)]])*10000</f>
        <v>-256.86354792631266</v>
      </c>
      <c r="M307" s="6">
        <f>_xlfn.RRI(5,Table1[[#This Row],[2019 U.S. Sales ($000)]],Table1[[#This Row],[2024 U.S. Sales ($000)]])</f>
        <v>-1</v>
      </c>
      <c r="N307" s="9">
        <f>(Table1[[#This Row],[2024 Market share (%)]]-Table1[[#This Row],[2019 Market share (%)]])*10000</f>
        <v>-212.01257969141477</v>
      </c>
      <c r="O307" s="6" t="e">
        <f>IF(Table1[[#This Row],[2024 AUV]]=0,"",_xlfn.RRI(5,Table1[[#This Row],[2019 AUV]],Table1[[#This Row],[2024 AUV]]))</f>
        <v>#DIV/0!</v>
      </c>
      <c r="P307" s="6">
        <f>_xlfn.RRI(5,Table1[[#This Row],[2019 U.S. Units]],Table1[[#This Row],[2024 U.S. Units]])</f>
        <v>-1</v>
      </c>
      <c r="Q307" s="5">
        <v>133500</v>
      </c>
      <c r="R307" s="6">
        <f>Table1[[#This Row],[2023 U.S. Sales ($000)]]/SUMIF($E:$E, E307, $Q:$Q)</f>
        <v>2.5686354792631268E-2</v>
      </c>
      <c r="S307" s="8">
        <f>(Table1[[#This Row],[2023 Market share (%)]]-Table1[[#This Row],[2022 Market share (%)]])*10000</f>
        <v>-25.974822021760623</v>
      </c>
      <c r="T307" s="10">
        <v>6.5442936951316838E-2</v>
      </c>
      <c r="U307" s="5">
        <v>55</v>
      </c>
      <c r="V307" s="5">
        <f t="shared" si="32"/>
        <v>2427.2727272727275</v>
      </c>
      <c r="W307" s="10">
        <v>0.1</v>
      </c>
      <c r="X307" s="10">
        <f t="shared" si="33"/>
        <v>0.1525377715566536</v>
      </c>
      <c r="Y307" s="8">
        <f>(Table1[[#This Row],[2023 Market share (%)]]-Table1[[#This Row],[2019 Market share (%)]])*10000</f>
        <v>44.850968234897913</v>
      </c>
      <c r="Z307" s="10">
        <f t="shared" si="34"/>
        <v>-1.7881268283571838E-2</v>
      </c>
      <c r="AA307" s="10">
        <f t="shared" si="35"/>
        <v>0.17352183023979983</v>
      </c>
      <c r="AB307" s="5">
        <v>125300</v>
      </c>
      <c r="AC307" s="6">
        <f>Table1[[#This Row],[2022 U.S. Sales ($000)]]/SUMIF($E:$E, E307, $AB:$AB)</f>
        <v>2.828383699480733E-2</v>
      </c>
      <c r="AD307" s="5">
        <v>50</v>
      </c>
      <c r="AE307" s="5">
        <f t="shared" si="36"/>
        <v>2506</v>
      </c>
      <c r="AF307" s="5">
        <v>110370</v>
      </c>
      <c r="AG307" s="6">
        <f>Table1[[#This Row],[2021 U.S. Sales ($000)]]/SUMIF($E:$E, E307, $AF:$AF)</f>
        <v>2.9253762674775131E-2</v>
      </c>
      <c r="AH307" s="5">
        <v>45</v>
      </c>
      <c r="AI307" s="12">
        <f t="shared" si="37"/>
        <v>2452.6666666666665</v>
      </c>
      <c r="AJ307" s="5">
        <v>75652</v>
      </c>
      <c r="AK307" s="6">
        <f>Table1[[#This Row],[2020 U.S. Sales ($000)]]/SUMIF($E:$E, E307, $AJ:$AJ)</f>
        <v>2.4687619314899965E-2</v>
      </c>
      <c r="AL307" s="5">
        <v>39</v>
      </c>
      <c r="AM307" s="5">
        <f t="shared" si="38"/>
        <v>1939.7948717948718</v>
      </c>
      <c r="AN307" s="5">
        <v>75659</v>
      </c>
      <c r="AO307" s="6">
        <f>Table1[[#This Row],[2019 U.S. Sales ($000)]]/SUMIF($E:$E, E307, $AN:$AN)</f>
        <v>2.1201257969141477E-2</v>
      </c>
      <c r="AP307" s="5">
        <v>29</v>
      </c>
      <c r="AQ307" s="5">
        <f t="shared" si="39"/>
        <v>2608.9310344827586</v>
      </c>
    </row>
    <row r="308" spans="1:43" x14ac:dyDescent="0.25">
      <c r="A308" t="s">
        <v>373</v>
      </c>
      <c r="B308">
        <v>35929</v>
      </c>
      <c r="C308" t="s">
        <v>44</v>
      </c>
      <c r="D308" t="s">
        <v>56</v>
      </c>
      <c r="E308" t="s">
        <v>63</v>
      </c>
      <c r="F308" s="5">
        <v>484</v>
      </c>
      <c r="G308" s="5">
        <v>0</v>
      </c>
      <c r="H308" s="6">
        <f>Table1[[#This Row],[2024 U.S. Sales ($000)]]/SUMIF($E:$E, E308, $G:$G)</f>
        <v>0</v>
      </c>
      <c r="I308" s="5">
        <v>0</v>
      </c>
      <c r="J308" s="5" t="e">
        <f>Table1[[#This Row],[2024 U.S. Sales ($000)]]/Table1[[#This Row],[2024 U.S. Units]]</f>
        <v>#DIV/0!</v>
      </c>
      <c r="K308" s="6">
        <f>Table1[[#This Row],[2024 U.S. Units]]/Table1[[#This Row],[2023 U.S. Units]]-1</f>
        <v>-1</v>
      </c>
      <c r="L308" s="8">
        <f>(Table1[[#This Row],[2024 Market share (%)]]-Table1[[#This Row],[2023 Market share (%)]])*10000</f>
        <v>-71.140049874321264</v>
      </c>
      <c r="M308" s="6">
        <f>_xlfn.RRI(5,Table1[[#This Row],[2019 U.S. Sales ($000)]],Table1[[#This Row],[2024 U.S. Sales ($000)]])</f>
        <v>-1</v>
      </c>
      <c r="N308" s="9">
        <f>(Table1[[#This Row],[2024 Market share (%)]]-Table1[[#This Row],[2019 Market share (%)]])*10000</f>
        <v>-57.582264662483958</v>
      </c>
      <c r="O308" s="6" t="e">
        <f>IF(Table1[[#This Row],[2024 AUV]]=0,"",_xlfn.RRI(5,Table1[[#This Row],[2019 AUV]],Table1[[#This Row],[2024 AUV]]))</f>
        <v>#DIV/0!</v>
      </c>
      <c r="P308" s="6">
        <f>_xlfn.RRI(5,Table1[[#This Row],[2019 U.S. Units]],Table1[[#This Row],[2024 U.S. Units]])</f>
        <v>-1</v>
      </c>
      <c r="Q308" s="5">
        <v>58750</v>
      </c>
      <c r="R308" s="6">
        <f>Table1[[#This Row],[2023 U.S. Sales ($000)]]/SUMIF($E:$E, E308, $Q:$Q)</f>
        <v>7.1140049874321267E-3</v>
      </c>
      <c r="S308" s="8">
        <f>(Table1[[#This Row],[2023 Market share (%)]]-Table1[[#This Row],[2022 Market share (%)]])*10000</f>
        <v>-3.624749432220324</v>
      </c>
      <c r="T308" s="10">
        <v>3.3294053502646991E-2</v>
      </c>
      <c r="U308" s="5">
        <v>67</v>
      </c>
      <c r="V308" s="5">
        <f t="shared" si="32"/>
        <v>876.8656716417911</v>
      </c>
      <c r="W308" s="10">
        <v>4.6875E-2</v>
      </c>
      <c r="X308" s="10">
        <f t="shared" si="33"/>
        <v>0.14991873138110701</v>
      </c>
      <c r="Y308" s="8">
        <f>(Table1[[#This Row],[2023 Market share (%)]]-Table1[[#This Row],[2019 Market share (%)]])*10000</f>
        <v>13.557785211837309</v>
      </c>
      <c r="Z308" s="10">
        <f t="shared" si="34"/>
        <v>5.7934444073477476E-2</v>
      </c>
      <c r="AA308" s="10">
        <f t="shared" si="35"/>
        <v>8.6947057847415188E-2</v>
      </c>
      <c r="AB308" s="5">
        <v>56857</v>
      </c>
      <c r="AC308" s="6">
        <f>Table1[[#This Row],[2022 U.S. Sales ($000)]]/SUMIF($E:$E, E308, $AB:$AB)</f>
        <v>7.4764799306541591E-3</v>
      </c>
      <c r="AD308" s="5">
        <v>64</v>
      </c>
      <c r="AE308" s="5">
        <f t="shared" si="36"/>
        <v>888.390625</v>
      </c>
      <c r="AF308" s="5">
        <v>42849</v>
      </c>
      <c r="AG308" s="6">
        <f>Table1[[#This Row],[2021 U.S. Sales ($000)]]/SUMIF($E:$E, E308, $AF:$AF)</f>
        <v>6.4677560121346083E-3</v>
      </c>
      <c r="AH308" s="5">
        <v>61</v>
      </c>
      <c r="AI308" s="12">
        <f t="shared" si="37"/>
        <v>702.44262295081967</v>
      </c>
      <c r="AJ308" s="5">
        <v>34700</v>
      </c>
      <c r="AK308" s="6">
        <f>Table1[[#This Row],[2020 U.S. Sales ($000)]]/SUMIF($E:$E, E308, $AJ:$AJ)</f>
        <v>6.3264264678722371E-3</v>
      </c>
      <c r="AL308" s="5">
        <v>57</v>
      </c>
      <c r="AM308" s="5">
        <f t="shared" si="38"/>
        <v>608.77192982456143</v>
      </c>
      <c r="AN308" s="5">
        <v>33600</v>
      </c>
      <c r="AO308" s="6">
        <f>Table1[[#This Row],[2019 U.S. Sales ($000)]]/SUMIF($E:$E, E308, $AN:$AN)</f>
        <v>5.7582264662483958E-3</v>
      </c>
      <c r="AP308" s="5">
        <v>48</v>
      </c>
      <c r="AQ308" s="5">
        <f t="shared" si="39"/>
        <v>700</v>
      </c>
    </row>
    <row r="309" spans="1:43" x14ac:dyDescent="0.25">
      <c r="A309" t="s">
        <v>374</v>
      </c>
      <c r="B309">
        <v>31587</v>
      </c>
      <c r="C309" t="s">
        <v>44</v>
      </c>
      <c r="D309" t="s">
        <v>56</v>
      </c>
      <c r="E309" t="s">
        <v>59</v>
      </c>
      <c r="F309" s="5">
        <v>405</v>
      </c>
      <c r="G309" s="5">
        <v>0</v>
      </c>
      <c r="H309" s="6">
        <f>Table1[[#This Row],[2024 U.S. Sales ($000)]]/SUMIF($E:$E, E309, $G:$G)</f>
        <v>0</v>
      </c>
      <c r="I309" s="5">
        <v>0</v>
      </c>
      <c r="J309" s="5" t="e">
        <f>Table1[[#This Row],[2024 U.S. Sales ($000)]]/Table1[[#This Row],[2024 U.S. Units]]</f>
        <v>#DIV/0!</v>
      </c>
      <c r="K309" s="6">
        <f>Table1[[#This Row],[2024 U.S. Units]]/Table1[[#This Row],[2023 U.S. Units]]-1</f>
        <v>-1</v>
      </c>
      <c r="L309" s="8">
        <f>(Table1[[#This Row],[2024 Market share (%)]]-Table1[[#This Row],[2023 Market share (%)]])*10000</f>
        <v>-20.644182145148019</v>
      </c>
      <c r="M309" s="6">
        <f>_xlfn.RRI(5,Table1[[#This Row],[2019 U.S. Sales ($000)]],Table1[[#This Row],[2024 U.S. Sales ($000)]])</f>
        <v>-1</v>
      </c>
      <c r="N309" s="9">
        <f>(Table1[[#This Row],[2024 Market share (%)]]-Table1[[#This Row],[2019 Market share (%)]])*10000</f>
        <v>-13.796455352458933</v>
      </c>
      <c r="O309" s="6" t="e">
        <f>IF(Table1[[#This Row],[2024 AUV]]=0,"",_xlfn.RRI(5,Table1[[#This Row],[2019 AUV]],Table1[[#This Row],[2024 AUV]]))</f>
        <v>#DIV/0!</v>
      </c>
      <c r="P309" s="6">
        <f>_xlfn.RRI(5,Table1[[#This Row],[2019 U.S. Units]],Table1[[#This Row],[2024 U.S. Units]])</f>
        <v>-1</v>
      </c>
      <c r="Q309" s="5">
        <v>77975</v>
      </c>
      <c r="R309" s="6">
        <f>Table1[[#This Row],[2023 U.S. Sales ($000)]]/SUMIF($E:$E, E309, $Q:$Q)</f>
        <v>2.0644182145148019E-3</v>
      </c>
      <c r="S309" s="8">
        <f>(Table1[[#This Row],[2023 Market share (%)]]-Table1[[#This Row],[2022 Market share (%)]])*10000</f>
        <v>1.4656358685033519</v>
      </c>
      <c r="T309" s="10">
        <v>0.13628083878582983</v>
      </c>
      <c r="U309" s="5">
        <v>58</v>
      </c>
      <c r="V309" s="5">
        <f t="shared" si="32"/>
        <v>1344.3965517241379</v>
      </c>
      <c r="W309" s="10">
        <v>0.13725490196078433</v>
      </c>
      <c r="X309" s="10">
        <f t="shared" si="33"/>
        <v>0.14690274654452318</v>
      </c>
      <c r="Y309" s="8">
        <f>(Table1[[#This Row],[2023 Market share (%)]]-Table1[[#This Row],[2019 Market share (%)]])*10000</f>
        <v>6.8477267926890866</v>
      </c>
      <c r="Z309" s="10">
        <f t="shared" si="34"/>
        <v>3.1847445944803709E-2</v>
      </c>
      <c r="AA309" s="10">
        <f t="shared" si="35"/>
        <v>0.11150417733928664</v>
      </c>
      <c r="AB309" s="5">
        <v>68623</v>
      </c>
      <c r="AC309" s="6">
        <f>Table1[[#This Row],[2022 U.S. Sales ($000)]]/SUMIF($E:$E, E309, $AB:$AB)</f>
        <v>1.9178546276644667E-3</v>
      </c>
      <c r="AD309" s="5">
        <v>51</v>
      </c>
      <c r="AE309" s="5">
        <f t="shared" si="36"/>
        <v>1345.5490196078431</v>
      </c>
      <c r="AF309" s="5">
        <v>63328</v>
      </c>
      <c r="AG309" s="6">
        <f>Table1[[#This Row],[2021 U.S. Sales ($000)]]/SUMIF($E:$E, E309, $AF:$AF)</f>
        <v>1.9087258441202004E-3</v>
      </c>
      <c r="AH309" s="5">
        <v>50</v>
      </c>
      <c r="AI309" s="12">
        <f t="shared" si="37"/>
        <v>1266.56</v>
      </c>
      <c r="AJ309" s="5">
        <v>45057</v>
      </c>
      <c r="AK309" s="6">
        <f>Table1[[#This Row],[2020 U.S. Sales ($000)]]/SUMIF($E:$E, E309, $AJ:$AJ)</f>
        <v>1.5820878039243447E-3</v>
      </c>
      <c r="AL309" s="5">
        <v>43</v>
      </c>
      <c r="AM309" s="5">
        <f t="shared" si="38"/>
        <v>1047.8372093023256</v>
      </c>
      <c r="AN309" s="5">
        <v>45066</v>
      </c>
      <c r="AO309" s="6">
        <f>Table1[[#This Row],[2019 U.S. Sales ($000)]]/SUMIF($E:$E, E309, $AN:$AN)</f>
        <v>1.3796455352458933E-3</v>
      </c>
      <c r="AP309" s="5">
        <v>38</v>
      </c>
      <c r="AQ309" s="5">
        <f t="shared" si="39"/>
        <v>1185.9473684210527</v>
      </c>
    </row>
    <row r="310" spans="1:43" x14ac:dyDescent="0.25">
      <c r="A310" t="s">
        <v>375</v>
      </c>
      <c r="B310">
        <v>563295</v>
      </c>
      <c r="C310" t="s">
        <v>68</v>
      </c>
      <c r="D310" t="s">
        <v>69</v>
      </c>
      <c r="E310" t="s">
        <v>107</v>
      </c>
      <c r="F310" s="5">
        <v>365</v>
      </c>
      <c r="G310" s="5">
        <v>0</v>
      </c>
      <c r="H310" s="6">
        <f>Table1[[#This Row],[2024 U.S. Sales ($000)]]/SUMIF($E:$E, E310, $G:$G)</f>
        <v>0</v>
      </c>
      <c r="I310" s="5">
        <v>0</v>
      </c>
      <c r="J310" s="5" t="e">
        <f>Table1[[#This Row],[2024 U.S. Sales ($000)]]/Table1[[#This Row],[2024 U.S. Units]]</f>
        <v>#DIV/0!</v>
      </c>
      <c r="K310" s="6">
        <f>Table1[[#This Row],[2024 U.S. Units]]/Table1[[#This Row],[2023 U.S. Units]]-1</f>
        <v>-1</v>
      </c>
      <c r="L310" s="8">
        <f>(Table1[[#This Row],[2024 Market share (%)]]-Table1[[#This Row],[2023 Market share (%)]])*10000</f>
        <v>-175.87958253766445</v>
      </c>
      <c r="M310" s="6">
        <f>_xlfn.RRI(5,Table1[[#This Row],[2019 U.S. Sales ($000)]],Table1[[#This Row],[2024 U.S. Sales ($000)]])</f>
        <v>-1</v>
      </c>
      <c r="N310" s="9">
        <f>(Table1[[#This Row],[2024 Market share (%)]]-Table1[[#This Row],[2019 Market share (%)]])*10000</f>
        <v>-102.06870915550489</v>
      </c>
      <c r="O310" s="6" t="e">
        <f>IF(Table1[[#This Row],[2024 AUV]]=0,"",_xlfn.RRI(5,Table1[[#This Row],[2019 AUV]],Table1[[#This Row],[2024 AUV]]))</f>
        <v>#DIV/0!</v>
      </c>
      <c r="P310" s="6">
        <f>_xlfn.RRI(5,Table1[[#This Row],[2019 U.S. Units]],Table1[[#This Row],[2024 U.S. Units]])</f>
        <v>-1</v>
      </c>
      <c r="Q310" s="5">
        <v>90500</v>
      </c>
      <c r="R310" s="6">
        <f>Table1[[#This Row],[2023 U.S. Sales ($000)]]/SUMIF($E:$E, E310, $Q:$Q)</f>
        <v>1.7587958253766446E-2</v>
      </c>
      <c r="S310" s="8">
        <f>(Table1[[#This Row],[2023 Market share (%)]]-Table1[[#This Row],[2022 Market share (%)]])*10000</f>
        <v>21.9247234810401</v>
      </c>
      <c r="T310" s="10">
        <v>0.12562189054726369</v>
      </c>
      <c r="U310" s="5">
        <v>54</v>
      </c>
      <c r="V310" s="5">
        <f t="shared" si="32"/>
        <v>1675.9259259259259</v>
      </c>
      <c r="W310" s="10">
        <v>0.08</v>
      </c>
      <c r="X310" s="10">
        <f t="shared" si="33"/>
        <v>0.14583562036451703</v>
      </c>
      <c r="Y310" s="8">
        <f>(Table1[[#This Row],[2023 Market share (%)]]-Table1[[#This Row],[2019 Market share (%)]])*10000</f>
        <v>73.810873382159571</v>
      </c>
      <c r="Z310" s="10">
        <f t="shared" si="34"/>
        <v>2.8113093391114674E-2</v>
      </c>
      <c r="AA310" s="10">
        <f t="shared" si="35"/>
        <v>0.11450347994801602</v>
      </c>
      <c r="AB310" s="5">
        <v>80400</v>
      </c>
      <c r="AC310" s="6">
        <f>Table1[[#This Row],[2022 U.S. Sales ($000)]]/SUMIF($E:$E, E310, $AB:$AB)</f>
        <v>1.5395485905662436E-2</v>
      </c>
      <c r="AD310" s="5">
        <v>50</v>
      </c>
      <c r="AE310" s="5">
        <f t="shared" si="36"/>
        <v>1608</v>
      </c>
      <c r="AF310" s="5">
        <v>65800</v>
      </c>
      <c r="AG310" s="6">
        <f>Table1[[#This Row],[2021 U.S. Sales ($000)]]/SUMIF($E:$E, E310, $AF:$AF)</f>
        <v>1.3666860107432321E-2</v>
      </c>
      <c r="AH310" s="5">
        <v>44</v>
      </c>
      <c r="AI310" s="12">
        <f t="shared" si="37"/>
        <v>1495.4545454545455</v>
      </c>
      <c r="AJ310" s="5">
        <v>43800</v>
      </c>
      <c r="AK310" s="6">
        <f>Table1[[#This Row],[2020 U.S. Sales ($000)]]/SUMIF($E:$E, E310, $AJ:$AJ)</f>
        <v>1.2857224630097941E-2</v>
      </c>
      <c r="AL310" s="5">
        <v>38</v>
      </c>
      <c r="AM310" s="5">
        <f t="shared" si="38"/>
        <v>1152.6315789473683</v>
      </c>
      <c r="AN310" s="5">
        <v>52500</v>
      </c>
      <c r="AO310" s="6">
        <f>Table1[[#This Row],[2019 U.S. Sales ($000)]]/SUMIF($E:$E, E310, $AN:$AN)</f>
        <v>1.0206870915550489E-2</v>
      </c>
      <c r="AP310" s="5">
        <v>35</v>
      </c>
      <c r="AQ310" s="5">
        <f t="shared" si="39"/>
        <v>1500</v>
      </c>
    </row>
    <row r="311" spans="1:43" x14ac:dyDescent="0.25">
      <c r="A311" t="s">
        <v>376</v>
      </c>
      <c r="B311">
        <v>9462</v>
      </c>
      <c r="C311" t="s">
        <v>44</v>
      </c>
      <c r="D311" t="s">
        <v>45</v>
      </c>
      <c r="E311" t="s">
        <v>59</v>
      </c>
      <c r="F311" s="5">
        <v>354</v>
      </c>
      <c r="G311" s="5">
        <v>0</v>
      </c>
      <c r="H311" s="6">
        <f>Table1[[#This Row],[2024 U.S. Sales ($000)]]/SUMIF($E:$E, E311, $G:$G)</f>
        <v>0</v>
      </c>
      <c r="I311" s="5">
        <v>0</v>
      </c>
      <c r="J311" s="5" t="e">
        <f>Table1[[#This Row],[2024 U.S. Sales ($000)]]/Table1[[#This Row],[2024 U.S. Units]]</f>
        <v>#DIV/0!</v>
      </c>
      <c r="K311" s="6">
        <f>Table1[[#This Row],[2024 U.S. Units]]/Table1[[#This Row],[2023 U.S. Units]]-1</f>
        <v>-1</v>
      </c>
      <c r="L311" s="8">
        <f>(Table1[[#This Row],[2024 Market share (%)]]-Table1[[#This Row],[2023 Market share (%)]])*10000</f>
        <v>-24.913338119377091</v>
      </c>
      <c r="M311" s="6">
        <f>_xlfn.RRI(5,Table1[[#This Row],[2019 U.S. Sales ($000)]],Table1[[#This Row],[2024 U.S. Sales ($000)]])</f>
        <v>-1</v>
      </c>
      <c r="N311" s="9">
        <f>(Table1[[#This Row],[2024 Market share (%)]]-Table1[[#This Row],[2019 Market share (%)]])*10000</f>
        <v>-16.960094672840384</v>
      </c>
      <c r="O311" s="6" t="e">
        <f>IF(Table1[[#This Row],[2024 AUV]]=0,"",_xlfn.RRI(5,Table1[[#This Row],[2019 AUV]],Table1[[#This Row],[2024 AUV]]))</f>
        <v>#DIV/0!</v>
      </c>
      <c r="P311" s="6">
        <f>_xlfn.RRI(5,Table1[[#This Row],[2019 U.S. Units]],Table1[[#This Row],[2024 U.S. Units]])</f>
        <v>-1</v>
      </c>
      <c r="Q311" s="5">
        <v>94100</v>
      </c>
      <c r="R311" s="6">
        <f>Table1[[#This Row],[2023 U.S. Sales ($000)]]/SUMIF($E:$E, E311, $Q:$Q)</f>
        <v>2.491333811937709E-3</v>
      </c>
      <c r="S311" s="8">
        <f>(Table1[[#This Row],[2023 Market share (%)]]-Table1[[#This Row],[2022 Market share (%)]])*10000</f>
        <v>2.0800718558521871</v>
      </c>
      <c r="T311" s="10">
        <v>0.15177478580171358</v>
      </c>
      <c r="U311" s="5">
        <v>105</v>
      </c>
      <c r="V311" s="5">
        <f t="shared" si="32"/>
        <v>896.19047619047615</v>
      </c>
      <c r="W311" s="10">
        <v>0.14130434782608695</v>
      </c>
      <c r="X311" s="10">
        <f t="shared" si="33"/>
        <v>0.14161578390385965</v>
      </c>
      <c r="Y311" s="8">
        <f>(Table1[[#This Row],[2023 Market share (%)]]-Table1[[#This Row],[2019 Market share (%)]])*10000</f>
        <v>7.9532434465367041</v>
      </c>
      <c r="Z311" s="10">
        <f t="shared" si="34"/>
        <v>2.0331608178372651E-2</v>
      </c>
      <c r="AA311" s="10">
        <f t="shared" si="35"/>
        <v>0.11886741011779423</v>
      </c>
      <c r="AB311" s="5">
        <v>81700</v>
      </c>
      <c r="AC311" s="6">
        <f>Table1[[#This Row],[2022 U.S. Sales ($000)]]/SUMIF($E:$E, E311, $AB:$AB)</f>
        <v>2.2833266263524903E-3</v>
      </c>
      <c r="AD311" s="5">
        <v>92</v>
      </c>
      <c r="AE311" s="5">
        <f t="shared" si="36"/>
        <v>888.04347826086962</v>
      </c>
      <c r="AF311" s="5">
        <v>67700</v>
      </c>
      <c r="AG311" s="6">
        <f>Table1[[#This Row],[2021 U.S. Sales ($000)]]/SUMIF($E:$E, E311, $AF:$AF)</f>
        <v>2.040499299629509E-3</v>
      </c>
      <c r="AH311" s="5">
        <v>80</v>
      </c>
      <c r="AI311" s="12">
        <f t="shared" si="37"/>
        <v>846.25</v>
      </c>
      <c r="AJ311" s="5">
        <v>54000</v>
      </c>
      <c r="AK311" s="6">
        <f>Table1[[#This Row],[2020 U.S. Sales ($000)]]/SUMIF($E:$E, E311, $AJ:$AJ)</f>
        <v>1.8961036334401893E-3</v>
      </c>
      <c r="AL311" s="5">
        <v>74</v>
      </c>
      <c r="AM311" s="5">
        <f t="shared" si="38"/>
        <v>729.72972972972968</v>
      </c>
      <c r="AN311" s="5">
        <v>55400</v>
      </c>
      <c r="AO311" s="6">
        <f>Table1[[#This Row],[2019 U.S. Sales ($000)]]/SUMIF($E:$E, E311, $AN:$AN)</f>
        <v>1.6960094672840386E-3</v>
      </c>
      <c r="AP311" s="5">
        <v>67</v>
      </c>
      <c r="AQ311" s="5">
        <f t="shared" si="39"/>
        <v>826.8656716417911</v>
      </c>
    </row>
    <row r="312" spans="1:43" x14ac:dyDescent="0.25">
      <c r="A312" t="s">
        <v>377</v>
      </c>
      <c r="B312">
        <v>2796</v>
      </c>
      <c r="C312" t="s">
        <v>44</v>
      </c>
      <c r="D312" t="s">
        <v>45</v>
      </c>
      <c r="E312" t="s">
        <v>76</v>
      </c>
      <c r="F312" s="5">
        <v>277</v>
      </c>
      <c r="G312" s="5">
        <v>0</v>
      </c>
      <c r="H312" s="6">
        <f>Table1[[#This Row],[2024 U.S. Sales ($000)]]/SUMIF($E:$E, E312, $G:$G)</f>
        <v>0</v>
      </c>
      <c r="I312" s="5">
        <v>0</v>
      </c>
      <c r="J312" s="5" t="e">
        <f>Table1[[#This Row],[2024 U.S. Sales ($000)]]/Table1[[#This Row],[2024 U.S. Units]]</f>
        <v>#DIV/0!</v>
      </c>
      <c r="K312" s="6">
        <f>Table1[[#This Row],[2024 U.S. Units]]/Table1[[#This Row],[2023 U.S. Units]]-1</f>
        <v>-1</v>
      </c>
      <c r="L312" s="8">
        <f>(Table1[[#This Row],[2024 Market share (%)]]-Table1[[#This Row],[2023 Market share (%)]])*10000</f>
        <v>-160.28188136510681</v>
      </c>
      <c r="M312" s="6">
        <f>_xlfn.RRI(5,Table1[[#This Row],[2019 U.S. Sales ($000)]],Table1[[#This Row],[2024 U.S. Sales ($000)]])</f>
        <v>-1</v>
      </c>
      <c r="N312" s="9">
        <f>(Table1[[#This Row],[2024 Market share (%)]]-Table1[[#This Row],[2019 Market share (%)]])*10000</f>
        <v>-120.96092111741432</v>
      </c>
      <c r="O312" s="6" t="e">
        <f>IF(Table1[[#This Row],[2024 AUV]]=0,"",_xlfn.RRI(5,Table1[[#This Row],[2019 AUV]],Table1[[#This Row],[2024 AUV]]))</f>
        <v>#DIV/0!</v>
      </c>
      <c r="P312" s="6">
        <f>_xlfn.RRI(5,Table1[[#This Row],[2019 U.S. Units]],Table1[[#This Row],[2024 U.S. Units]])</f>
        <v>-1</v>
      </c>
      <c r="Q312" s="5">
        <v>130049</v>
      </c>
      <c r="R312" s="6">
        <f>Table1[[#This Row],[2023 U.S. Sales ($000)]]/SUMIF($E:$E, E312, $Q:$Q)</f>
        <v>1.602818813651068E-2</v>
      </c>
      <c r="S312" s="8">
        <f>(Table1[[#This Row],[2023 Market share (%)]]-Table1[[#This Row],[2022 Market share (%)]])*10000</f>
        <v>3.5310119103502609</v>
      </c>
      <c r="T312" s="10">
        <v>0.10183937845783664</v>
      </c>
      <c r="U312" s="5">
        <v>194</v>
      </c>
      <c r="V312" s="5">
        <f t="shared" si="32"/>
        <v>670.35567010309273</v>
      </c>
      <c r="W312" s="10">
        <v>3.7433155080213901E-2</v>
      </c>
      <c r="X312" s="10">
        <f t="shared" si="33"/>
        <v>0.14073941932466361</v>
      </c>
      <c r="Y312" s="8">
        <f>(Table1[[#This Row],[2023 Market share (%)]]-Table1[[#This Row],[2019 Market share (%)]])*10000</f>
        <v>39.32096024769249</v>
      </c>
      <c r="Z312" s="10">
        <f t="shared" si="34"/>
        <v>0.11330506199900192</v>
      </c>
      <c r="AA312" s="10">
        <f t="shared" si="35"/>
        <v>2.4642264067677555E-2</v>
      </c>
      <c r="AB312" s="5">
        <v>118029</v>
      </c>
      <c r="AC312" s="6">
        <f>Table1[[#This Row],[2022 U.S. Sales ($000)]]/SUMIF($E:$E, E312, $AB:$AB)</f>
        <v>1.5675086945475654E-2</v>
      </c>
      <c r="AD312" s="5">
        <v>187</v>
      </c>
      <c r="AE312" s="5">
        <f t="shared" si="36"/>
        <v>631.17112299465236</v>
      </c>
      <c r="AF312" s="5">
        <v>105300</v>
      </c>
      <c r="AG312" s="6">
        <f>Table1[[#This Row],[2021 U.S. Sales ($000)]]/SUMIF($E:$E, E312, $AF:$AF)</f>
        <v>1.4422579102299229E-2</v>
      </c>
      <c r="AH312" s="5">
        <v>181</v>
      </c>
      <c r="AI312" s="12">
        <f t="shared" si="37"/>
        <v>581.76795580110502</v>
      </c>
      <c r="AJ312" s="5">
        <v>86200</v>
      </c>
      <c r="AK312" s="6">
        <f>Table1[[#This Row],[2020 U.S. Sales ($000)]]/SUMIF($E:$E, E312, $AJ:$AJ)</f>
        <v>1.3489376099141593E-2</v>
      </c>
      <c r="AL312" s="5">
        <v>176</v>
      </c>
      <c r="AM312" s="5">
        <f t="shared" si="38"/>
        <v>489.77272727272725</v>
      </c>
      <c r="AN312" s="5">
        <v>76800</v>
      </c>
      <c r="AO312" s="6">
        <f>Table1[[#This Row],[2019 U.S. Sales ($000)]]/SUMIF($E:$E, E312, $AN:$AN)</f>
        <v>1.2096092111741431E-2</v>
      </c>
      <c r="AP312" s="5">
        <v>176</v>
      </c>
      <c r="AQ312" s="5">
        <f t="shared" si="39"/>
        <v>436.36363636363637</v>
      </c>
    </row>
    <row r="313" spans="1:43" x14ac:dyDescent="0.25">
      <c r="A313" t="s">
        <v>378</v>
      </c>
      <c r="B313">
        <v>33412</v>
      </c>
      <c r="C313" t="s">
        <v>44</v>
      </c>
      <c r="D313" t="s">
        <v>56</v>
      </c>
      <c r="E313" t="s">
        <v>50</v>
      </c>
      <c r="F313" s="5">
        <v>438</v>
      </c>
      <c r="G313" s="5">
        <v>0</v>
      </c>
      <c r="H313" s="6">
        <f>Table1[[#This Row],[2024 U.S. Sales ($000)]]/SUMIF($E:$E, E313, $G:$G)</f>
        <v>0</v>
      </c>
      <c r="I313" s="5">
        <v>0</v>
      </c>
      <c r="J313" s="5" t="e">
        <f>Table1[[#This Row],[2024 U.S. Sales ($000)]]/Table1[[#This Row],[2024 U.S. Units]]</f>
        <v>#DIV/0!</v>
      </c>
      <c r="K313" s="6">
        <f>Table1[[#This Row],[2024 U.S. Units]]/Table1[[#This Row],[2023 U.S. Units]]-1</f>
        <v>-1</v>
      </c>
      <c r="L313" s="8">
        <f>(Table1[[#This Row],[2024 Market share (%)]]-Table1[[#This Row],[2023 Market share (%)]])*10000</f>
        <v>-14.596985597940304</v>
      </c>
      <c r="M313" s="6">
        <f>_xlfn.RRI(5,Table1[[#This Row],[2019 U.S. Sales ($000)]],Table1[[#This Row],[2024 U.S. Sales ($000)]])</f>
        <v>-1</v>
      </c>
      <c r="N313" s="9">
        <f>(Table1[[#This Row],[2024 Market share (%)]]-Table1[[#This Row],[2019 Market share (%)]])*10000</f>
        <v>-13.811232825495821</v>
      </c>
      <c r="O313" s="6" t="e">
        <f>IF(Table1[[#This Row],[2024 AUV]]=0,"",_xlfn.RRI(5,Table1[[#This Row],[2019 AUV]],Table1[[#This Row],[2024 AUV]]))</f>
        <v>#DIV/0!</v>
      </c>
      <c r="P313" s="6">
        <f>_xlfn.RRI(5,Table1[[#This Row],[2019 U.S. Units]],Table1[[#This Row],[2024 U.S. Units]])</f>
        <v>-1</v>
      </c>
      <c r="Q313" s="5">
        <v>71500</v>
      </c>
      <c r="R313" s="6">
        <f>Table1[[#This Row],[2023 U.S. Sales ($000)]]/SUMIF($E:$E, E313, $Q:$Q)</f>
        <v>1.4596985597940303E-3</v>
      </c>
      <c r="S313" s="8">
        <f>(Table1[[#This Row],[2023 Market share (%)]]-Table1[[#This Row],[2022 Market share (%)]])*10000</f>
        <v>2.0457127459102501E-2</v>
      </c>
      <c r="T313" s="10">
        <v>0.12421383647798742</v>
      </c>
      <c r="U313" s="5">
        <v>39</v>
      </c>
      <c r="V313" s="5">
        <f t="shared" si="32"/>
        <v>1833.3333333333333</v>
      </c>
      <c r="W313" s="10">
        <v>0.11428571428571428</v>
      </c>
      <c r="X313" s="10">
        <f t="shared" si="33"/>
        <v>0.13955435790998161</v>
      </c>
      <c r="Y313" s="8">
        <f>(Table1[[#This Row],[2023 Market share (%)]]-Table1[[#This Row],[2019 Market share (%)]])*10000</f>
        <v>0.78575277244448105</v>
      </c>
      <c r="Z313" s="10">
        <f t="shared" si="34"/>
        <v>3.9464915926796573E-2</v>
      </c>
      <c r="AA313" s="10">
        <f t="shared" si="35"/>
        <v>9.6289389328686026E-2</v>
      </c>
      <c r="AB313" s="5">
        <v>63600</v>
      </c>
      <c r="AC313" s="6">
        <f>Table1[[#This Row],[2022 U.S. Sales ($000)]]/SUMIF($E:$E, E313, $AB:$AB)</f>
        <v>1.45765284704812E-3</v>
      </c>
      <c r="AD313" s="5">
        <v>35</v>
      </c>
      <c r="AE313" s="5">
        <f t="shared" si="36"/>
        <v>1817.1428571428571</v>
      </c>
      <c r="AF313" s="5">
        <v>52400</v>
      </c>
      <c r="AG313" s="6">
        <f>Table1[[#This Row],[2021 U.S. Sales ($000)]]/SUMIF($E:$E, E313, $AF:$AF)</f>
        <v>1.332829130516962E-3</v>
      </c>
      <c r="AH313" s="5">
        <v>33</v>
      </c>
      <c r="AI313" s="12">
        <f t="shared" si="37"/>
        <v>1587.878787878788</v>
      </c>
      <c r="AJ313" s="5">
        <v>35400</v>
      </c>
      <c r="AK313" s="6">
        <f>Table1[[#This Row],[2020 U.S. Sales ($000)]]/SUMIF($E:$E, E313, $AJ:$AJ)</f>
        <v>1.0467389336409208E-3</v>
      </c>
      <c r="AL313" s="5">
        <v>28</v>
      </c>
      <c r="AM313" s="5">
        <f t="shared" si="38"/>
        <v>1264.2857142857142</v>
      </c>
      <c r="AN313" s="5">
        <v>42400</v>
      </c>
      <c r="AO313" s="6">
        <f>Table1[[#This Row],[2019 U.S. Sales ($000)]]/SUMIF($E:$E, E313, $AN:$AN)</f>
        <v>1.3811232825495822E-3</v>
      </c>
      <c r="AP313" s="5">
        <v>27</v>
      </c>
      <c r="AQ313" s="5">
        <f t="shared" si="39"/>
        <v>1570.3703703703704</v>
      </c>
    </row>
    <row r="314" spans="1:43" x14ac:dyDescent="0.25">
      <c r="A314" t="s">
        <v>379</v>
      </c>
      <c r="B314">
        <v>11613</v>
      </c>
      <c r="C314" t="s">
        <v>44</v>
      </c>
      <c r="D314" t="s">
        <v>45</v>
      </c>
      <c r="E314" t="s">
        <v>76</v>
      </c>
      <c r="F314" s="5">
        <v>414</v>
      </c>
      <c r="G314" s="5">
        <v>0</v>
      </c>
      <c r="H314" s="6">
        <f>Table1[[#This Row],[2024 U.S. Sales ($000)]]/SUMIF($E:$E, E314, $G:$G)</f>
        <v>0</v>
      </c>
      <c r="I314" s="5">
        <v>0</v>
      </c>
      <c r="J314" s="5" t="e">
        <f>Table1[[#This Row],[2024 U.S. Sales ($000)]]/Table1[[#This Row],[2024 U.S. Units]]</f>
        <v>#DIV/0!</v>
      </c>
      <c r="K314" s="6">
        <f>Table1[[#This Row],[2024 U.S. Units]]/Table1[[#This Row],[2023 U.S. Units]]-1</f>
        <v>-1</v>
      </c>
      <c r="L314" s="8">
        <f>(Table1[[#This Row],[2024 Market share (%)]]-Table1[[#This Row],[2023 Market share (%)]])*10000</f>
        <v>-94.28418461065192</v>
      </c>
      <c r="M314" s="6">
        <f>_xlfn.RRI(5,Table1[[#This Row],[2019 U.S. Sales ($000)]],Table1[[#This Row],[2024 U.S. Sales ($000)]])</f>
        <v>-1</v>
      </c>
      <c r="N314" s="9">
        <f>(Table1[[#This Row],[2024 Market share (%)]]-Table1[[#This Row],[2019 Market share (%)]])*10000</f>
        <v>-71.820546913464739</v>
      </c>
      <c r="O314" s="6" t="e">
        <f>IF(Table1[[#This Row],[2024 AUV]]=0,"",_xlfn.RRI(5,Table1[[#This Row],[2019 AUV]],Table1[[#This Row],[2024 AUV]]))</f>
        <v>#DIV/0!</v>
      </c>
      <c r="P314" s="6">
        <f>_xlfn.RRI(5,Table1[[#This Row],[2019 U.S. Units]],Table1[[#This Row],[2024 U.S. Units]])</f>
        <v>-1</v>
      </c>
      <c r="Q314" s="5">
        <v>76500</v>
      </c>
      <c r="R314" s="6">
        <f>Table1[[#This Row],[2023 U.S. Sales ($000)]]/SUMIF($E:$E, E314, $Q:$Q)</f>
        <v>9.4284184610651921E-3</v>
      </c>
      <c r="S314" s="8">
        <f>(Table1[[#This Row],[2023 Market share (%)]]-Table1[[#This Row],[2022 Market share (%)]])*10000</f>
        <v>11.146951999448234</v>
      </c>
      <c r="T314" s="10">
        <v>0.22204472843450479</v>
      </c>
      <c r="U314" s="5">
        <v>85</v>
      </c>
      <c r="V314" s="5">
        <f t="shared" si="32"/>
        <v>900</v>
      </c>
      <c r="W314" s="10">
        <v>0.19718309859154928</v>
      </c>
      <c r="X314" s="10">
        <f t="shared" si="33"/>
        <v>0.13808355545279505</v>
      </c>
      <c r="Y314" s="8">
        <f>(Table1[[#This Row],[2023 Market share (%)]]-Table1[[#This Row],[2019 Market share (%)]])*10000</f>
        <v>22.463637697187178</v>
      </c>
      <c r="Z314" s="10">
        <f t="shared" si="34"/>
        <v>-3.3058303577858661E-3</v>
      </c>
      <c r="AA314" s="10">
        <f t="shared" si="35"/>
        <v>0.14185834543542652</v>
      </c>
      <c r="AB314" s="5">
        <v>62600</v>
      </c>
      <c r="AC314" s="6">
        <f>Table1[[#This Row],[2022 U.S. Sales ($000)]]/SUMIF($E:$E, E314, $AB:$AB)</f>
        <v>8.3137232611203687E-3</v>
      </c>
      <c r="AD314" s="5">
        <v>71</v>
      </c>
      <c r="AE314" s="5">
        <f t="shared" si="36"/>
        <v>881.69014084507046</v>
      </c>
      <c r="AF314" s="5">
        <v>52400</v>
      </c>
      <c r="AG314" s="6">
        <f>Table1[[#This Row],[2021 U.S. Sales ($000)]]/SUMIF($E:$E, E314, $AF:$AF)</f>
        <v>7.1770479103559319E-3</v>
      </c>
      <c r="AH314" s="5">
        <v>62</v>
      </c>
      <c r="AI314" s="12">
        <f t="shared" si="37"/>
        <v>845.16129032258061</v>
      </c>
      <c r="AJ314" s="5">
        <v>41700</v>
      </c>
      <c r="AK314" s="6">
        <f>Table1[[#This Row],[2020 U.S. Sales ($000)]]/SUMIF($E:$E, E314, $AJ:$AJ)</f>
        <v>6.5256030549211653E-3</v>
      </c>
      <c r="AL314" s="5">
        <v>55</v>
      </c>
      <c r="AM314" s="5">
        <f t="shared" si="38"/>
        <v>758.18181818181813</v>
      </c>
      <c r="AN314" s="5">
        <v>45600</v>
      </c>
      <c r="AO314" s="6">
        <f>Table1[[#This Row],[2019 U.S. Sales ($000)]]/SUMIF($E:$E, E314, $AN:$AN)</f>
        <v>7.1820546913464742E-3</v>
      </c>
      <c r="AP314" s="5">
        <v>50</v>
      </c>
      <c r="AQ314" s="5">
        <f t="shared" si="39"/>
        <v>912</v>
      </c>
    </row>
    <row r="315" spans="1:43" x14ac:dyDescent="0.25">
      <c r="A315" t="s">
        <v>380</v>
      </c>
      <c r="B315">
        <v>33427</v>
      </c>
      <c r="C315" t="s">
        <v>44</v>
      </c>
      <c r="D315" t="s">
        <v>56</v>
      </c>
      <c r="E315" t="s">
        <v>63</v>
      </c>
      <c r="F315" s="5">
        <v>422</v>
      </c>
      <c r="G315" s="5">
        <v>0</v>
      </c>
      <c r="H315" s="6">
        <f>Table1[[#This Row],[2024 U.S. Sales ($000)]]/SUMIF($E:$E, E315, $G:$G)</f>
        <v>0</v>
      </c>
      <c r="I315" s="5">
        <v>0</v>
      </c>
      <c r="J315" s="5" t="e">
        <f>Table1[[#This Row],[2024 U.S. Sales ($000)]]/Table1[[#This Row],[2024 U.S. Units]]</f>
        <v>#DIV/0!</v>
      </c>
      <c r="K315" s="6">
        <f>Table1[[#This Row],[2024 U.S. Units]]/Table1[[#This Row],[2023 U.S. Units]]-1</f>
        <v>-1</v>
      </c>
      <c r="L315" s="8">
        <f>(Table1[[#This Row],[2024 Market share (%)]]-Table1[[#This Row],[2023 Market share (%)]])*10000</f>
        <v>-89.848369373185335</v>
      </c>
      <c r="M315" s="6">
        <f>_xlfn.RRI(5,Table1[[#This Row],[2019 U.S. Sales ($000)]],Table1[[#This Row],[2024 U.S. Sales ($000)]])</f>
        <v>-1</v>
      </c>
      <c r="N315" s="9">
        <f>(Table1[[#This Row],[2024 Market share (%)]]-Table1[[#This Row],[2019 Market share (%)]])*10000</f>
        <v>-76.433601307940009</v>
      </c>
      <c r="O315" s="6" t="e">
        <f>IF(Table1[[#This Row],[2024 AUV]]=0,"",_xlfn.RRI(5,Table1[[#This Row],[2019 AUV]],Table1[[#This Row],[2024 AUV]]))</f>
        <v>#DIV/0!</v>
      </c>
      <c r="P315" s="6">
        <f>_xlfn.RRI(5,Table1[[#This Row],[2019 U.S. Units]],Table1[[#This Row],[2024 U.S. Units]])</f>
        <v>-1</v>
      </c>
      <c r="Q315" s="5">
        <v>74200</v>
      </c>
      <c r="R315" s="6">
        <f>Table1[[#This Row],[2023 U.S. Sales ($000)]]/SUMIF($E:$E, E315, $Q:$Q)</f>
        <v>8.9848369373185331E-3</v>
      </c>
      <c r="S315" s="8">
        <f>(Table1[[#This Row],[2023 Market share (%)]]-Table1[[#This Row],[2022 Market share (%)]])*10000</f>
        <v>7.5317428084790627</v>
      </c>
      <c r="T315" s="10">
        <v>0.1853035143769968</v>
      </c>
      <c r="U315" s="5">
        <v>51</v>
      </c>
      <c r="V315" s="5">
        <f t="shared" si="32"/>
        <v>1454.9019607843138</v>
      </c>
      <c r="W315" s="10">
        <v>8.5106382978723402E-2</v>
      </c>
      <c r="X315" s="10">
        <f t="shared" si="33"/>
        <v>0.13570950797410952</v>
      </c>
      <c r="Y315" s="8">
        <f>(Table1[[#This Row],[2023 Market share (%)]]-Table1[[#This Row],[2019 Market share (%)]])*10000</f>
        <v>13.414768065245315</v>
      </c>
      <c r="Z315" s="10">
        <f t="shared" si="34"/>
        <v>4.8154126930049168E-2</v>
      </c>
      <c r="AA315" s="10">
        <f t="shared" si="35"/>
        <v>8.3532925926173007E-2</v>
      </c>
      <c r="AB315" s="5">
        <v>62600</v>
      </c>
      <c r="AC315" s="6">
        <f>Table1[[#This Row],[2022 U.S. Sales ($000)]]/SUMIF($E:$E, E315, $AB:$AB)</f>
        <v>8.2316626564706268E-3</v>
      </c>
      <c r="AD315" s="5">
        <v>47</v>
      </c>
      <c r="AE315" s="5">
        <f t="shared" si="36"/>
        <v>1331.9148936170213</v>
      </c>
      <c r="AF315" s="5">
        <v>53100</v>
      </c>
      <c r="AG315" s="6">
        <f>Table1[[#This Row],[2021 U.S. Sales ($000)]]/SUMIF($E:$E, E315, $AF:$AF)</f>
        <v>8.0150725628217161E-3</v>
      </c>
      <c r="AH315" s="5">
        <v>43</v>
      </c>
      <c r="AI315" s="12">
        <f t="shared" si="37"/>
        <v>1234.8837209302326</v>
      </c>
      <c r="AJ315" s="5">
        <v>42700</v>
      </c>
      <c r="AK315" s="6">
        <f>Table1[[#This Row],[2020 U.S. Sales ($000)]]/SUMIF($E:$E, E315, $AJ:$AJ)</f>
        <v>7.7849685930301013E-3</v>
      </c>
      <c r="AL315" s="5">
        <v>40</v>
      </c>
      <c r="AM315" s="5">
        <f t="shared" si="38"/>
        <v>1067.5</v>
      </c>
      <c r="AN315" s="5">
        <v>44600</v>
      </c>
      <c r="AO315" s="6">
        <f>Table1[[#This Row],[2019 U.S. Sales ($000)]]/SUMIF($E:$E, E315, $AN:$AN)</f>
        <v>7.6433601307940016E-3</v>
      </c>
      <c r="AP315" s="5">
        <v>37</v>
      </c>
      <c r="AQ315" s="5">
        <f t="shared" si="39"/>
        <v>1205.4054054054054</v>
      </c>
    </row>
    <row r="316" spans="1:43" x14ac:dyDescent="0.25">
      <c r="A316" t="s">
        <v>381</v>
      </c>
      <c r="B316">
        <v>562841</v>
      </c>
      <c r="C316" t="s">
        <v>68</v>
      </c>
      <c r="D316" t="s">
        <v>69</v>
      </c>
      <c r="E316" t="s">
        <v>107</v>
      </c>
      <c r="F316" s="5">
        <v>499</v>
      </c>
      <c r="G316" s="5">
        <v>0</v>
      </c>
      <c r="H316" s="6">
        <f>Table1[[#This Row],[2024 U.S. Sales ($000)]]/SUMIF($E:$E, E316, $G:$G)</f>
        <v>0</v>
      </c>
      <c r="I316" s="5">
        <v>0</v>
      </c>
      <c r="J316" s="5" t="e">
        <f>Table1[[#This Row],[2024 U.S. Sales ($000)]]/Table1[[#This Row],[2024 U.S. Units]]</f>
        <v>#DIV/0!</v>
      </c>
      <c r="K316" s="6">
        <f>Table1[[#This Row],[2024 U.S. Units]]/Table1[[#This Row],[2023 U.S. Units]]-1</f>
        <v>-1</v>
      </c>
      <c r="L316" s="8">
        <f>(Table1[[#This Row],[2024 Market share (%)]]-Table1[[#This Row],[2023 Market share (%)]])*10000</f>
        <v>-105.43057848252262</v>
      </c>
      <c r="M316" s="6">
        <f>_xlfn.RRI(5,Table1[[#This Row],[2019 U.S. Sales ($000)]],Table1[[#This Row],[2024 U.S. Sales ($000)]])</f>
        <v>-1</v>
      </c>
      <c r="N316" s="9">
        <f>(Table1[[#This Row],[2024 Market share (%)]]-Table1[[#This Row],[2019 Market share (%)]])*10000</f>
        <v>-63.768641148582098</v>
      </c>
      <c r="O316" s="6" t="e">
        <f>IF(Table1[[#This Row],[2024 AUV]]=0,"",_xlfn.RRI(5,Table1[[#This Row],[2019 AUV]],Table1[[#This Row],[2024 AUV]]))</f>
        <v>#DIV/0!</v>
      </c>
      <c r="P316" s="6">
        <f>_xlfn.RRI(5,Table1[[#This Row],[2019 U.S. Units]],Table1[[#This Row],[2024 U.S. Units]])</f>
        <v>-1</v>
      </c>
      <c r="Q316" s="5">
        <v>54250</v>
      </c>
      <c r="R316" s="6">
        <f>Table1[[#This Row],[2023 U.S. Sales ($000)]]/SUMIF($E:$E, E316, $Q:$Q)</f>
        <v>1.0543057848252262E-2</v>
      </c>
      <c r="S316" s="8">
        <f>(Table1[[#This Row],[2023 Market share (%)]]-Table1[[#This Row],[2022 Market share (%)]])*10000</f>
        <v>3.6556934220800112</v>
      </c>
      <c r="T316" s="10">
        <v>2.0696142991533398E-2</v>
      </c>
      <c r="U316" s="5">
        <v>19</v>
      </c>
      <c r="V316" s="5">
        <f t="shared" si="32"/>
        <v>2855.2631578947367</v>
      </c>
      <c r="W316" s="10">
        <v>0.26666666666666666</v>
      </c>
      <c r="X316" s="10">
        <f t="shared" si="33"/>
        <v>0.13404809844164833</v>
      </c>
      <c r="Y316" s="8">
        <f>(Table1[[#This Row],[2023 Market share (%)]]-Table1[[#This Row],[2019 Market share (%)]])*10000</f>
        <v>41.661937333940514</v>
      </c>
      <c r="Z316" s="10">
        <f t="shared" si="34"/>
        <v>-3.4075738691042523E-2</v>
      </c>
      <c r="AA316" s="10">
        <f t="shared" si="35"/>
        <v>0.17405488594401852</v>
      </c>
      <c r="AB316" s="5">
        <v>53150</v>
      </c>
      <c r="AC316" s="6">
        <f>Table1[[#This Row],[2022 U.S. Sales ($000)]]/SUMIF($E:$E, E316, $AB:$AB)</f>
        <v>1.017748850604426E-2</v>
      </c>
      <c r="AD316" s="5">
        <v>15</v>
      </c>
      <c r="AE316" s="5">
        <f t="shared" si="36"/>
        <v>3543.3333333333335</v>
      </c>
      <c r="AF316" s="5">
        <v>55500</v>
      </c>
      <c r="AG316" s="6">
        <f>Table1[[#This Row],[2021 U.S. Sales ($000)]]/SUMIF($E:$E, E316, $AF:$AF)</f>
        <v>1.1527518783624527E-2</v>
      </c>
      <c r="AH316" s="5">
        <v>14</v>
      </c>
      <c r="AI316" s="12">
        <f t="shared" si="37"/>
        <v>3964.2857142857142</v>
      </c>
      <c r="AJ316" s="5">
        <v>33500</v>
      </c>
      <c r="AK316" s="6">
        <f>Table1[[#This Row],[2020 U.S. Sales ($000)]]/SUMIF($E:$E, E316, $AJ:$AJ)</f>
        <v>9.8337220344356397E-3</v>
      </c>
      <c r="AL316" s="5">
        <v>11</v>
      </c>
      <c r="AM316" s="5">
        <f t="shared" si="38"/>
        <v>3045.4545454545455</v>
      </c>
      <c r="AN316" s="5">
        <v>32800</v>
      </c>
      <c r="AO316" s="6">
        <f>Table1[[#This Row],[2019 U.S. Sales ($000)]]/SUMIF($E:$E, E316, $AN:$AN)</f>
        <v>6.3768641148582101E-3</v>
      </c>
      <c r="AP316" s="5">
        <v>10</v>
      </c>
      <c r="AQ316" s="5">
        <f t="shared" si="39"/>
        <v>3280</v>
      </c>
    </row>
    <row r="317" spans="1:43" x14ac:dyDescent="0.25">
      <c r="A317" t="s">
        <v>382</v>
      </c>
      <c r="B317">
        <v>61738</v>
      </c>
      <c r="C317" t="s">
        <v>68</v>
      </c>
      <c r="D317" t="s">
        <v>69</v>
      </c>
      <c r="E317" t="s">
        <v>87</v>
      </c>
      <c r="F317" s="5">
        <v>255</v>
      </c>
      <c r="G317" s="5">
        <v>0</v>
      </c>
      <c r="H317" s="6">
        <f>Table1[[#This Row],[2024 U.S. Sales ($000)]]/SUMIF($E:$E, E317, $G:$G)</f>
        <v>0</v>
      </c>
      <c r="I317" s="5">
        <v>0</v>
      </c>
      <c r="J317" s="5" t="e">
        <f>Table1[[#This Row],[2024 U.S. Sales ($000)]]/Table1[[#This Row],[2024 U.S. Units]]</f>
        <v>#DIV/0!</v>
      </c>
      <c r="K317" s="6">
        <f>Table1[[#This Row],[2024 U.S. Units]]/Table1[[#This Row],[2023 U.S. Units]]-1</f>
        <v>-1</v>
      </c>
      <c r="L317" s="8">
        <f>(Table1[[#This Row],[2024 Market share (%)]]-Table1[[#This Row],[2023 Market share (%)]])*10000</f>
        <v>-150.85779217416228</v>
      </c>
      <c r="M317" s="6">
        <f>_xlfn.RRI(5,Table1[[#This Row],[2019 U.S. Sales ($000)]],Table1[[#This Row],[2024 U.S. Sales ($000)]])</f>
        <v>-1</v>
      </c>
      <c r="N317" s="9">
        <f>(Table1[[#This Row],[2024 Market share (%)]]-Table1[[#This Row],[2019 Market share (%)]])*10000</f>
        <v>-104.10274648983298</v>
      </c>
      <c r="O317" s="6" t="e">
        <f>IF(Table1[[#This Row],[2024 AUV]]=0,"",_xlfn.RRI(5,Table1[[#This Row],[2019 AUV]],Table1[[#This Row],[2024 AUV]]))</f>
        <v>#DIV/0!</v>
      </c>
      <c r="P317" s="6">
        <f>_xlfn.RRI(5,Table1[[#This Row],[2019 U.S. Units]],Table1[[#This Row],[2024 U.S. Units]])</f>
        <v>-1</v>
      </c>
      <c r="Q317" s="5">
        <v>147100</v>
      </c>
      <c r="R317" s="6">
        <f>Table1[[#This Row],[2023 U.S. Sales ($000)]]/SUMIF($E:$E, E317, $Q:$Q)</f>
        <v>1.508577921741623E-2</v>
      </c>
      <c r="S317" s="8">
        <f>(Table1[[#This Row],[2023 Market share (%)]]-Table1[[#This Row],[2022 Market share (%)]])*10000</f>
        <v>15.645181558284881</v>
      </c>
      <c r="T317" s="10">
        <v>0.16192733017377567</v>
      </c>
      <c r="U317" s="5">
        <v>58</v>
      </c>
      <c r="V317" s="5">
        <f t="shared" si="32"/>
        <v>2536.2068965517242</v>
      </c>
      <c r="W317" s="10">
        <v>9.4339622641509441E-2</v>
      </c>
      <c r="X317" s="10">
        <f t="shared" si="33"/>
        <v>0.13353188843010355</v>
      </c>
      <c r="Y317" s="8">
        <f>(Table1[[#This Row],[2023 Market share (%)]]-Table1[[#This Row],[2019 Market share (%)]])*10000</f>
        <v>46.755045684329311</v>
      </c>
      <c r="Z317" s="10">
        <f t="shared" si="34"/>
        <v>4.5656560008863423E-2</v>
      </c>
      <c r="AA317" s="10">
        <f t="shared" si="35"/>
        <v>8.4038423113316663E-2</v>
      </c>
      <c r="AB317" s="5">
        <v>126600</v>
      </c>
      <c r="AC317" s="6">
        <f>Table1[[#This Row],[2022 U.S. Sales ($000)]]/SUMIF($E:$E, E317, $AB:$AB)</f>
        <v>1.3521261061587742E-2</v>
      </c>
      <c r="AD317" s="5">
        <v>53</v>
      </c>
      <c r="AE317" s="5">
        <f t="shared" si="36"/>
        <v>2388.6792452830186</v>
      </c>
      <c r="AF317" s="5">
        <v>80100</v>
      </c>
      <c r="AG317" s="6">
        <f>Table1[[#This Row],[2021 U.S. Sales ($000)]]/SUMIF($E:$E, E317, $AF:$AF)</f>
        <v>9.3919745870286626E-3</v>
      </c>
      <c r="AH317" s="5">
        <v>44</v>
      </c>
      <c r="AI317" s="12">
        <f t="shared" si="37"/>
        <v>1820.4545454545455</v>
      </c>
      <c r="AJ317" s="5">
        <v>62400</v>
      </c>
      <c r="AK317" s="6">
        <f>Table1[[#This Row],[2020 U.S. Sales ($000)]]/SUMIF($E:$E, E317, $AJ:$AJ)</f>
        <v>9.4180817812490516E-3</v>
      </c>
      <c r="AL317" s="5">
        <v>44</v>
      </c>
      <c r="AM317" s="5">
        <f t="shared" si="38"/>
        <v>1418.1818181818182</v>
      </c>
      <c r="AN317" s="5">
        <v>89100</v>
      </c>
      <c r="AO317" s="6">
        <f>Table1[[#This Row],[2019 U.S. Sales ($000)]]/SUMIF($E:$E, E317, $AN:$AN)</f>
        <v>1.0410274648983298E-2</v>
      </c>
      <c r="AP317" s="5">
        <v>42</v>
      </c>
      <c r="AQ317" s="5">
        <f t="shared" si="39"/>
        <v>2121.4285714285716</v>
      </c>
    </row>
    <row r="318" spans="1:43" x14ac:dyDescent="0.25">
      <c r="A318" t="s">
        <v>383</v>
      </c>
      <c r="B318">
        <v>2359</v>
      </c>
      <c r="C318" t="s">
        <v>44</v>
      </c>
      <c r="D318" t="s">
        <v>56</v>
      </c>
      <c r="E318" t="s">
        <v>52</v>
      </c>
      <c r="F318" s="5">
        <v>307</v>
      </c>
      <c r="G318" s="5">
        <v>0</v>
      </c>
      <c r="H318" s="6">
        <f>Table1[[#This Row],[2024 U.S. Sales ($000)]]/SUMIF($E:$E, E318, $G:$G)</f>
        <v>0</v>
      </c>
      <c r="I318" s="5">
        <v>0</v>
      </c>
      <c r="J318" s="5" t="e">
        <f>Table1[[#This Row],[2024 U.S. Sales ($000)]]/Table1[[#This Row],[2024 U.S. Units]]</f>
        <v>#DIV/0!</v>
      </c>
      <c r="K318" s="6">
        <f>Table1[[#This Row],[2024 U.S. Units]]/Table1[[#This Row],[2023 U.S. Units]]-1</f>
        <v>-1</v>
      </c>
      <c r="L318" s="8">
        <f>(Table1[[#This Row],[2024 Market share (%)]]-Table1[[#This Row],[2023 Market share (%)]])*10000</f>
        <v>-33.999374532395272</v>
      </c>
      <c r="M318" s="6">
        <f>_xlfn.RRI(5,Table1[[#This Row],[2019 U.S. Sales ($000)]],Table1[[#This Row],[2024 U.S. Sales ($000)]])</f>
        <v>-1</v>
      </c>
      <c r="N318" s="9">
        <f>(Table1[[#This Row],[2024 Market share (%)]]-Table1[[#This Row],[2019 Market share (%)]])*10000</f>
        <v>-28.173313313643636</v>
      </c>
      <c r="O318" s="6" t="e">
        <f>IF(Table1[[#This Row],[2024 AUV]]=0,"",_xlfn.RRI(5,Table1[[#This Row],[2019 AUV]],Table1[[#This Row],[2024 AUV]]))</f>
        <v>#DIV/0!</v>
      </c>
      <c r="P318" s="6">
        <f>_xlfn.RRI(5,Table1[[#This Row],[2019 U.S. Units]],Table1[[#This Row],[2024 U.S. Units]])</f>
        <v>-1</v>
      </c>
      <c r="Q318" s="5">
        <v>112500</v>
      </c>
      <c r="R318" s="6">
        <f>Table1[[#This Row],[2023 U.S. Sales ($000)]]/SUMIF($E:$E, E318, $Q:$Q)</f>
        <v>3.3999374532395271E-3</v>
      </c>
      <c r="S318" s="8">
        <f>(Table1[[#This Row],[2023 Market share (%)]]-Table1[[#This Row],[2022 Market share (%)]])*10000</f>
        <v>0.48828052789976711</v>
      </c>
      <c r="T318" s="10">
        <v>0.10837438423645321</v>
      </c>
      <c r="U318" s="5">
        <v>74</v>
      </c>
      <c r="V318" s="5">
        <f t="shared" si="32"/>
        <v>1520.2702702702702</v>
      </c>
      <c r="W318" s="10">
        <v>0</v>
      </c>
      <c r="X318" s="10">
        <f t="shared" si="33"/>
        <v>0.1328775086118632</v>
      </c>
      <c r="Y318" s="8">
        <f>(Table1[[#This Row],[2023 Market share (%)]]-Table1[[#This Row],[2019 Market share (%)]])*10000</f>
        <v>5.8260612187516347</v>
      </c>
      <c r="Z318" s="10">
        <f t="shared" si="34"/>
        <v>0.12121683989761323</v>
      </c>
      <c r="AA318" s="10">
        <f t="shared" si="35"/>
        <v>1.0400012111229762E-2</v>
      </c>
      <c r="AB318" s="5">
        <v>101500</v>
      </c>
      <c r="AC318" s="6">
        <f>Table1[[#This Row],[2022 U.S. Sales ($000)]]/SUMIF($E:$E, E318, $AB:$AB)</f>
        <v>3.3511094004495504E-3</v>
      </c>
      <c r="AD318" s="5">
        <v>74</v>
      </c>
      <c r="AE318" s="5">
        <f t="shared" si="36"/>
        <v>1371.6216216216217</v>
      </c>
      <c r="AF318" s="5">
        <v>91300</v>
      </c>
      <c r="AG318" s="6">
        <f>Table1[[#This Row],[2021 U.S. Sales ($000)]]/SUMIF($E:$E, E318, $AF:$AF)</f>
        <v>3.3309915453378232E-3</v>
      </c>
      <c r="AH318" s="5">
        <v>70</v>
      </c>
      <c r="AI318" s="12">
        <f t="shared" si="37"/>
        <v>1304.2857142857142</v>
      </c>
      <c r="AJ318" s="5">
        <v>79400</v>
      </c>
      <c r="AK318" s="6">
        <f>Table1[[#This Row],[2020 U.S. Sales ($000)]]/SUMIF($E:$E, E318, $AJ:$AJ)</f>
        <v>3.3684550631761382E-3</v>
      </c>
      <c r="AL318" s="5">
        <v>69</v>
      </c>
      <c r="AM318" s="5">
        <f t="shared" si="38"/>
        <v>1150.7246376811595</v>
      </c>
      <c r="AN318" s="5">
        <v>68300</v>
      </c>
      <c r="AO318" s="6">
        <f>Table1[[#This Row],[2019 U.S. Sales ($000)]]/SUMIF($E:$E, E318, $AN:$AN)</f>
        <v>2.8173313313643636E-3</v>
      </c>
      <c r="AP318" s="5">
        <v>71</v>
      </c>
      <c r="AQ318" s="5">
        <f t="shared" si="39"/>
        <v>961.97183098591552</v>
      </c>
    </row>
    <row r="319" spans="1:43" x14ac:dyDescent="0.25">
      <c r="A319" t="s">
        <v>384</v>
      </c>
      <c r="B319">
        <v>61755</v>
      </c>
      <c r="C319" t="s">
        <v>44</v>
      </c>
      <c r="D319" t="s">
        <v>45</v>
      </c>
      <c r="E319" t="s">
        <v>50</v>
      </c>
      <c r="F319" s="5">
        <v>477</v>
      </c>
      <c r="G319" s="5">
        <v>0</v>
      </c>
      <c r="H319" s="6">
        <f>Table1[[#This Row],[2024 U.S. Sales ($000)]]/SUMIF($E:$E, E319, $G:$G)</f>
        <v>0</v>
      </c>
      <c r="I319" s="5">
        <v>0</v>
      </c>
      <c r="J319" s="5" t="e">
        <f>Table1[[#This Row],[2024 U.S. Sales ($000)]]/Table1[[#This Row],[2024 U.S. Units]]</f>
        <v>#DIV/0!</v>
      </c>
      <c r="K319" s="6">
        <f>Table1[[#This Row],[2024 U.S. Units]]/Table1[[#This Row],[2023 U.S. Units]]-1</f>
        <v>-1</v>
      </c>
      <c r="L319" s="8">
        <f>(Table1[[#This Row],[2024 Market share (%)]]-Table1[[#This Row],[2023 Market share (%)]])*10000</f>
        <v>-12.596279879621211</v>
      </c>
      <c r="M319" s="6">
        <f>_xlfn.RRI(5,Table1[[#This Row],[2019 U.S. Sales ($000)]],Table1[[#This Row],[2024 U.S. Sales ($000)]])</f>
        <v>-1</v>
      </c>
      <c r="N319" s="9">
        <f>(Table1[[#This Row],[2024 Market share (%)]]-Table1[[#This Row],[2019 Market share (%)]])*10000</f>
        <v>-12.28027069625454</v>
      </c>
      <c r="O319" s="6" t="e">
        <f>IF(Table1[[#This Row],[2024 AUV]]=0,"",_xlfn.RRI(5,Table1[[#This Row],[2019 AUV]],Table1[[#This Row],[2024 AUV]]))</f>
        <v>#DIV/0!</v>
      </c>
      <c r="P319" s="6">
        <f>_xlfn.RRI(5,Table1[[#This Row],[2019 U.S. Units]],Table1[[#This Row],[2024 U.S. Units]])</f>
        <v>-1</v>
      </c>
      <c r="Q319" s="5">
        <v>61700</v>
      </c>
      <c r="R319" s="6">
        <f>Table1[[#This Row],[2023 U.S. Sales ($000)]]/SUMIF($E:$E, E319, $Q:$Q)</f>
        <v>1.2596279879621211E-3</v>
      </c>
      <c r="S319" s="8">
        <f>(Table1[[#This Row],[2023 Market share (%)]]-Table1[[#This Row],[2022 Market share (%)]])*10000</f>
        <v>-0.49050904592087352</v>
      </c>
      <c r="T319" s="10">
        <v>8.0560420315236428E-2</v>
      </c>
      <c r="U319" s="5">
        <v>32</v>
      </c>
      <c r="V319" s="5">
        <f t="shared" si="32"/>
        <v>1928.125</v>
      </c>
      <c r="W319" s="10">
        <v>3.2258064516129031E-2</v>
      </c>
      <c r="X319" s="10">
        <f t="shared" si="33"/>
        <v>0.13106080643431062</v>
      </c>
      <c r="Y319" s="8">
        <f>(Table1[[#This Row],[2023 Market share (%)]]-Table1[[#This Row],[2019 Market share (%)]])*10000</f>
        <v>0.31600918336667028</v>
      </c>
      <c r="Z319" s="10">
        <f t="shared" si="34"/>
        <v>-7.1426410130885909E-3</v>
      </c>
      <c r="AA319" s="10">
        <f t="shared" si="35"/>
        <v>0.13919768655229481</v>
      </c>
      <c r="AB319" s="5">
        <v>57100</v>
      </c>
      <c r="AC319" s="6">
        <f>Table1[[#This Row],[2022 U.S. Sales ($000)]]/SUMIF($E:$E, E319, $AB:$AB)</f>
        <v>1.3086788925542085E-3</v>
      </c>
      <c r="AD319" s="5">
        <v>31</v>
      </c>
      <c r="AE319" s="5">
        <f t="shared" si="36"/>
        <v>1841.9354838709678</v>
      </c>
      <c r="AF319" s="5">
        <v>47300</v>
      </c>
      <c r="AG319" s="6">
        <f>Table1[[#This Row],[2021 U.S. Sales ($000)]]/SUMIF($E:$E, E319, $AF:$AF)</f>
        <v>1.2031072113254256E-3</v>
      </c>
      <c r="AH319" s="5">
        <v>26</v>
      </c>
      <c r="AI319" s="12">
        <f t="shared" si="37"/>
        <v>1819.2307692307693</v>
      </c>
      <c r="AJ319" s="5">
        <v>40500</v>
      </c>
      <c r="AK319" s="6">
        <f>Table1[[#This Row],[2020 U.S. Sales ($000)]]/SUMIF($E:$E, E319, $AJ:$AJ)</f>
        <v>1.1975403054366467E-3</v>
      </c>
      <c r="AL319" s="5">
        <v>20</v>
      </c>
      <c r="AM319" s="5">
        <f t="shared" si="38"/>
        <v>2025</v>
      </c>
      <c r="AN319" s="5">
        <v>37700</v>
      </c>
      <c r="AO319" s="6">
        <f>Table1[[#This Row],[2019 U.S. Sales ($000)]]/SUMIF($E:$E, E319, $AN:$AN)</f>
        <v>1.2280270696254541E-3</v>
      </c>
      <c r="AP319" s="5">
        <v>19</v>
      </c>
      <c r="AQ319" s="5">
        <f t="shared" si="39"/>
        <v>1984.2105263157894</v>
      </c>
    </row>
    <row r="320" spans="1:43" x14ac:dyDescent="0.25">
      <c r="A320" t="s">
        <v>385</v>
      </c>
      <c r="B320">
        <v>31260</v>
      </c>
      <c r="C320" t="s">
        <v>68</v>
      </c>
      <c r="D320" t="s">
        <v>69</v>
      </c>
      <c r="E320" t="s">
        <v>125</v>
      </c>
      <c r="F320" s="5">
        <v>394</v>
      </c>
      <c r="G320" s="5">
        <v>0</v>
      </c>
      <c r="H320" s="6">
        <f>Table1[[#This Row],[2024 U.S. Sales ($000)]]/SUMIF($E:$E, E320, $G:$G)</f>
        <v>0</v>
      </c>
      <c r="I320" s="5">
        <v>0</v>
      </c>
      <c r="J320" s="5" t="e">
        <f>Table1[[#This Row],[2024 U.S. Sales ($000)]]/Table1[[#This Row],[2024 U.S. Units]]</f>
        <v>#DIV/0!</v>
      </c>
      <c r="K320" s="6">
        <f>Table1[[#This Row],[2024 U.S. Units]]/Table1[[#This Row],[2023 U.S. Units]]-1</f>
        <v>-1</v>
      </c>
      <c r="L320" s="8">
        <f>(Table1[[#This Row],[2024 Market share (%)]]-Table1[[#This Row],[2023 Market share (%)]])*10000</f>
        <v>-224.39206685133615</v>
      </c>
      <c r="M320" s="6">
        <f>_xlfn.RRI(5,Table1[[#This Row],[2019 U.S. Sales ($000)]],Table1[[#This Row],[2024 U.S. Sales ($000)]])</f>
        <v>-1</v>
      </c>
      <c r="N320" s="9">
        <f>(Table1[[#This Row],[2024 Market share (%)]]-Table1[[#This Row],[2019 Market share (%)]])*10000</f>
        <v>-184.56863109213023</v>
      </c>
      <c r="O320" s="6" t="e">
        <f>IF(Table1[[#This Row],[2024 AUV]]=0,"",_xlfn.RRI(5,Table1[[#This Row],[2019 AUV]],Table1[[#This Row],[2024 AUV]]))</f>
        <v>#DIV/0!</v>
      </c>
      <c r="P320" s="6">
        <f>_xlfn.RRI(5,Table1[[#This Row],[2019 U.S. Units]],Table1[[#This Row],[2024 U.S. Units]])</f>
        <v>-1</v>
      </c>
      <c r="Q320" s="5">
        <v>79500</v>
      </c>
      <c r="R320" s="6">
        <f>Table1[[#This Row],[2023 U.S. Sales ($000)]]/SUMIF($E:$E, E320, $Q:$Q)</f>
        <v>2.2439206685133616E-2</v>
      </c>
      <c r="S320" s="8">
        <f>(Table1[[#This Row],[2023 Market share (%)]]-Table1[[#This Row],[2022 Market share (%)]])*10000</f>
        <v>12.843685164692053</v>
      </c>
      <c r="T320" s="10">
        <v>0.19369369369369369</v>
      </c>
      <c r="U320" s="5">
        <v>20</v>
      </c>
      <c r="V320" s="5">
        <f t="shared" si="32"/>
        <v>3975</v>
      </c>
      <c r="W320" s="10">
        <v>0</v>
      </c>
      <c r="X320" s="10">
        <f t="shared" si="33"/>
        <v>0.12860705866400401</v>
      </c>
      <c r="Y320" s="8">
        <f>(Table1[[#This Row],[2023 Market share (%)]]-Table1[[#This Row],[2019 Market share (%)]])*10000</f>
        <v>39.823435759205921</v>
      </c>
      <c r="Z320" s="10">
        <f t="shared" si="34"/>
        <v>3.232696651948852E-2</v>
      </c>
      <c r="AA320" s="10">
        <f t="shared" si="35"/>
        <v>9.3265113929093424E-2</v>
      </c>
      <c r="AB320" s="5">
        <v>66600</v>
      </c>
      <c r="AC320" s="6">
        <f>Table1[[#This Row],[2022 U.S. Sales ($000)]]/SUMIF($E:$E, E320, $AB:$AB)</f>
        <v>2.1154838168664411E-2</v>
      </c>
      <c r="AD320" s="5">
        <v>20</v>
      </c>
      <c r="AE320" s="5">
        <f t="shared" si="36"/>
        <v>3330</v>
      </c>
      <c r="AF320" s="5">
        <v>50400</v>
      </c>
      <c r="AG320" s="6">
        <f>Table1[[#This Row],[2021 U.S. Sales ($000)]]/SUMIF($E:$E, E320, $AF:$AF)</f>
        <v>1.895195678953852E-2</v>
      </c>
      <c r="AH320" s="5">
        <v>16</v>
      </c>
      <c r="AI320" s="12">
        <f t="shared" si="37"/>
        <v>3150</v>
      </c>
      <c r="AJ320" s="5">
        <v>37000</v>
      </c>
      <c r="AK320" s="6">
        <f>Table1[[#This Row],[2020 U.S. Sales ($000)]]/SUMIF($E:$E, E320, $AJ:$AJ)</f>
        <v>1.9525179301832358E-2</v>
      </c>
      <c r="AL320" s="5">
        <v>14</v>
      </c>
      <c r="AM320" s="5">
        <f t="shared" si="38"/>
        <v>2642.8571428571427</v>
      </c>
      <c r="AN320" s="5">
        <v>49000</v>
      </c>
      <c r="AO320" s="6">
        <f>Table1[[#This Row],[2019 U.S. Sales ($000)]]/SUMIF($E:$E, E320, $AN:$AN)</f>
        <v>1.8456863109213024E-2</v>
      </c>
      <c r="AP320" s="5">
        <v>14</v>
      </c>
      <c r="AQ320" s="5">
        <f t="shared" si="39"/>
        <v>3500</v>
      </c>
    </row>
    <row r="321" spans="1:43" x14ac:dyDescent="0.25">
      <c r="A321" t="s">
        <v>386</v>
      </c>
      <c r="B321">
        <v>31493</v>
      </c>
      <c r="C321" t="s">
        <v>44</v>
      </c>
      <c r="D321" t="s">
        <v>56</v>
      </c>
      <c r="E321" t="s">
        <v>61</v>
      </c>
      <c r="F321" s="5">
        <v>423</v>
      </c>
      <c r="G321" s="5">
        <v>0</v>
      </c>
      <c r="H321" s="6">
        <f>Table1[[#This Row],[2024 U.S. Sales ($000)]]/SUMIF($E:$E, E321, $G:$G)</f>
        <v>0</v>
      </c>
      <c r="I321" s="5">
        <v>0</v>
      </c>
      <c r="J321" s="5" t="e">
        <f>Table1[[#This Row],[2024 U.S. Sales ($000)]]/Table1[[#This Row],[2024 U.S. Units]]</f>
        <v>#DIV/0!</v>
      </c>
      <c r="K321" s="6">
        <f>Table1[[#This Row],[2024 U.S. Units]]/Table1[[#This Row],[2023 U.S. Units]]-1</f>
        <v>-1</v>
      </c>
      <c r="L321" s="8">
        <f>(Table1[[#This Row],[2024 Market share (%)]]-Table1[[#This Row],[2023 Market share (%)]])*10000</f>
        <v>-24.257878335249575</v>
      </c>
      <c r="M321" s="6">
        <f>_xlfn.RRI(5,Table1[[#This Row],[2019 U.S. Sales ($000)]],Table1[[#This Row],[2024 U.S. Sales ($000)]])</f>
        <v>-1</v>
      </c>
      <c r="N321" s="9">
        <f>(Table1[[#This Row],[2024 Market share (%)]]-Table1[[#This Row],[2019 Market share (%)]])*10000</f>
        <v>-18.094703649244515</v>
      </c>
      <c r="O321" s="6" t="e">
        <f>IF(Table1[[#This Row],[2024 AUV]]=0,"",_xlfn.RRI(5,Table1[[#This Row],[2019 AUV]],Table1[[#This Row],[2024 AUV]]))</f>
        <v>#DIV/0!</v>
      </c>
      <c r="P321" s="6">
        <f>_xlfn.RRI(5,Table1[[#This Row],[2019 U.S. Units]],Table1[[#This Row],[2024 U.S. Units]])</f>
        <v>-1</v>
      </c>
      <c r="Q321" s="5">
        <v>74100</v>
      </c>
      <c r="R321" s="6">
        <f>Table1[[#This Row],[2023 U.S. Sales ($000)]]/SUMIF($E:$E, E321, $Q:$Q)</f>
        <v>2.4257878335249574E-3</v>
      </c>
      <c r="S321" s="8">
        <f>(Table1[[#This Row],[2023 Market share (%)]]-Table1[[#This Row],[2022 Market share (%)]])*10000</f>
        <v>1.0802028566642619</v>
      </c>
      <c r="T321" s="10">
        <v>7.7034883720930231E-2</v>
      </c>
      <c r="U321" s="5">
        <v>55</v>
      </c>
      <c r="V321" s="5">
        <f t="shared" si="32"/>
        <v>1347.2727272727273</v>
      </c>
      <c r="W321" s="10">
        <v>0</v>
      </c>
      <c r="X321" s="10">
        <f t="shared" si="33"/>
        <v>0.12234230125690515</v>
      </c>
      <c r="Y321" s="8">
        <f>(Table1[[#This Row],[2023 Market share (%)]]-Table1[[#This Row],[2019 Market share (%)]])*10000</f>
        <v>6.1631746860050596</v>
      </c>
      <c r="Z321" s="10">
        <f t="shared" si="34"/>
        <v>2.9913643156583403E-2</v>
      </c>
      <c r="AA321" s="10">
        <f t="shared" si="35"/>
        <v>8.9744085549771979E-2</v>
      </c>
      <c r="AB321" s="5">
        <v>68800</v>
      </c>
      <c r="AC321" s="6">
        <f>Table1[[#This Row],[2022 U.S. Sales ($000)]]/SUMIF($E:$E, E321, $AB:$AB)</f>
        <v>2.3177675478585312E-3</v>
      </c>
      <c r="AD321" s="5">
        <v>55</v>
      </c>
      <c r="AE321" s="5">
        <f t="shared" si="36"/>
        <v>1250.909090909091</v>
      </c>
      <c r="AF321" s="5">
        <v>58800</v>
      </c>
      <c r="AG321" s="6">
        <f>Table1[[#This Row],[2021 U.S. Sales ($000)]]/SUMIF($E:$E, E321, $AF:$AF)</f>
        <v>2.0228040191877408E-3</v>
      </c>
      <c r="AH321" s="5">
        <v>50</v>
      </c>
      <c r="AI321" s="12">
        <f t="shared" si="37"/>
        <v>1176</v>
      </c>
      <c r="AJ321" s="5">
        <v>43900</v>
      </c>
      <c r="AK321" s="6">
        <f>Table1[[#This Row],[2020 U.S. Sales ($000)]]/SUMIF($E:$E, E321, $AJ:$AJ)</f>
        <v>1.6219060617870841E-3</v>
      </c>
      <c r="AL321" s="5">
        <v>44</v>
      </c>
      <c r="AM321" s="5">
        <f t="shared" si="38"/>
        <v>997.72727272727275</v>
      </c>
      <c r="AN321" s="5">
        <v>46700</v>
      </c>
      <c r="AO321" s="6">
        <f>Table1[[#This Row],[2019 U.S. Sales ($000)]]/SUMIF($E:$E, E321, $AN:$AN)</f>
        <v>1.8094703649244514E-3</v>
      </c>
      <c r="AP321" s="5">
        <v>39</v>
      </c>
      <c r="AQ321" s="5">
        <f t="shared" si="39"/>
        <v>1197.4358974358975</v>
      </c>
    </row>
    <row r="322" spans="1:43" x14ac:dyDescent="0.25">
      <c r="A322" t="s">
        <v>387</v>
      </c>
      <c r="B322">
        <v>62043</v>
      </c>
      <c r="C322" t="s">
        <v>68</v>
      </c>
      <c r="D322" t="s">
        <v>69</v>
      </c>
      <c r="E322" t="s">
        <v>79</v>
      </c>
      <c r="F322" s="5">
        <v>467</v>
      </c>
      <c r="G322" s="5">
        <v>0</v>
      </c>
      <c r="H322" s="6">
        <f>Table1[[#This Row],[2024 U.S. Sales ($000)]]/SUMIF($E:$E, E322, $G:$G)</f>
        <v>0</v>
      </c>
      <c r="I322" s="5">
        <v>0</v>
      </c>
      <c r="J322" s="5" t="e">
        <f>Table1[[#This Row],[2024 U.S. Sales ($000)]]/Table1[[#This Row],[2024 U.S. Units]]</f>
        <v>#DIV/0!</v>
      </c>
      <c r="K322" s="6">
        <f>Table1[[#This Row],[2024 U.S. Units]]/Table1[[#This Row],[2023 U.S. Units]]-1</f>
        <v>-1</v>
      </c>
      <c r="L322" s="8">
        <f>(Table1[[#This Row],[2024 Market share (%)]]-Table1[[#This Row],[2023 Market share (%)]])*10000</f>
        <v>-26.613951696755493</v>
      </c>
      <c r="M322" s="6">
        <f>_xlfn.RRI(5,Table1[[#This Row],[2019 U.S. Sales ($000)]],Table1[[#This Row],[2024 U.S. Sales ($000)]])</f>
        <v>-1</v>
      </c>
      <c r="N322" s="9">
        <f>(Table1[[#This Row],[2024 Market share (%)]]-Table1[[#This Row],[2019 Market share (%)]])*10000</f>
        <v>-17.99721555488393</v>
      </c>
      <c r="O322" s="6" t="e">
        <f>IF(Table1[[#This Row],[2024 AUV]]=0,"",_xlfn.RRI(5,Table1[[#This Row],[2019 AUV]],Table1[[#This Row],[2024 AUV]]))</f>
        <v>#DIV/0!</v>
      </c>
      <c r="P322" s="6">
        <f>_xlfn.RRI(5,Table1[[#This Row],[2019 U.S. Units]],Table1[[#This Row],[2024 U.S. Units]])</f>
        <v>-1</v>
      </c>
      <c r="Q322" s="5">
        <v>64200</v>
      </c>
      <c r="R322" s="6">
        <f>Table1[[#This Row],[2023 U.S. Sales ($000)]]/SUMIF($E:$E, E322, $Q:$Q)</f>
        <v>2.6613951696755492E-3</v>
      </c>
      <c r="S322" s="8">
        <f>(Table1[[#This Row],[2023 Market share (%)]]-Table1[[#This Row],[2022 Market share (%)]])*10000</f>
        <v>4.8422904139683567</v>
      </c>
      <c r="T322" s="10">
        <v>0.25390625</v>
      </c>
      <c r="U322" s="5">
        <v>11</v>
      </c>
      <c r="V322" s="5">
        <f t="shared" ref="V322:V385" si="40">Q322/U322</f>
        <v>5836.363636363636</v>
      </c>
      <c r="W322" s="10">
        <v>0.375</v>
      </c>
      <c r="X322" s="10">
        <f t="shared" ref="X322:X385" si="41">_xlfn.RRI(4,AN322,Q322)</f>
        <v>0.11795237149280857</v>
      </c>
      <c r="Y322" s="8">
        <f>(Table1[[#This Row],[2023 Market share (%)]]-Table1[[#This Row],[2019 Market share (%)]])*10000</f>
        <v>8.6167361418715611</v>
      </c>
      <c r="Z322" s="10">
        <f t="shared" ref="Z322:Z385" si="42">_xlfn.RRI(4,AQ322,V322)</f>
        <v>-1.4963879307656747E-3</v>
      </c>
      <c r="AA322" s="10">
        <f t="shared" ref="AA322:AA385" si="43">_xlfn.RRI(4,AP322,U322)</f>
        <v>0.11962776897325011</v>
      </c>
      <c r="AB322" s="5">
        <v>51200</v>
      </c>
      <c r="AC322" s="6">
        <f>Table1[[#This Row],[2022 U.S. Sales ($000)]]/SUMIF($E:$E, E322, $AB:$AB)</f>
        <v>2.1771661282787135E-3</v>
      </c>
      <c r="AD322" s="5">
        <v>8</v>
      </c>
      <c r="AE322" s="5">
        <f t="shared" ref="AE322:AE385" si="44">AB322/AD322</f>
        <v>6400</v>
      </c>
      <c r="AF322" s="5">
        <v>41600</v>
      </c>
      <c r="AG322" s="6">
        <f>Table1[[#This Row],[2021 U.S. Sales ($000)]]/SUMIF($E:$E, E322, $AF:$AF)</f>
        <v>1.9152761922651847E-3</v>
      </c>
      <c r="AH322" s="5">
        <v>8</v>
      </c>
      <c r="AI322" s="12">
        <f t="shared" ref="AI322:AI385" si="45">AF322/AH322</f>
        <v>5200</v>
      </c>
      <c r="AJ322" s="5">
        <v>28100</v>
      </c>
      <c r="AK322" s="6">
        <f>Table1[[#This Row],[2020 U.S. Sales ($000)]]/SUMIF($E:$E, E322, $AJ:$AJ)</f>
        <v>1.72326065200456E-3</v>
      </c>
      <c r="AL322" s="5">
        <v>7</v>
      </c>
      <c r="AM322" s="5">
        <f t="shared" ref="AM322:AM385" si="46">AJ322/AL322</f>
        <v>4014.2857142857142</v>
      </c>
      <c r="AN322" s="5">
        <v>41100</v>
      </c>
      <c r="AO322" s="6">
        <f>Table1[[#This Row],[2019 U.S. Sales ($000)]]/SUMIF($E:$E, E322, $AN:$AN)</f>
        <v>1.7997215554883931E-3</v>
      </c>
      <c r="AP322" s="5">
        <v>7</v>
      </c>
      <c r="AQ322" s="5">
        <f t="shared" ref="AQ322:AQ385" si="47">AN322/AP322</f>
        <v>5871.4285714285716</v>
      </c>
    </row>
    <row r="323" spans="1:43" x14ac:dyDescent="0.25">
      <c r="A323" t="s">
        <v>388</v>
      </c>
      <c r="B323">
        <v>5358</v>
      </c>
      <c r="C323" t="s">
        <v>68</v>
      </c>
      <c r="D323" t="s">
        <v>69</v>
      </c>
      <c r="E323" t="s">
        <v>73</v>
      </c>
      <c r="F323" s="5">
        <v>328</v>
      </c>
      <c r="G323" s="5">
        <v>0</v>
      </c>
      <c r="H323" s="6">
        <f>Table1[[#This Row],[2024 U.S. Sales ($000)]]/SUMIF($E:$E, E323, $G:$G)</f>
        <v>0</v>
      </c>
      <c r="I323" s="5">
        <v>0</v>
      </c>
      <c r="J323" s="5" t="e">
        <f>Table1[[#This Row],[2024 U.S. Sales ($000)]]/Table1[[#This Row],[2024 U.S. Units]]</f>
        <v>#DIV/0!</v>
      </c>
      <c r="K323" s="6">
        <f>Table1[[#This Row],[2024 U.S. Units]]/Table1[[#This Row],[2023 U.S. Units]]-1</f>
        <v>-1</v>
      </c>
      <c r="L323" s="8">
        <f>(Table1[[#This Row],[2024 Market share (%)]]-Table1[[#This Row],[2023 Market share (%)]])*10000</f>
        <v>-106.76375439216824</v>
      </c>
      <c r="M323" s="6">
        <f>_xlfn.RRI(5,Table1[[#This Row],[2019 U.S. Sales ($000)]],Table1[[#This Row],[2024 U.S. Sales ($000)]])</f>
        <v>-1</v>
      </c>
      <c r="N323" s="9">
        <f>(Table1[[#This Row],[2024 Market share (%)]]-Table1[[#This Row],[2019 Market share (%)]])*10000</f>
        <v>-72.467867462519536</v>
      </c>
      <c r="O323" s="6" t="e">
        <f>IF(Table1[[#This Row],[2024 AUV]]=0,"",_xlfn.RRI(5,Table1[[#This Row],[2019 AUV]],Table1[[#This Row],[2024 AUV]]))</f>
        <v>#DIV/0!</v>
      </c>
      <c r="P323" s="6">
        <f>_xlfn.RRI(5,Table1[[#This Row],[2019 U.S. Units]],Table1[[#This Row],[2024 U.S. Units]])</f>
        <v>-1</v>
      </c>
      <c r="Q323" s="5">
        <v>102600</v>
      </c>
      <c r="R323" s="6">
        <f>Table1[[#This Row],[2023 U.S. Sales ($000)]]/SUMIF($E:$E, E323, $Q:$Q)</f>
        <v>1.0676375439216824E-2</v>
      </c>
      <c r="S323" s="8">
        <f>(Table1[[#This Row],[2023 Market share (%)]]-Table1[[#This Row],[2022 Market share (%)]])*10000</f>
        <v>6.2614388101062994</v>
      </c>
      <c r="T323" s="10">
        <v>0.11159263271939328</v>
      </c>
      <c r="U323" s="5">
        <v>81</v>
      </c>
      <c r="V323" s="5">
        <f t="shared" si="40"/>
        <v>1266.6666666666667</v>
      </c>
      <c r="W323" s="10">
        <v>3.8461538461538464E-2</v>
      </c>
      <c r="X323" s="10">
        <f t="shared" si="41"/>
        <v>0.11618575413920706</v>
      </c>
      <c r="Y323" s="8">
        <f>(Table1[[#This Row],[2023 Market share (%)]]-Table1[[#This Row],[2019 Market share (%)]])*10000</f>
        <v>34.295886929648709</v>
      </c>
      <c r="Z323" s="10">
        <f t="shared" si="42"/>
        <v>4.4030396087465062E-2</v>
      </c>
      <c r="AA323" s="10">
        <f t="shared" si="43"/>
        <v>6.9112315428886406E-2</v>
      </c>
      <c r="AB323" s="5">
        <v>92300</v>
      </c>
      <c r="AC323" s="6">
        <f>Table1[[#This Row],[2022 U.S. Sales ($000)]]/SUMIF($E:$E, E323, $AB:$AB)</f>
        <v>1.0050231558206195E-2</v>
      </c>
      <c r="AD323" s="5">
        <v>78</v>
      </c>
      <c r="AE323" s="5">
        <f t="shared" si="44"/>
        <v>1183.3333333333333</v>
      </c>
      <c r="AF323" s="5">
        <v>81500</v>
      </c>
      <c r="AG323" s="6">
        <f>Table1[[#This Row],[2021 U.S. Sales ($000)]]/SUMIF($E:$E, E323, $AF:$AF)</f>
        <v>9.7331539407569789E-3</v>
      </c>
      <c r="AH323" s="5">
        <v>72</v>
      </c>
      <c r="AI323" s="12">
        <f t="shared" si="45"/>
        <v>1131.9444444444443</v>
      </c>
      <c r="AJ323" s="5">
        <v>68100</v>
      </c>
      <c r="AK323" s="6">
        <f>Table1[[#This Row],[2020 U.S. Sales ($000)]]/SUMIF($E:$E, E323, $AJ:$AJ)</f>
        <v>9.8711689246905182E-3</v>
      </c>
      <c r="AL323" s="5">
        <v>68</v>
      </c>
      <c r="AM323" s="5">
        <f t="shared" si="46"/>
        <v>1001.4705882352941</v>
      </c>
      <c r="AN323" s="5">
        <v>66100</v>
      </c>
      <c r="AO323" s="6">
        <f>Table1[[#This Row],[2019 U.S. Sales ($000)]]/SUMIF($E:$E, E323, $AN:$AN)</f>
        <v>7.2467867462519533E-3</v>
      </c>
      <c r="AP323" s="5">
        <v>62</v>
      </c>
      <c r="AQ323" s="5">
        <f t="shared" si="47"/>
        <v>1066.1290322580646</v>
      </c>
    </row>
    <row r="324" spans="1:43" x14ac:dyDescent="0.25">
      <c r="A324" t="s">
        <v>389</v>
      </c>
      <c r="B324">
        <v>35915</v>
      </c>
      <c r="C324" t="s">
        <v>44</v>
      </c>
      <c r="D324" t="s">
        <v>56</v>
      </c>
      <c r="E324" t="s">
        <v>59</v>
      </c>
      <c r="F324" s="5">
        <v>279</v>
      </c>
      <c r="G324" s="5">
        <v>0</v>
      </c>
      <c r="H324" s="6">
        <f>Table1[[#This Row],[2024 U.S. Sales ($000)]]/SUMIF($E:$E, E324, $G:$G)</f>
        <v>0</v>
      </c>
      <c r="I324" s="5">
        <v>0</v>
      </c>
      <c r="J324" s="5" t="e">
        <f>Table1[[#This Row],[2024 U.S. Sales ($000)]]/Table1[[#This Row],[2024 U.S. Units]]</f>
        <v>#DIV/0!</v>
      </c>
      <c r="K324" s="6">
        <f>Table1[[#This Row],[2024 U.S. Units]]/Table1[[#This Row],[2023 U.S. Units]]-1</f>
        <v>-1</v>
      </c>
      <c r="L324" s="8">
        <f>(Table1[[#This Row],[2024 Market share (%)]]-Table1[[#This Row],[2023 Market share (%)]])*10000</f>
        <v>-33.75611700553219</v>
      </c>
      <c r="M324" s="6">
        <f>_xlfn.RRI(5,Table1[[#This Row],[2019 U.S. Sales ($000)]],Table1[[#This Row],[2024 U.S. Sales ($000)]])</f>
        <v>-1</v>
      </c>
      <c r="N324" s="9">
        <f>(Table1[[#This Row],[2024 Market share (%)]]-Table1[[#This Row],[2019 Market share (%)]])*10000</f>
        <v>-25.470755898561737</v>
      </c>
      <c r="O324" s="6" t="e">
        <f>IF(Table1[[#This Row],[2024 AUV]]=0,"",_xlfn.RRI(5,Table1[[#This Row],[2019 AUV]],Table1[[#This Row],[2024 AUV]]))</f>
        <v>#DIV/0!</v>
      </c>
      <c r="P324" s="6">
        <f>_xlfn.RRI(5,Table1[[#This Row],[2019 U.S. Units]],Table1[[#This Row],[2024 U.S. Units]])</f>
        <v>-1</v>
      </c>
      <c r="Q324" s="5">
        <v>127500</v>
      </c>
      <c r="R324" s="6">
        <f>Table1[[#This Row],[2023 U.S. Sales ($000)]]/SUMIF($E:$E, E324, $Q:$Q)</f>
        <v>3.3756117005532189E-3</v>
      </c>
      <c r="S324" s="8">
        <f>(Table1[[#This Row],[2023 Market share (%)]]-Table1[[#This Row],[2022 Market share (%)]])*10000</f>
        <v>1.6721639204323249</v>
      </c>
      <c r="T324" s="10">
        <v>0.11062717770034843</v>
      </c>
      <c r="U324" s="5">
        <v>32</v>
      </c>
      <c r="V324" s="5">
        <f t="shared" si="40"/>
        <v>3984.375</v>
      </c>
      <c r="W324" s="10">
        <v>6.6666666666666666E-2</v>
      </c>
      <c r="X324" s="10">
        <f t="shared" si="41"/>
        <v>0.11261962146789362</v>
      </c>
      <c r="Y324" s="8">
        <f>(Table1[[#This Row],[2023 Market share (%)]]-Table1[[#This Row],[2019 Market share (%)]])*10000</f>
        <v>8.285361106970452</v>
      </c>
      <c r="Z324" s="10">
        <f t="shared" si="42"/>
        <v>4.6030197480193324E-2</v>
      </c>
      <c r="AA324" s="10">
        <f t="shared" si="43"/>
        <v>6.3659179388997789E-2</v>
      </c>
      <c r="AB324" s="5">
        <v>114800</v>
      </c>
      <c r="AC324" s="6">
        <f>Table1[[#This Row],[2022 U.S. Sales ($000)]]/SUMIF($E:$E, E324, $AB:$AB)</f>
        <v>3.2083953085099864E-3</v>
      </c>
      <c r="AD324" s="5">
        <v>30</v>
      </c>
      <c r="AE324" s="5">
        <f t="shared" si="44"/>
        <v>3826.6666666666665</v>
      </c>
      <c r="AF324" s="5">
        <v>102200</v>
      </c>
      <c r="AG324" s="6">
        <f>Table1[[#This Row],[2021 U.S. Sales ($000)]]/SUMIF($E:$E, E324, $AF:$AF)</f>
        <v>3.0803401539458764E-3</v>
      </c>
      <c r="AH324" s="5">
        <v>28</v>
      </c>
      <c r="AI324" s="12">
        <f t="shared" si="45"/>
        <v>3650</v>
      </c>
      <c r="AJ324" s="5">
        <v>80200</v>
      </c>
      <c r="AK324" s="6">
        <f>Table1[[#This Row],[2020 U.S. Sales ($000)]]/SUMIF($E:$E, E324, $AJ:$AJ)</f>
        <v>2.8160650259611703E-3</v>
      </c>
      <c r="AL324" s="5">
        <v>28</v>
      </c>
      <c r="AM324" s="5">
        <f t="shared" si="46"/>
        <v>2864.2857142857142</v>
      </c>
      <c r="AN324" s="5">
        <v>83200</v>
      </c>
      <c r="AO324" s="6">
        <f>Table1[[#This Row],[2019 U.S. Sales ($000)]]/SUMIF($E:$E, E324, $AN:$AN)</f>
        <v>2.5470755898561737E-3</v>
      </c>
      <c r="AP324" s="5">
        <v>25</v>
      </c>
      <c r="AQ324" s="5">
        <f t="shared" si="47"/>
        <v>3328</v>
      </c>
    </row>
    <row r="325" spans="1:43" x14ac:dyDescent="0.25">
      <c r="A325" t="s">
        <v>390</v>
      </c>
      <c r="B325">
        <v>5974</v>
      </c>
      <c r="C325" t="s">
        <v>44</v>
      </c>
      <c r="D325" t="s">
        <v>45</v>
      </c>
      <c r="E325" t="s">
        <v>61</v>
      </c>
      <c r="F325" s="5">
        <v>370</v>
      </c>
      <c r="G325" s="5">
        <v>0</v>
      </c>
      <c r="H325" s="6">
        <f>Table1[[#This Row],[2024 U.S. Sales ($000)]]/SUMIF($E:$E, E325, $G:$G)</f>
        <v>0</v>
      </c>
      <c r="I325" s="5">
        <v>0</v>
      </c>
      <c r="J325" s="5" t="e">
        <f>Table1[[#This Row],[2024 U.S. Sales ($000)]]/Table1[[#This Row],[2024 U.S. Units]]</f>
        <v>#DIV/0!</v>
      </c>
      <c r="K325" s="6">
        <f>Table1[[#This Row],[2024 U.S. Units]]/Table1[[#This Row],[2023 U.S. Units]]-1</f>
        <v>-1</v>
      </c>
      <c r="L325" s="8">
        <f>(Table1[[#This Row],[2024 Market share (%)]]-Table1[[#This Row],[2023 Market share (%)]])*10000</f>
        <v>-28.888154059591951</v>
      </c>
      <c r="M325" s="6">
        <f>_xlfn.RRI(5,Table1[[#This Row],[2019 U.S. Sales ($000)]],Table1[[#This Row],[2024 U.S. Sales ($000)]])</f>
        <v>-1</v>
      </c>
      <c r="N325" s="9">
        <f>(Table1[[#This Row],[2024 Market share (%)]]-Table1[[#This Row],[2019 Market share (%)]])*10000</f>
        <v>-22.586607276775386</v>
      </c>
      <c r="O325" s="6" t="e">
        <f>IF(Table1[[#This Row],[2024 AUV]]=0,"",_xlfn.RRI(5,Table1[[#This Row],[2019 AUV]],Table1[[#This Row],[2024 AUV]]))</f>
        <v>#DIV/0!</v>
      </c>
      <c r="P325" s="6">
        <f>_xlfn.RRI(5,Table1[[#This Row],[2019 U.S. Units]],Table1[[#This Row],[2024 U.S. Units]])</f>
        <v>-1</v>
      </c>
      <c r="Q325" s="5">
        <v>88244</v>
      </c>
      <c r="R325" s="6">
        <f>Table1[[#This Row],[2023 U.S. Sales ($000)]]/SUMIF($E:$E, E325, $Q:$Q)</f>
        <v>2.888815405959195E-3</v>
      </c>
      <c r="S325" s="8">
        <f>(Table1[[#This Row],[2023 Market share (%)]]-Table1[[#This Row],[2022 Market share (%)]])*10000</f>
        <v>0.79330777743932479</v>
      </c>
      <c r="T325" s="10">
        <v>5.8132284522039425E-2</v>
      </c>
      <c r="U325" s="5">
        <v>88</v>
      </c>
      <c r="V325" s="5">
        <f t="shared" si="40"/>
        <v>1002.7727272727273</v>
      </c>
      <c r="W325" s="10">
        <v>7.3170731707317069E-2</v>
      </c>
      <c r="X325" s="10">
        <f t="shared" si="41"/>
        <v>0.10921873129026016</v>
      </c>
      <c r="Y325" s="8">
        <f>(Table1[[#This Row],[2023 Market share (%)]]-Table1[[#This Row],[2019 Market share (%)]])*10000</f>
        <v>6.3015467828165646</v>
      </c>
      <c r="Z325" s="10">
        <f t="shared" si="42"/>
        <v>3.9977048852387398E-2</v>
      </c>
      <c r="AA325" s="10">
        <f t="shared" si="43"/>
        <v>6.6580010120685706E-2</v>
      </c>
      <c r="AB325" s="5">
        <v>83396</v>
      </c>
      <c r="AC325" s="6">
        <f>Table1[[#This Row],[2022 U.S. Sales ($000)]]/SUMIF($E:$E, E325, $AB:$AB)</f>
        <v>2.8094846282152625E-3</v>
      </c>
      <c r="AD325" s="5">
        <v>82</v>
      </c>
      <c r="AE325" s="5">
        <f t="shared" si="44"/>
        <v>1017.0243902439024</v>
      </c>
      <c r="AF325" s="5">
        <v>85493</v>
      </c>
      <c r="AG325" s="6">
        <f>Table1[[#This Row],[2021 U.S. Sales ($000)]]/SUMIF($E:$E, E325, $AF:$AF)</f>
        <v>2.9410813607554003E-3</v>
      </c>
      <c r="AH325" s="5">
        <v>75</v>
      </c>
      <c r="AI325" s="12">
        <f t="shared" si="45"/>
        <v>1139.9066666666668</v>
      </c>
      <c r="AJ325" s="5">
        <v>70425</v>
      </c>
      <c r="AK325" s="6">
        <f>Table1[[#This Row],[2020 U.S. Sales ($000)]]/SUMIF($E:$E, E325, $AJ:$AJ)</f>
        <v>2.6018846105092344E-3</v>
      </c>
      <c r="AL325" s="5">
        <v>71</v>
      </c>
      <c r="AM325" s="5">
        <f t="shared" si="46"/>
        <v>991.90140845070425</v>
      </c>
      <c r="AN325" s="5">
        <v>58293</v>
      </c>
      <c r="AO325" s="6">
        <f>Table1[[#This Row],[2019 U.S. Sales ($000)]]/SUMIF($E:$E, E325, $AN:$AN)</f>
        <v>2.2586607276775385E-3</v>
      </c>
      <c r="AP325" s="5">
        <v>68</v>
      </c>
      <c r="AQ325" s="5">
        <f t="shared" si="47"/>
        <v>857.25</v>
      </c>
    </row>
    <row r="326" spans="1:43" x14ac:dyDescent="0.25">
      <c r="A326" t="s">
        <v>391</v>
      </c>
      <c r="B326">
        <v>31299</v>
      </c>
      <c r="C326" t="s">
        <v>68</v>
      </c>
      <c r="D326" t="s">
        <v>69</v>
      </c>
      <c r="E326" t="s">
        <v>87</v>
      </c>
      <c r="F326" s="5">
        <v>435</v>
      </c>
      <c r="G326" s="5">
        <v>0</v>
      </c>
      <c r="H326" s="6">
        <f>Table1[[#This Row],[2024 U.S. Sales ($000)]]/SUMIF($E:$E, E326, $G:$G)</f>
        <v>0</v>
      </c>
      <c r="I326" s="5">
        <v>0</v>
      </c>
      <c r="J326" s="5" t="e">
        <f>Table1[[#This Row],[2024 U.S. Sales ($000)]]/Table1[[#This Row],[2024 U.S. Units]]</f>
        <v>#DIV/0!</v>
      </c>
      <c r="K326" s="6">
        <f>Table1[[#This Row],[2024 U.S. Units]]/Table1[[#This Row],[2023 U.S. Units]]-1</f>
        <v>-1</v>
      </c>
      <c r="L326" s="8">
        <f>(Table1[[#This Row],[2024 Market share (%)]]-Table1[[#This Row],[2023 Market share (%)]])*10000</f>
        <v>-73.839300044457417</v>
      </c>
      <c r="M326" s="6">
        <f>_xlfn.RRI(5,Table1[[#This Row],[2019 U.S. Sales ($000)]],Table1[[#This Row],[2024 U.S. Sales ($000)]])</f>
        <v>-1</v>
      </c>
      <c r="N326" s="9">
        <f>(Table1[[#This Row],[2024 Market share (%)]]-Table1[[#This Row],[2019 Market share (%)]])*10000</f>
        <v>-55.731773373344929</v>
      </c>
      <c r="O326" s="6" t="e">
        <f>IF(Table1[[#This Row],[2024 AUV]]=0,"",_xlfn.RRI(5,Table1[[#This Row],[2019 AUV]],Table1[[#This Row],[2024 AUV]]))</f>
        <v>#DIV/0!</v>
      </c>
      <c r="P326" s="6">
        <f>_xlfn.RRI(5,Table1[[#This Row],[2019 U.S. Units]],Table1[[#This Row],[2024 U.S. Units]])</f>
        <v>-1</v>
      </c>
      <c r="Q326" s="5">
        <v>72000</v>
      </c>
      <c r="R326" s="6">
        <f>Table1[[#This Row],[2023 U.S. Sales ($000)]]/SUMIF($E:$E, E326, $Q:$Q)</f>
        <v>7.383930004445741E-3</v>
      </c>
      <c r="S326" s="8">
        <f>(Table1[[#This Row],[2023 Market share (%)]]-Table1[[#This Row],[2022 Market share (%)]])*10000</f>
        <v>8.9030699856474005</v>
      </c>
      <c r="T326" s="10">
        <v>0.18421052631578946</v>
      </c>
      <c r="U326" s="5">
        <v>30</v>
      </c>
      <c r="V326" s="5">
        <f t="shared" si="40"/>
        <v>2400</v>
      </c>
      <c r="W326" s="10">
        <v>0.15384615384615385</v>
      </c>
      <c r="X326" s="10">
        <f t="shared" si="41"/>
        <v>0.10841789667431057</v>
      </c>
      <c r="Y326" s="8">
        <f>(Table1[[#This Row],[2023 Market share (%)]]-Table1[[#This Row],[2019 Market share (%)]])*10000</f>
        <v>18.107526671112478</v>
      </c>
      <c r="Z326" s="10">
        <f t="shared" si="42"/>
        <v>-1.1192809484308119E-2</v>
      </c>
      <c r="AA326" s="10">
        <f t="shared" si="43"/>
        <v>0.12096464033219467</v>
      </c>
      <c r="AB326" s="5">
        <v>60800</v>
      </c>
      <c r="AC326" s="6">
        <f>Table1[[#This Row],[2022 U.S. Sales ($000)]]/SUMIF($E:$E, E326, $AB:$AB)</f>
        <v>6.493623005881001E-3</v>
      </c>
      <c r="AD326" s="5">
        <v>26</v>
      </c>
      <c r="AE326" s="5">
        <f t="shared" si="44"/>
        <v>2338.4615384615386</v>
      </c>
      <c r="AF326" s="5">
        <v>50900</v>
      </c>
      <c r="AG326" s="6">
        <f>Table1[[#This Row],[2021 U.S. Sales ($000)]]/SUMIF($E:$E, E326, $AF:$AF)</f>
        <v>5.9681836014951178E-3</v>
      </c>
      <c r="AH326" s="5">
        <v>22</v>
      </c>
      <c r="AI326" s="12">
        <f t="shared" si="45"/>
        <v>2313.6363636363635</v>
      </c>
      <c r="AJ326" s="5">
        <v>38400</v>
      </c>
      <c r="AK326" s="6">
        <f>Table1[[#This Row],[2020 U.S. Sales ($000)]]/SUMIF($E:$E, E326, $AJ:$AJ)</f>
        <v>5.7957426346148012E-3</v>
      </c>
      <c r="AL326" s="5">
        <v>20</v>
      </c>
      <c r="AM326" s="5">
        <f t="shared" si="46"/>
        <v>1920</v>
      </c>
      <c r="AN326" s="5">
        <v>47700</v>
      </c>
      <c r="AO326" s="6">
        <f>Table1[[#This Row],[2019 U.S. Sales ($000)]]/SUMIF($E:$E, E326, $AN:$AN)</f>
        <v>5.5731773373344931E-3</v>
      </c>
      <c r="AP326" s="5">
        <v>19</v>
      </c>
      <c r="AQ326" s="5">
        <f t="shared" si="47"/>
        <v>2510.5263157894738</v>
      </c>
    </row>
    <row r="327" spans="1:43" x14ac:dyDescent="0.25">
      <c r="A327" t="s">
        <v>392</v>
      </c>
      <c r="B327">
        <v>9307</v>
      </c>
      <c r="C327" t="s">
        <v>44</v>
      </c>
      <c r="D327" t="s">
        <v>56</v>
      </c>
      <c r="E327" t="s">
        <v>128</v>
      </c>
      <c r="F327" s="5">
        <v>450</v>
      </c>
      <c r="G327" s="5">
        <v>0</v>
      </c>
      <c r="H327" s="6">
        <f>Table1[[#This Row],[2024 U.S. Sales ($000)]]/SUMIF($E:$E, E327, $G:$G)</f>
        <v>0</v>
      </c>
      <c r="I327" s="5">
        <v>0</v>
      </c>
      <c r="J327" s="5" t="e">
        <f>Table1[[#This Row],[2024 U.S. Sales ($000)]]/Table1[[#This Row],[2024 U.S. Units]]</f>
        <v>#DIV/0!</v>
      </c>
      <c r="K327" s="6">
        <f>Table1[[#This Row],[2024 U.S. Units]]/Table1[[#This Row],[2023 U.S. Units]]-1</f>
        <v>-1</v>
      </c>
      <c r="L327" s="8">
        <f>(Table1[[#This Row],[2024 Market share (%)]]-Table1[[#This Row],[2023 Market share (%)]])*10000</f>
        <v>-129.49001329918235</v>
      </c>
      <c r="M327" s="6">
        <f>_xlfn.RRI(5,Table1[[#This Row],[2019 U.S. Sales ($000)]],Table1[[#This Row],[2024 U.S. Sales ($000)]])</f>
        <v>-1</v>
      </c>
      <c r="N327" s="9">
        <f>(Table1[[#This Row],[2024 Market share (%)]]-Table1[[#This Row],[2019 Market share (%)]])*10000</f>
        <v>-127.22043799138544</v>
      </c>
      <c r="O327" s="6" t="e">
        <f>IF(Table1[[#This Row],[2024 AUV]]=0,"",_xlfn.RRI(5,Table1[[#This Row],[2019 AUV]],Table1[[#This Row],[2024 AUV]]))</f>
        <v>#DIV/0!</v>
      </c>
      <c r="P327" s="6">
        <f>_xlfn.RRI(5,Table1[[#This Row],[2019 U.S. Units]],Table1[[#This Row],[2024 U.S. Units]])</f>
        <v>-1</v>
      </c>
      <c r="Q327" s="5">
        <v>67300</v>
      </c>
      <c r="R327" s="6">
        <f>Table1[[#This Row],[2023 U.S. Sales ($000)]]/SUMIF($E:$E, E327, $Q:$Q)</f>
        <v>1.2949001329918235E-2</v>
      </c>
      <c r="S327" s="8">
        <f>(Table1[[#This Row],[2023 Market share (%)]]-Table1[[#This Row],[2022 Market share (%)]])*10000</f>
        <v>-1.8842335561876886</v>
      </c>
      <c r="T327" s="10">
        <v>0.1563573883161512</v>
      </c>
      <c r="U327" s="5">
        <v>55</v>
      </c>
      <c r="V327" s="5">
        <f t="shared" si="40"/>
        <v>1223.6363636363637</v>
      </c>
      <c r="W327" s="10">
        <v>7.8431372549019607E-2</v>
      </c>
      <c r="X327" s="10">
        <f t="shared" si="41"/>
        <v>0.10341733570284917</v>
      </c>
      <c r="Y327" s="8">
        <f>(Table1[[#This Row],[2023 Market share (%)]]-Table1[[#This Row],[2019 Market share (%)]])*10000</f>
        <v>2.269575307796909</v>
      </c>
      <c r="Z327" s="10">
        <f t="shared" si="42"/>
        <v>1.8976406225503117E-2</v>
      </c>
      <c r="AA327" s="10">
        <f t="shared" si="43"/>
        <v>8.2868385333996875E-2</v>
      </c>
      <c r="AB327" s="5">
        <v>58200</v>
      </c>
      <c r="AC327" s="6">
        <f>Table1[[#This Row],[2022 U.S. Sales ($000)]]/SUMIF($E:$E, E327, $AB:$AB)</f>
        <v>1.3137424685537004E-2</v>
      </c>
      <c r="AD327" s="5">
        <v>51</v>
      </c>
      <c r="AE327" s="5">
        <f t="shared" si="44"/>
        <v>1141.1764705882354</v>
      </c>
      <c r="AF327" s="5">
        <v>48700</v>
      </c>
      <c r="AG327" s="6">
        <f>Table1[[#This Row],[2021 U.S. Sales ($000)]]/SUMIF($E:$E, E327, $AF:$AF)</f>
        <v>1.2908020678278054E-2</v>
      </c>
      <c r="AH327" s="5">
        <v>46</v>
      </c>
      <c r="AI327" s="12">
        <f t="shared" si="45"/>
        <v>1058.695652173913</v>
      </c>
      <c r="AJ327" s="5">
        <v>37700</v>
      </c>
      <c r="AK327" s="6">
        <f>Table1[[#This Row],[2020 U.S. Sales ($000)]]/SUMIF($E:$E, E327, $AJ:$AJ)</f>
        <v>1.2302691907308844E-2</v>
      </c>
      <c r="AL327" s="5">
        <v>41</v>
      </c>
      <c r="AM327" s="5">
        <f t="shared" si="46"/>
        <v>919.51219512195121</v>
      </c>
      <c r="AN327" s="5">
        <v>45400</v>
      </c>
      <c r="AO327" s="6">
        <f>Table1[[#This Row],[2019 U.S. Sales ($000)]]/SUMIF($E:$E, E327, $AN:$AN)</f>
        <v>1.2722043799138544E-2</v>
      </c>
      <c r="AP327" s="5">
        <v>40</v>
      </c>
      <c r="AQ327" s="5">
        <f t="shared" si="47"/>
        <v>1135</v>
      </c>
    </row>
    <row r="328" spans="1:43" x14ac:dyDescent="0.25">
      <c r="A328" t="s">
        <v>393</v>
      </c>
      <c r="B328">
        <v>8948</v>
      </c>
      <c r="C328" t="s">
        <v>68</v>
      </c>
      <c r="D328" t="s">
        <v>69</v>
      </c>
      <c r="E328" t="s">
        <v>73</v>
      </c>
      <c r="F328" s="5">
        <v>320</v>
      </c>
      <c r="G328" s="5">
        <v>0</v>
      </c>
      <c r="H328" s="6">
        <f>Table1[[#This Row],[2024 U.S. Sales ($000)]]/SUMIF($E:$E, E328, $G:$G)</f>
        <v>0</v>
      </c>
      <c r="I328" s="5">
        <v>0</v>
      </c>
      <c r="J328" s="5" t="e">
        <f>Table1[[#This Row],[2024 U.S. Sales ($000)]]/Table1[[#This Row],[2024 U.S. Units]]</f>
        <v>#DIV/0!</v>
      </c>
      <c r="K328" s="6">
        <f>Table1[[#This Row],[2024 U.S. Units]]/Table1[[#This Row],[2023 U.S. Units]]-1</f>
        <v>-1</v>
      </c>
      <c r="L328" s="8">
        <f>(Table1[[#This Row],[2024 Market share (%)]]-Table1[[#This Row],[2023 Market share (%)]])*10000</f>
        <v>-109.26115215572773</v>
      </c>
      <c r="M328" s="6">
        <f>_xlfn.RRI(5,Table1[[#This Row],[2019 U.S. Sales ($000)]],Table1[[#This Row],[2024 U.S. Sales ($000)]])</f>
        <v>-1</v>
      </c>
      <c r="N328" s="9">
        <f>(Table1[[#This Row],[2024 Market share (%)]]-Table1[[#This Row],[2019 Market share (%)]])*10000</f>
        <v>-79.326550954887495</v>
      </c>
      <c r="O328" s="6" t="e">
        <f>IF(Table1[[#This Row],[2024 AUV]]=0,"",_xlfn.RRI(5,Table1[[#This Row],[2019 AUV]],Table1[[#This Row],[2024 AUV]]))</f>
        <v>#DIV/0!</v>
      </c>
      <c r="P328" s="6">
        <f>_xlfn.RRI(5,Table1[[#This Row],[2019 U.S. Units]],Table1[[#This Row],[2024 U.S. Units]])</f>
        <v>-1</v>
      </c>
      <c r="Q328" s="5">
        <v>105000</v>
      </c>
      <c r="R328" s="6">
        <f>Table1[[#This Row],[2023 U.S. Sales ($000)]]/SUMIF($E:$E, E328, $Q:$Q)</f>
        <v>1.0926115215572773E-2</v>
      </c>
      <c r="S328" s="8">
        <f>(Table1[[#This Row],[2023 Market share (%)]]-Table1[[#This Row],[2022 Market share (%)]])*10000</f>
        <v>2.7700745400651394</v>
      </c>
      <c r="T328" s="10">
        <v>7.3619631901840496E-2</v>
      </c>
      <c r="U328" s="5">
        <v>27</v>
      </c>
      <c r="V328" s="5">
        <f t="shared" si="40"/>
        <v>3888.8888888888887</v>
      </c>
      <c r="W328" s="10">
        <v>3.8461538461538464E-2</v>
      </c>
      <c r="X328" s="10">
        <f t="shared" si="41"/>
        <v>9.756105190508757E-2</v>
      </c>
      <c r="Y328" s="8">
        <f>(Table1[[#This Row],[2023 Market share (%)]]-Table1[[#This Row],[2019 Market share (%)]])*10000</f>
        <v>29.934601200840241</v>
      </c>
      <c r="Z328" s="10">
        <f t="shared" si="42"/>
        <v>5.4434738090886281E-2</v>
      </c>
      <c r="AA328" s="10">
        <f t="shared" si="43"/>
        <v>4.0899936483772992E-2</v>
      </c>
      <c r="AB328" s="5">
        <v>97800</v>
      </c>
      <c r="AC328" s="6">
        <f>Table1[[#This Row],[2022 U.S. Sales ($000)]]/SUMIF($E:$E, E328, $AB:$AB)</f>
        <v>1.0649107761566259E-2</v>
      </c>
      <c r="AD328" s="5">
        <v>26</v>
      </c>
      <c r="AE328" s="5">
        <f t="shared" si="44"/>
        <v>3761.5384615384614</v>
      </c>
      <c r="AF328" s="5">
        <v>90000</v>
      </c>
      <c r="AG328" s="6">
        <f>Table1[[#This Row],[2021 U.S. Sales ($000)]]/SUMIF($E:$E, E328, $AF:$AF)</f>
        <v>1.0748268155437155E-2</v>
      </c>
      <c r="AH328" s="5">
        <v>26</v>
      </c>
      <c r="AI328" s="12">
        <f t="shared" si="45"/>
        <v>3461.5384615384614</v>
      </c>
      <c r="AJ328" s="5">
        <v>79000</v>
      </c>
      <c r="AK328" s="6">
        <f>Table1[[#This Row],[2020 U.S. Sales ($000)]]/SUMIF($E:$E, E328, $AJ:$AJ)</f>
        <v>1.1451135756983127E-2</v>
      </c>
      <c r="AL328" s="5">
        <v>25</v>
      </c>
      <c r="AM328" s="5">
        <f t="shared" si="46"/>
        <v>3160</v>
      </c>
      <c r="AN328" s="5">
        <v>72356</v>
      </c>
      <c r="AO328" s="6">
        <f>Table1[[#This Row],[2019 U.S. Sales ($000)]]/SUMIF($E:$E, E328, $AN:$AN)</f>
        <v>7.9326550954887491E-3</v>
      </c>
      <c r="AP328" s="5">
        <v>23</v>
      </c>
      <c r="AQ328" s="5">
        <f t="shared" si="47"/>
        <v>3145.913043478261</v>
      </c>
    </row>
    <row r="329" spans="1:43" x14ac:dyDescent="0.25">
      <c r="A329" t="s">
        <v>394</v>
      </c>
      <c r="B329">
        <v>1095</v>
      </c>
      <c r="C329" t="s">
        <v>68</v>
      </c>
      <c r="D329" t="s">
        <v>69</v>
      </c>
      <c r="E329" t="s">
        <v>107</v>
      </c>
      <c r="F329" s="5">
        <v>265</v>
      </c>
      <c r="G329" s="5">
        <v>0</v>
      </c>
      <c r="H329" s="6">
        <f>Table1[[#This Row],[2024 U.S. Sales ($000)]]/SUMIF($E:$E, E329, $G:$G)</f>
        <v>0</v>
      </c>
      <c r="I329" s="5">
        <v>0</v>
      </c>
      <c r="J329" s="5" t="e">
        <f>Table1[[#This Row],[2024 U.S. Sales ($000)]]/Table1[[#This Row],[2024 U.S. Units]]</f>
        <v>#DIV/0!</v>
      </c>
      <c r="K329" s="6">
        <f>Table1[[#This Row],[2024 U.S. Units]]/Table1[[#This Row],[2023 U.S. Units]]-1</f>
        <v>-1</v>
      </c>
      <c r="L329" s="8">
        <f>(Table1[[#This Row],[2024 Market share (%)]]-Table1[[#This Row],[2023 Market share (%)]])*10000</f>
        <v>-264.76776315763902</v>
      </c>
      <c r="M329" s="6">
        <f>_xlfn.RRI(5,Table1[[#This Row],[2019 U.S. Sales ($000)]],Table1[[#This Row],[2024 U.S. Sales ($000)]])</f>
        <v>-1</v>
      </c>
      <c r="N329" s="9">
        <f>(Table1[[#This Row],[2024 Market share (%)]]-Table1[[#This Row],[2019 Market share (%)]])*10000</f>
        <v>-183.31540164328675</v>
      </c>
      <c r="O329" s="6" t="e">
        <f>IF(Table1[[#This Row],[2024 AUV]]=0,"",_xlfn.RRI(5,Table1[[#This Row],[2019 AUV]],Table1[[#This Row],[2024 AUV]]))</f>
        <v>#DIV/0!</v>
      </c>
      <c r="P329" s="6">
        <f>_xlfn.RRI(5,Table1[[#This Row],[2019 U.S. Units]],Table1[[#This Row],[2024 U.S. Units]])</f>
        <v>-1</v>
      </c>
      <c r="Q329" s="5">
        <v>136238</v>
      </c>
      <c r="R329" s="6">
        <f>Table1[[#This Row],[2023 U.S. Sales ($000)]]/SUMIF($E:$E, E329, $Q:$Q)</f>
        <v>2.6476776315763902E-2</v>
      </c>
      <c r="S329" s="8">
        <f>(Table1[[#This Row],[2023 Market share (%)]]-Table1[[#This Row],[2022 Market share (%)]])*10000</f>
        <v>28.039189020906406</v>
      </c>
      <c r="T329" s="10">
        <v>0.10200846093490903</v>
      </c>
      <c r="U329" s="5">
        <v>24</v>
      </c>
      <c r="V329" s="5">
        <f t="shared" si="40"/>
        <v>5676.583333333333</v>
      </c>
      <c r="W329" s="10">
        <v>0</v>
      </c>
      <c r="X329" s="10">
        <f t="shared" si="41"/>
        <v>9.6372556082790606E-2</v>
      </c>
      <c r="Y329" s="8">
        <f>(Table1[[#This Row],[2023 Market share (%)]]-Table1[[#This Row],[2019 Market share (%)]])*10000</f>
        <v>81.452361514352262</v>
      </c>
      <c r="Z329" s="10">
        <f t="shared" si="42"/>
        <v>9.6372556082790606E-2</v>
      </c>
      <c r="AA329" s="10">
        <f t="shared" si="43"/>
        <v>0</v>
      </c>
      <c r="AB329" s="5">
        <v>123627</v>
      </c>
      <c r="AC329" s="6">
        <f>Table1[[#This Row],[2022 U.S. Sales ($000)]]/SUMIF($E:$E, E329, $AB:$AB)</f>
        <v>2.3672857413673261E-2</v>
      </c>
      <c r="AD329" s="5">
        <v>24</v>
      </c>
      <c r="AE329" s="5">
        <f t="shared" si="44"/>
        <v>5151.125</v>
      </c>
      <c r="AF329" s="5">
        <v>105298</v>
      </c>
      <c r="AG329" s="6">
        <f>Table1[[#This Row],[2021 U.S. Sales ($000)]]/SUMIF($E:$E, E329, $AF:$AF)</f>
        <v>2.1870714826632349E-2</v>
      </c>
      <c r="AH329" s="5">
        <v>24</v>
      </c>
      <c r="AI329" s="12">
        <f t="shared" si="45"/>
        <v>4387.416666666667</v>
      </c>
      <c r="AJ329" s="5">
        <v>84652</v>
      </c>
      <c r="AK329" s="6">
        <f>Table1[[#This Row],[2020 U.S. Sales ($000)]]/SUMIF($E:$E, E329, $AJ:$AJ)</f>
        <v>2.4849081721165546E-2</v>
      </c>
      <c r="AL329" s="5">
        <v>24</v>
      </c>
      <c r="AM329" s="5">
        <f t="shared" si="46"/>
        <v>3527.1666666666665</v>
      </c>
      <c r="AN329" s="5">
        <v>94290</v>
      </c>
      <c r="AO329" s="6">
        <f>Table1[[#This Row],[2019 U.S. Sales ($000)]]/SUMIF($E:$E, E329, $AN:$AN)</f>
        <v>1.8331540164328676E-2</v>
      </c>
      <c r="AP329" s="5">
        <v>24</v>
      </c>
      <c r="AQ329" s="5">
        <f t="shared" si="47"/>
        <v>3928.75</v>
      </c>
    </row>
    <row r="330" spans="1:43" x14ac:dyDescent="0.25">
      <c r="A330" t="s">
        <v>395</v>
      </c>
      <c r="B330">
        <v>29891</v>
      </c>
      <c r="C330" t="s">
        <v>44</v>
      </c>
      <c r="D330" t="s">
        <v>45</v>
      </c>
      <c r="E330" t="s">
        <v>112</v>
      </c>
      <c r="F330" s="5">
        <v>449</v>
      </c>
      <c r="G330" s="5">
        <v>0</v>
      </c>
      <c r="H330" s="6">
        <f>Table1[[#This Row],[2024 U.S. Sales ($000)]]/SUMIF($E:$E, E330, $G:$G)</f>
        <v>0</v>
      </c>
      <c r="I330" s="5">
        <v>0</v>
      </c>
      <c r="J330" s="5" t="e">
        <f>Table1[[#This Row],[2024 U.S. Sales ($000)]]/Table1[[#This Row],[2024 U.S. Units]]</f>
        <v>#DIV/0!</v>
      </c>
      <c r="K330" s="6">
        <f>Table1[[#This Row],[2024 U.S. Units]]/Table1[[#This Row],[2023 U.S. Units]]-1</f>
        <v>-1</v>
      </c>
      <c r="L330" s="8">
        <f>(Table1[[#This Row],[2024 Market share (%)]]-Table1[[#This Row],[2023 Market share (%)]])*10000</f>
        <v>-81.571359502115385</v>
      </c>
      <c r="M330" s="6">
        <f>_xlfn.RRI(5,Table1[[#This Row],[2019 U.S. Sales ($000)]],Table1[[#This Row],[2024 U.S. Sales ($000)]])</f>
        <v>-1</v>
      </c>
      <c r="N330" s="9">
        <f>(Table1[[#This Row],[2024 Market share (%)]]-Table1[[#This Row],[2019 Market share (%)]])*10000</f>
        <v>-98.160353009946775</v>
      </c>
      <c r="O330" s="6" t="e">
        <f>IF(Table1[[#This Row],[2024 AUV]]=0,"",_xlfn.RRI(5,Table1[[#This Row],[2019 AUV]],Table1[[#This Row],[2024 AUV]]))</f>
        <v>#DIV/0!</v>
      </c>
      <c r="P330" s="6">
        <f>_xlfn.RRI(5,Table1[[#This Row],[2019 U.S. Units]],Table1[[#This Row],[2024 U.S. Units]])</f>
        <v>-1</v>
      </c>
      <c r="Q330" s="5">
        <v>67503</v>
      </c>
      <c r="R330" s="6">
        <f>Table1[[#This Row],[2023 U.S. Sales ($000)]]/SUMIF($E:$E, E330, $Q:$Q)</f>
        <v>8.157135950211539E-3</v>
      </c>
      <c r="S330" s="8">
        <f>(Table1[[#This Row],[2023 Market share (%)]]-Table1[[#This Row],[2022 Market share (%)]])*10000</f>
        <v>-11.962574799482226</v>
      </c>
      <c r="T330" s="10">
        <v>-2.2149148221114846E-2</v>
      </c>
      <c r="U330" s="5">
        <v>41</v>
      </c>
      <c r="V330" s="5">
        <f t="shared" si="40"/>
        <v>1646.4146341463415</v>
      </c>
      <c r="W330" s="10">
        <v>5.128205128205128E-2</v>
      </c>
      <c r="X330" s="10">
        <f t="shared" si="41"/>
        <v>9.0838281606594018E-2</v>
      </c>
      <c r="Y330" s="8">
        <f>(Table1[[#This Row],[2023 Market share (%)]]-Table1[[#This Row],[2019 Market share (%)]])*10000</f>
        <v>-16.588993507831386</v>
      </c>
      <c r="Z330" s="10">
        <f t="shared" si="42"/>
        <v>3.3220207323472861E-2</v>
      </c>
      <c r="AA330" s="10">
        <f t="shared" si="43"/>
        <v>5.5765531756661213E-2</v>
      </c>
      <c r="AB330" s="5">
        <v>69032</v>
      </c>
      <c r="AC330" s="6">
        <f>Table1[[#This Row],[2022 U.S. Sales ($000)]]/SUMIF($E:$E, E330, $AB:$AB)</f>
        <v>9.3533934301597618E-3</v>
      </c>
      <c r="AD330" s="5">
        <v>39</v>
      </c>
      <c r="AE330" s="5">
        <f t="shared" si="44"/>
        <v>1770.051282051282</v>
      </c>
      <c r="AF330" s="5">
        <v>59784</v>
      </c>
      <c r="AG330" s="6">
        <f>Table1[[#This Row],[2021 U.S. Sales ($000)]]/SUMIF($E:$E, E330, $AF:$AF)</f>
        <v>9.5564492925056099E-3</v>
      </c>
      <c r="AH330" s="5">
        <v>34</v>
      </c>
      <c r="AI330" s="12">
        <f t="shared" si="45"/>
        <v>1758.3529411764705</v>
      </c>
      <c r="AJ330" s="5">
        <v>49290</v>
      </c>
      <c r="AK330" s="6">
        <f>Table1[[#This Row],[2020 U.S. Sales ($000)]]/SUMIF($E:$E, E330, $AJ:$AJ)</f>
        <v>1.0679598608293817E-2</v>
      </c>
      <c r="AL330" s="5">
        <v>31</v>
      </c>
      <c r="AM330" s="5">
        <f t="shared" si="46"/>
        <v>1590</v>
      </c>
      <c r="AN330" s="5">
        <v>47674</v>
      </c>
      <c r="AO330" s="6">
        <f>Table1[[#This Row],[2019 U.S. Sales ($000)]]/SUMIF($E:$E, E330, $AN:$AN)</f>
        <v>9.8160353009946778E-3</v>
      </c>
      <c r="AP330" s="5">
        <v>33</v>
      </c>
      <c r="AQ330" s="5">
        <f t="shared" si="47"/>
        <v>1444.6666666666667</v>
      </c>
    </row>
    <row r="331" spans="1:43" x14ac:dyDescent="0.25">
      <c r="A331" t="s">
        <v>396</v>
      </c>
      <c r="B331">
        <v>31594</v>
      </c>
      <c r="C331" t="s">
        <v>68</v>
      </c>
      <c r="D331" t="s">
        <v>69</v>
      </c>
      <c r="E331" t="s">
        <v>87</v>
      </c>
      <c r="F331" s="5">
        <v>454</v>
      </c>
      <c r="G331" s="5">
        <v>0</v>
      </c>
      <c r="H331" s="6">
        <f>Table1[[#This Row],[2024 U.S. Sales ($000)]]/SUMIF($E:$E, E331, $G:$G)</f>
        <v>0</v>
      </c>
      <c r="I331" s="5">
        <v>0</v>
      </c>
      <c r="J331" s="5" t="e">
        <f>Table1[[#This Row],[2024 U.S. Sales ($000)]]/Table1[[#This Row],[2024 U.S. Units]]</f>
        <v>#DIV/0!</v>
      </c>
      <c r="K331" s="6">
        <f>Table1[[#This Row],[2024 U.S. Units]]/Table1[[#This Row],[2023 U.S. Units]]-1</f>
        <v>-1</v>
      </c>
      <c r="L331" s="8">
        <f>(Table1[[#This Row],[2024 Market share (%)]]-Table1[[#This Row],[2023 Market share (%)]])*10000</f>
        <v>-68.646961487164518</v>
      </c>
      <c r="M331" s="6">
        <f>_xlfn.RRI(5,Table1[[#This Row],[2019 U.S. Sales ($000)]],Table1[[#This Row],[2024 U.S. Sales ($000)]])</f>
        <v>-1</v>
      </c>
      <c r="N331" s="9">
        <f>(Table1[[#This Row],[2024 Market share (%)]]-Table1[[#This Row],[2019 Market share (%)]])*10000</f>
        <v>-55.264420976084175</v>
      </c>
      <c r="O331" s="6" t="e">
        <f>IF(Table1[[#This Row],[2024 AUV]]=0,"",_xlfn.RRI(5,Table1[[#This Row],[2019 AUV]],Table1[[#This Row],[2024 AUV]]))</f>
        <v>#DIV/0!</v>
      </c>
      <c r="P331" s="6">
        <f>_xlfn.RRI(5,Table1[[#This Row],[2019 U.S. Units]],Table1[[#This Row],[2024 U.S. Units]])</f>
        <v>-1</v>
      </c>
      <c r="Q331" s="5">
        <v>66937</v>
      </c>
      <c r="R331" s="6">
        <f>Table1[[#This Row],[2023 U.S. Sales ($000)]]/SUMIF($E:$E, E331, $Q:$Q)</f>
        <v>6.8646961487164523E-3</v>
      </c>
      <c r="S331" s="8">
        <f>(Table1[[#This Row],[2023 Market share (%)]]-Table1[[#This Row],[2022 Market share (%)]])*10000</f>
        <v>4.371842060038782</v>
      </c>
      <c r="T331" s="10">
        <v>0.11226134494275603</v>
      </c>
      <c r="U331" s="5">
        <v>12</v>
      </c>
      <c r="V331" s="5">
        <f t="shared" si="40"/>
        <v>5578.083333333333</v>
      </c>
      <c r="W331" s="10">
        <v>9.0909090909090912E-2</v>
      </c>
      <c r="X331" s="10">
        <f t="shared" si="41"/>
        <v>9.0689860686536727E-2</v>
      </c>
      <c r="Y331" s="8">
        <f>(Table1[[#This Row],[2023 Market share (%)]]-Table1[[#This Row],[2019 Market share (%)]])*10000</f>
        <v>13.38254051108035</v>
      </c>
      <c r="Z331" s="10">
        <f t="shared" si="42"/>
        <v>1.5001284128283165E-2</v>
      </c>
      <c r="AA331" s="10">
        <f t="shared" si="43"/>
        <v>7.4569931823541991E-2</v>
      </c>
      <c r="AB331" s="5">
        <v>60181</v>
      </c>
      <c r="AC331" s="6">
        <f>Table1[[#This Row],[2022 U.S. Sales ($000)]]/SUMIF($E:$E, E331, $AB:$AB)</f>
        <v>6.4275119427125741E-3</v>
      </c>
      <c r="AD331" s="5">
        <v>11</v>
      </c>
      <c r="AE331" s="5">
        <f t="shared" si="44"/>
        <v>5471</v>
      </c>
      <c r="AF331" s="5">
        <v>48940</v>
      </c>
      <c r="AG331" s="6">
        <f>Table1[[#This Row],[2021 U.S. Sales ($000)]]/SUMIF($E:$E, E331, $AF:$AF)</f>
        <v>5.7383674942469761E-3</v>
      </c>
      <c r="AH331" s="5">
        <v>9</v>
      </c>
      <c r="AI331" s="12">
        <f t="shared" si="45"/>
        <v>5437.7777777777774</v>
      </c>
      <c r="AJ331" s="5">
        <v>35000</v>
      </c>
      <c r="AK331" s="6">
        <f>Table1[[#This Row],[2020 U.S. Sales ($000)]]/SUMIF($E:$E, E331, $AJ:$AJ)</f>
        <v>5.2825779221749494E-3</v>
      </c>
      <c r="AL331" s="5">
        <v>9</v>
      </c>
      <c r="AM331" s="5">
        <f t="shared" si="46"/>
        <v>3888.8888888888887</v>
      </c>
      <c r="AN331" s="5">
        <v>47300</v>
      </c>
      <c r="AO331" s="6">
        <f>Table1[[#This Row],[2019 U.S. Sales ($000)]]/SUMIF($E:$E, E331, $AN:$AN)</f>
        <v>5.5264420976084173E-3</v>
      </c>
      <c r="AP331" s="5">
        <v>9</v>
      </c>
      <c r="AQ331" s="5">
        <f t="shared" si="47"/>
        <v>5255.5555555555557</v>
      </c>
    </row>
    <row r="332" spans="1:43" x14ac:dyDescent="0.25">
      <c r="A332" t="s">
        <v>397</v>
      </c>
      <c r="B332">
        <v>29828</v>
      </c>
      <c r="C332" t="s">
        <v>68</v>
      </c>
      <c r="D332" t="s">
        <v>69</v>
      </c>
      <c r="E332" t="s">
        <v>87</v>
      </c>
      <c r="F332" s="5">
        <v>360</v>
      </c>
      <c r="G332" s="5">
        <v>0</v>
      </c>
      <c r="H332" s="6">
        <f>Table1[[#This Row],[2024 U.S. Sales ($000)]]/SUMIF($E:$E, E332, $G:$G)</f>
        <v>0</v>
      </c>
      <c r="I332" s="5">
        <v>0</v>
      </c>
      <c r="J332" s="5" t="e">
        <f>Table1[[#This Row],[2024 U.S. Sales ($000)]]/Table1[[#This Row],[2024 U.S. Units]]</f>
        <v>#DIV/0!</v>
      </c>
      <c r="K332" s="6">
        <f>Table1[[#This Row],[2024 U.S. Units]]/Table1[[#This Row],[2023 U.S. Units]]-1</f>
        <v>-1</v>
      </c>
      <c r="L332" s="8">
        <f>(Table1[[#This Row],[2024 Market share (%)]]-Table1[[#This Row],[2023 Market share (%)]])*10000</f>
        <v>-94.757358419551835</v>
      </c>
      <c r="M332" s="6">
        <f>_xlfn.RRI(5,Table1[[#This Row],[2019 U.S. Sales ($000)]],Table1[[#This Row],[2024 U.S. Sales ($000)]])</f>
        <v>-1</v>
      </c>
      <c r="N332" s="9">
        <f>(Table1[[#This Row],[2024 Market share (%)]]-Table1[[#This Row],[2019 Market share (%)]])*10000</f>
        <v>-77.113145548024434</v>
      </c>
      <c r="O332" s="6" t="e">
        <f>IF(Table1[[#This Row],[2024 AUV]]=0,"",_xlfn.RRI(5,Table1[[#This Row],[2019 AUV]],Table1[[#This Row],[2024 AUV]]))</f>
        <v>#DIV/0!</v>
      </c>
      <c r="P332" s="6">
        <f>_xlfn.RRI(5,Table1[[#This Row],[2019 U.S. Units]],Table1[[#This Row],[2024 U.S. Units]])</f>
        <v>-1</v>
      </c>
      <c r="Q332" s="5">
        <v>92397</v>
      </c>
      <c r="R332" s="6">
        <f>Table1[[#This Row],[2023 U.S. Sales ($000)]]/SUMIF($E:$E, E332, $Q:$Q)</f>
        <v>9.4757358419551834E-3</v>
      </c>
      <c r="S332" s="8">
        <f>(Table1[[#This Row],[2023 Market share (%)]]-Table1[[#This Row],[2022 Market share (%)]])*10000</f>
        <v>1.339969693335795</v>
      </c>
      <c r="T332" s="10">
        <v>5.6364114466027189E-2</v>
      </c>
      <c r="U332" s="5">
        <v>17</v>
      </c>
      <c r="V332" s="5">
        <f t="shared" si="40"/>
        <v>5435.1176470588234</v>
      </c>
      <c r="W332" s="10">
        <v>0.13333333333333333</v>
      </c>
      <c r="X332" s="10">
        <f t="shared" si="41"/>
        <v>8.7748476630864936E-2</v>
      </c>
      <c r="Y332" s="8">
        <f>(Table1[[#This Row],[2023 Market share (%)]]-Table1[[#This Row],[2019 Market share (%)]])*10000</f>
        <v>17.644212871527404</v>
      </c>
      <c r="Z332" s="10">
        <f t="shared" si="42"/>
        <v>-2.9623350276787308E-3</v>
      </c>
      <c r="AA332" s="10">
        <f t="shared" si="43"/>
        <v>9.0980325864682188E-2</v>
      </c>
      <c r="AB332" s="5">
        <v>87467</v>
      </c>
      <c r="AC332" s="6">
        <f>Table1[[#This Row],[2022 U.S. Sales ($000)]]/SUMIF($E:$E, E332, $AB:$AB)</f>
        <v>9.3417388726216039E-3</v>
      </c>
      <c r="AD332" s="5">
        <v>15</v>
      </c>
      <c r="AE332" s="5">
        <f t="shared" si="44"/>
        <v>5831.1333333333332</v>
      </c>
      <c r="AF332" s="5">
        <v>63650</v>
      </c>
      <c r="AG332" s="6">
        <f>Table1[[#This Row],[2021 U.S. Sales ($000)]]/SUMIF($E:$E, E332, $AF:$AF)</f>
        <v>7.4631608297674708E-3</v>
      </c>
      <c r="AH332" s="5">
        <v>13</v>
      </c>
      <c r="AI332" s="12">
        <f t="shared" si="45"/>
        <v>4896.1538461538457</v>
      </c>
      <c r="AJ332" s="5">
        <v>20791</v>
      </c>
      <c r="AK332" s="6">
        <f>Table1[[#This Row],[2020 U.S. Sales ($000)]]/SUMIF($E:$E, E332, $AJ:$AJ)</f>
        <v>3.1380022165696962E-3</v>
      </c>
      <c r="AL332" s="5">
        <v>12</v>
      </c>
      <c r="AM332" s="5">
        <f t="shared" si="46"/>
        <v>1732.5833333333333</v>
      </c>
      <c r="AN332" s="5">
        <v>66000</v>
      </c>
      <c r="AO332" s="6">
        <f>Table1[[#This Row],[2019 U.S. Sales ($000)]]/SUMIF($E:$E, E332, $AN:$AN)</f>
        <v>7.7113145548024431E-3</v>
      </c>
      <c r="AP332" s="5">
        <v>12</v>
      </c>
      <c r="AQ332" s="5">
        <f t="shared" si="47"/>
        <v>5500</v>
      </c>
    </row>
    <row r="333" spans="1:43" x14ac:dyDescent="0.25">
      <c r="A333" t="s">
        <v>398</v>
      </c>
      <c r="B333">
        <v>1505</v>
      </c>
      <c r="C333" t="s">
        <v>68</v>
      </c>
      <c r="D333" t="s">
        <v>92</v>
      </c>
      <c r="E333" t="s">
        <v>93</v>
      </c>
      <c r="F333" s="5">
        <v>432</v>
      </c>
      <c r="G333" s="5">
        <v>0</v>
      </c>
      <c r="H333" s="6">
        <f>Table1[[#This Row],[2024 U.S. Sales ($000)]]/SUMIF($E:$E, E333, $G:$G)</f>
        <v>0</v>
      </c>
      <c r="I333" s="5">
        <v>0</v>
      </c>
      <c r="J333" s="5" t="e">
        <f>Table1[[#This Row],[2024 U.S. Sales ($000)]]/Table1[[#This Row],[2024 U.S. Units]]</f>
        <v>#DIV/0!</v>
      </c>
      <c r="K333" s="6">
        <f>Table1[[#This Row],[2024 U.S. Units]]/Table1[[#This Row],[2023 U.S. Units]]-1</f>
        <v>-1</v>
      </c>
      <c r="L333" s="8">
        <f>(Table1[[#This Row],[2024 Market share (%)]]-Table1[[#This Row],[2023 Market share (%)]])*10000</f>
        <v>-41.427754709978572</v>
      </c>
      <c r="M333" s="6">
        <f>_xlfn.RRI(5,Table1[[#This Row],[2019 U.S. Sales ($000)]],Table1[[#This Row],[2024 U.S. Sales ($000)]])</f>
        <v>-1</v>
      </c>
      <c r="N333" s="9">
        <f>(Table1[[#This Row],[2024 Market share (%)]]-Table1[[#This Row],[2019 Market share (%)]])*10000</f>
        <v>-30.9836603978361</v>
      </c>
      <c r="O333" s="6" t="e">
        <f>IF(Table1[[#This Row],[2024 AUV]]=0,"",_xlfn.RRI(5,Table1[[#This Row],[2019 AUV]],Table1[[#This Row],[2024 AUV]]))</f>
        <v>#DIV/0!</v>
      </c>
      <c r="P333" s="6">
        <f>_xlfn.RRI(5,Table1[[#This Row],[2019 U.S. Units]],Table1[[#This Row],[2024 U.S. Units]])</f>
        <v>-1</v>
      </c>
      <c r="Q333" s="5">
        <v>72500</v>
      </c>
      <c r="R333" s="6">
        <f>Table1[[#This Row],[2023 U.S. Sales ($000)]]/SUMIF($E:$E, E333, $Q:$Q)</f>
        <v>4.1427754709978575E-3</v>
      </c>
      <c r="S333" s="8">
        <f>(Table1[[#This Row],[2023 Market share (%)]]-Table1[[#This Row],[2022 Market share (%)]])*10000</f>
        <v>3.1626509225446147</v>
      </c>
      <c r="T333" s="10">
        <v>0.14715189873417722</v>
      </c>
      <c r="U333" s="5">
        <v>22</v>
      </c>
      <c r="V333" s="5">
        <f t="shared" si="40"/>
        <v>3295.4545454545455</v>
      </c>
      <c r="W333" s="10">
        <v>0.1</v>
      </c>
      <c r="X333" s="10">
        <f t="shared" si="41"/>
        <v>8.4038423113316663E-2</v>
      </c>
      <c r="Y333" s="8">
        <f>(Table1[[#This Row],[2023 Market share (%)]]-Table1[[#This Row],[2019 Market share (%)]])*10000</f>
        <v>10.444094312142475</v>
      </c>
      <c r="Z333" s="10">
        <f t="shared" si="42"/>
        <v>1.6368591973381807E-2</v>
      </c>
      <c r="AA333" s="10">
        <f t="shared" si="43"/>
        <v>6.6580010120685706E-2</v>
      </c>
      <c r="AB333" s="5">
        <v>63200</v>
      </c>
      <c r="AC333" s="6">
        <f>Table1[[#This Row],[2022 U.S. Sales ($000)]]/SUMIF($E:$E, E333, $AB:$AB)</f>
        <v>3.826510378743396E-3</v>
      </c>
      <c r="AD333" s="5">
        <v>20</v>
      </c>
      <c r="AE333" s="5">
        <f t="shared" si="44"/>
        <v>3160</v>
      </c>
      <c r="AF333" s="5">
        <v>57400</v>
      </c>
      <c r="AG333" s="6">
        <f>Table1[[#This Row],[2021 U.S. Sales ($000)]]/SUMIF($E:$E, E333, $AF:$AF)</f>
        <v>3.8019330643852068E-3</v>
      </c>
      <c r="AH333" s="5">
        <v>20</v>
      </c>
      <c r="AI333" s="12">
        <f t="shared" si="45"/>
        <v>2870</v>
      </c>
      <c r="AJ333" s="5">
        <v>42000</v>
      </c>
      <c r="AK333" s="6">
        <f>Table1[[#This Row],[2020 U.S. Sales ($000)]]/SUMIF($E:$E, E333, $AJ:$AJ)</f>
        <v>3.935565054843505E-3</v>
      </c>
      <c r="AL333" s="5">
        <v>18</v>
      </c>
      <c r="AM333" s="5">
        <f t="shared" si="46"/>
        <v>2333.3333333333335</v>
      </c>
      <c r="AN333" s="5">
        <v>52500</v>
      </c>
      <c r="AO333" s="6">
        <f>Table1[[#This Row],[2019 U.S. Sales ($000)]]/SUMIF($E:$E, E333, $AN:$AN)</f>
        <v>3.09836603978361E-3</v>
      </c>
      <c r="AP333" s="5">
        <v>17</v>
      </c>
      <c r="AQ333" s="5">
        <f t="shared" si="47"/>
        <v>3088.2352941176468</v>
      </c>
    </row>
    <row r="334" spans="1:43" x14ac:dyDescent="0.25">
      <c r="A334" t="s">
        <v>399</v>
      </c>
      <c r="B334">
        <v>944</v>
      </c>
      <c r="C334" t="s">
        <v>44</v>
      </c>
      <c r="D334" t="s">
        <v>45</v>
      </c>
      <c r="E334" t="s">
        <v>59</v>
      </c>
      <c r="F334" s="5">
        <v>373</v>
      </c>
      <c r="G334" s="5">
        <v>0</v>
      </c>
      <c r="H334" s="6">
        <f>Table1[[#This Row],[2024 U.S. Sales ($000)]]/SUMIF($E:$E, E334, $G:$G)</f>
        <v>0</v>
      </c>
      <c r="I334" s="5">
        <v>0</v>
      </c>
      <c r="J334" s="5" t="e">
        <f>Table1[[#This Row],[2024 U.S. Sales ($000)]]/Table1[[#This Row],[2024 U.S. Units]]</f>
        <v>#DIV/0!</v>
      </c>
      <c r="K334" s="6">
        <f>Table1[[#This Row],[2024 U.S. Units]]/Table1[[#This Row],[2023 U.S. Units]]-1</f>
        <v>-1</v>
      </c>
      <c r="L334" s="8">
        <f>(Table1[[#This Row],[2024 Market share (%)]]-Table1[[#This Row],[2023 Market share (%)]])*10000</f>
        <v>-22.557028775461511</v>
      </c>
      <c r="M334" s="6">
        <f>_xlfn.RRI(5,Table1[[#This Row],[2019 U.S. Sales ($000)]],Table1[[#This Row],[2024 U.S. Sales ($000)]])</f>
        <v>-1</v>
      </c>
      <c r="N334" s="9">
        <f>(Table1[[#This Row],[2024 Market share (%)]]-Table1[[#This Row],[2019 Market share (%)]])*10000</f>
        <v>-18.88876969881321</v>
      </c>
      <c r="O334" s="6" t="e">
        <f>IF(Table1[[#This Row],[2024 AUV]]=0,"",_xlfn.RRI(5,Table1[[#This Row],[2019 AUV]],Table1[[#This Row],[2024 AUV]]))</f>
        <v>#DIV/0!</v>
      </c>
      <c r="P334" s="6">
        <f>_xlfn.RRI(5,Table1[[#This Row],[2019 U.S. Units]],Table1[[#This Row],[2024 U.S. Units]])</f>
        <v>-1</v>
      </c>
      <c r="Q334" s="5">
        <v>85200</v>
      </c>
      <c r="R334" s="6">
        <f>Table1[[#This Row],[2023 U.S. Sales ($000)]]/SUMIF($E:$E, E334, $Q:$Q)</f>
        <v>2.2557028775461513E-3</v>
      </c>
      <c r="S334" s="8">
        <f>(Table1[[#This Row],[2023 Market share (%)]]-Table1[[#This Row],[2022 Market share (%)]])*10000</f>
        <v>0.16254131283910661</v>
      </c>
      <c r="T334" s="10">
        <v>6.3272182703107444E-2</v>
      </c>
      <c r="U334" s="5">
        <v>91</v>
      </c>
      <c r="V334" s="5">
        <f t="shared" si="40"/>
        <v>936.26373626373629</v>
      </c>
      <c r="W334" s="10">
        <v>-1.0869565217391304E-2</v>
      </c>
      <c r="X334" s="10">
        <f t="shared" si="41"/>
        <v>8.4023276671369551E-2</v>
      </c>
      <c r="Y334" s="8">
        <f>(Table1[[#This Row],[2023 Market share (%)]]-Table1[[#This Row],[2019 Market share (%)]])*10000</f>
        <v>3.6682590766483032</v>
      </c>
      <c r="Z334" s="10">
        <f t="shared" si="42"/>
        <v>0.10429416787411472</v>
      </c>
      <c r="AA334" s="10">
        <f t="shared" si="43"/>
        <v>-1.8356423308626968E-2</v>
      </c>
      <c r="AB334" s="5">
        <v>80130</v>
      </c>
      <c r="AC334" s="6">
        <f>Table1[[#This Row],[2022 U.S. Sales ($000)]]/SUMIF($E:$E, E334, $AB:$AB)</f>
        <v>2.2394487462622406E-3</v>
      </c>
      <c r="AD334" s="5">
        <v>92</v>
      </c>
      <c r="AE334" s="5">
        <f t="shared" si="44"/>
        <v>870.97826086956525</v>
      </c>
      <c r="AF334" s="5">
        <v>76194</v>
      </c>
      <c r="AG334" s="6">
        <f>Table1[[#This Row],[2021 U.S. Sales ($000)]]/SUMIF($E:$E, E334, $AF:$AF)</f>
        <v>2.2965111319936606E-3</v>
      </c>
      <c r="AH334" s="5">
        <v>93</v>
      </c>
      <c r="AI334" s="12">
        <f t="shared" si="45"/>
        <v>819.29032258064512</v>
      </c>
      <c r="AJ334" s="5">
        <v>64805</v>
      </c>
      <c r="AK334" s="6">
        <f>Table1[[#This Row],[2020 U.S. Sales ($000)]]/SUMIF($E:$E, E334, $AJ:$AJ)</f>
        <v>2.2754999252794718E-3</v>
      </c>
      <c r="AL334" s="5">
        <v>96</v>
      </c>
      <c r="AM334" s="5">
        <f t="shared" si="46"/>
        <v>675.05208333333337</v>
      </c>
      <c r="AN334" s="5">
        <v>61700</v>
      </c>
      <c r="AO334" s="6">
        <f>Table1[[#This Row],[2019 U.S. Sales ($000)]]/SUMIF($E:$E, E334, $AN:$AN)</f>
        <v>1.8888769698813209E-3</v>
      </c>
      <c r="AP334" s="5">
        <v>98</v>
      </c>
      <c r="AQ334" s="5">
        <f t="shared" si="47"/>
        <v>629.59183673469386</v>
      </c>
    </row>
    <row r="335" spans="1:43" x14ac:dyDescent="0.25">
      <c r="A335" t="s">
        <v>400</v>
      </c>
      <c r="B335">
        <v>62224</v>
      </c>
      <c r="C335" t="s">
        <v>68</v>
      </c>
      <c r="D335" t="s">
        <v>69</v>
      </c>
      <c r="E335" t="s">
        <v>79</v>
      </c>
      <c r="F335" s="5">
        <v>424</v>
      </c>
      <c r="G335" s="5">
        <v>0</v>
      </c>
      <c r="H335" s="6">
        <f>Table1[[#This Row],[2024 U.S. Sales ($000)]]/SUMIF($E:$E, E335, $G:$G)</f>
        <v>0</v>
      </c>
      <c r="I335" s="5">
        <v>0</v>
      </c>
      <c r="J335" s="5" t="e">
        <f>Table1[[#This Row],[2024 U.S. Sales ($000)]]/Table1[[#This Row],[2024 U.S. Units]]</f>
        <v>#DIV/0!</v>
      </c>
      <c r="K335" s="6">
        <f>Table1[[#This Row],[2024 U.S. Units]]/Table1[[#This Row],[2023 U.S. Units]]-1</f>
        <v>-1</v>
      </c>
      <c r="L335" s="8">
        <f>(Table1[[#This Row],[2024 Market share (%)]]-Table1[[#This Row],[2023 Market share (%)]])*10000</f>
        <v>-30.635062778664036</v>
      </c>
      <c r="M335" s="6">
        <f>_xlfn.RRI(5,Table1[[#This Row],[2019 U.S. Sales ($000)]],Table1[[#This Row],[2024 U.S. Sales ($000)]])</f>
        <v>-1</v>
      </c>
      <c r="N335" s="9">
        <f>(Table1[[#This Row],[2024 Market share (%)]]-Table1[[#This Row],[2019 Market share (%)]])*10000</f>
        <v>-23.470821258924058</v>
      </c>
      <c r="O335" s="6" t="e">
        <f>IF(Table1[[#This Row],[2024 AUV]]=0,"",_xlfn.RRI(5,Table1[[#This Row],[2019 AUV]],Table1[[#This Row],[2024 AUV]]))</f>
        <v>#DIV/0!</v>
      </c>
      <c r="P335" s="6">
        <f>_xlfn.RRI(5,Table1[[#This Row],[2019 U.S. Units]],Table1[[#This Row],[2024 U.S. Units]])</f>
        <v>-1</v>
      </c>
      <c r="Q335" s="5">
        <v>73900</v>
      </c>
      <c r="R335" s="6">
        <f>Table1[[#This Row],[2023 U.S. Sales ($000)]]/SUMIF($E:$E, E335, $Q:$Q)</f>
        <v>3.0635062778664036E-3</v>
      </c>
      <c r="S335" s="8">
        <f>(Table1[[#This Row],[2023 Market share (%)]]-Table1[[#This Row],[2022 Market share (%)]])*10000</f>
        <v>2.4424623284924167</v>
      </c>
      <c r="T335" s="10">
        <v>0.11463046757164404</v>
      </c>
      <c r="U335" s="5">
        <v>21</v>
      </c>
      <c r="V335" s="5">
        <f t="shared" si="40"/>
        <v>3519.0476190476193</v>
      </c>
      <c r="W335" s="10">
        <v>0</v>
      </c>
      <c r="X335" s="10">
        <f t="shared" si="41"/>
        <v>8.3602285033665957E-2</v>
      </c>
      <c r="Y335" s="8">
        <f>(Table1[[#This Row],[2023 Market share (%)]]-Table1[[#This Row],[2019 Market share (%)]])*10000</f>
        <v>7.1642415197399787</v>
      </c>
      <c r="Z335" s="10">
        <f t="shared" si="42"/>
        <v>1.2383560184566766E-2</v>
      </c>
      <c r="AA335" s="10">
        <f t="shared" si="43"/>
        <v>7.0347571464036251E-2</v>
      </c>
      <c r="AB335" s="5">
        <v>66300</v>
      </c>
      <c r="AC335" s="6">
        <f>Table1[[#This Row],[2022 U.S. Sales ($000)]]/SUMIF($E:$E, E335, $AB:$AB)</f>
        <v>2.819260045017162E-3</v>
      </c>
      <c r="AD335" s="5">
        <v>21</v>
      </c>
      <c r="AE335" s="5">
        <f t="shared" si="44"/>
        <v>3157.1428571428573</v>
      </c>
      <c r="AF335" s="5">
        <v>56000</v>
      </c>
      <c r="AG335" s="6">
        <f>Table1[[#This Row],[2021 U.S. Sales ($000)]]/SUMIF($E:$E, E335, $AF:$AF)</f>
        <v>2.5782564126646717E-3</v>
      </c>
      <c r="AH335" s="5">
        <v>18</v>
      </c>
      <c r="AI335" s="12">
        <f t="shared" si="45"/>
        <v>3111.1111111111113</v>
      </c>
      <c r="AJ335" s="5">
        <v>42700</v>
      </c>
      <c r="AK335" s="6">
        <f>Table1[[#This Row],[2020 U.S. Sales ($000)]]/SUMIF($E:$E, E335, $AJ:$AJ)</f>
        <v>2.6186202790247229E-3</v>
      </c>
      <c r="AL335" s="5">
        <v>17</v>
      </c>
      <c r="AM335" s="5">
        <f t="shared" si="46"/>
        <v>2511.7647058823532</v>
      </c>
      <c r="AN335" s="5">
        <v>53600</v>
      </c>
      <c r="AO335" s="6">
        <f>Table1[[#This Row],[2019 U.S. Sales ($000)]]/SUMIF($E:$E, E335, $AN:$AN)</f>
        <v>2.3470821258924058E-3</v>
      </c>
      <c r="AP335" s="5">
        <v>16</v>
      </c>
      <c r="AQ335" s="5">
        <f t="shared" si="47"/>
        <v>3350</v>
      </c>
    </row>
    <row r="336" spans="1:43" x14ac:dyDescent="0.25">
      <c r="A336" t="s">
        <v>401</v>
      </c>
      <c r="B336">
        <v>6636</v>
      </c>
      <c r="C336" t="s">
        <v>44</v>
      </c>
      <c r="D336" t="s">
        <v>45</v>
      </c>
      <c r="E336" t="s">
        <v>61</v>
      </c>
      <c r="F336" s="5">
        <v>390</v>
      </c>
      <c r="G336" s="5">
        <v>0</v>
      </c>
      <c r="H336" s="6">
        <f>Table1[[#This Row],[2024 U.S. Sales ($000)]]/SUMIF($E:$E, E336, $G:$G)</f>
        <v>0</v>
      </c>
      <c r="I336" s="5">
        <v>0</v>
      </c>
      <c r="J336" s="5" t="e">
        <f>Table1[[#This Row],[2024 U.S. Sales ($000)]]/Table1[[#This Row],[2024 U.S. Units]]</f>
        <v>#DIV/0!</v>
      </c>
      <c r="K336" s="6">
        <f>Table1[[#This Row],[2024 U.S. Units]]/Table1[[#This Row],[2023 U.S. Units]]-1</f>
        <v>-1</v>
      </c>
      <c r="L336" s="8">
        <f>(Table1[[#This Row],[2024 Market share (%)]]-Table1[[#This Row],[2023 Market share (%)]])*10000</f>
        <v>-26.287552365999201</v>
      </c>
      <c r="M336" s="6">
        <f>_xlfn.RRI(5,Table1[[#This Row],[2019 U.S. Sales ($000)]],Table1[[#This Row],[2024 U.S. Sales ($000)]])</f>
        <v>-1</v>
      </c>
      <c r="N336" s="9">
        <f>(Table1[[#This Row],[2024 Market share (%)]]-Table1[[#This Row],[2019 Market share (%)]])*10000</f>
        <v>-22.589319544988332</v>
      </c>
      <c r="O336" s="6" t="e">
        <f>IF(Table1[[#This Row],[2024 AUV]]=0,"",_xlfn.RRI(5,Table1[[#This Row],[2019 AUV]],Table1[[#This Row],[2024 AUV]]))</f>
        <v>#DIV/0!</v>
      </c>
      <c r="P336" s="6">
        <f>_xlfn.RRI(5,Table1[[#This Row],[2019 U.S. Units]],Table1[[#This Row],[2024 U.S. Units]])</f>
        <v>-1</v>
      </c>
      <c r="Q336" s="5">
        <v>80300</v>
      </c>
      <c r="R336" s="6">
        <f>Table1[[#This Row],[2023 U.S. Sales ($000)]]/SUMIF($E:$E, E336, $Q:$Q)</f>
        <v>2.6287552365999202E-3</v>
      </c>
      <c r="S336" s="8">
        <f>(Table1[[#This Row],[2023 Market share (%)]]-Table1[[#This Row],[2022 Market share (%)]])*10000</f>
        <v>-1.2895019508832837</v>
      </c>
      <c r="T336" s="10">
        <v>-1.9044943133925407E-2</v>
      </c>
      <c r="U336" s="5">
        <v>71</v>
      </c>
      <c r="V336" s="5">
        <f t="shared" si="40"/>
        <v>1130.9859154929577</v>
      </c>
      <c r="W336" s="10">
        <v>-2.7397260273972601E-2</v>
      </c>
      <c r="X336" s="10">
        <f t="shared" si="41"/>
        <v>8.3332438744694537E-2</v>
      </c>
      <c r="Y336" s="8">
        <f>(Table1[[#This Row],[2023 Market share (%)]]-Table1[[#This Row],[2019 Market share (%)]])*10000</f>
        <v>3.6982328210108686</v>
      </c>
      <c r="Z336" s="10">
        <f t="shared" si="42"/>
        <v>6.774085662580176E-2</v>
      </c>
      <c r="AA336" s="10">
        <f t="shared" si="43"/>
        <v>1.4602402841607187E-2</v>
      </c>
      <c r="AB336" s="5">
        <v>81859</v>
      </c>
      <c r="AC336" s="6">
        <f>Table1[[#This Row],[2022 U.S. Sales ($000)]]/SUMIF($E:$E, E336, $AB:$AB)</f>
        <v>2.7577054316882486E-3</v>
      </c>
      <c r="AD336" s="5">
        <v>73</v>
      </c>
      <c r="AE336" s="5">
        <f t="shared" si="44"/>
        <v>1121.3561643835617</v>
      </c>
      <c r="AF336" s="5">
        <v>77753</v>
      </c>
      <c r="AG336" s="6">
        <f>Table1[[#This Row],[2021 U.S. Sales ($000)]]/SUMIF($E:$E, E336, $AF:$AF)</f>
        <v>2.6748143010868097E-3</v>
      </c>
      <c r="AH336" s="5">
        <v>70</v>
      </c>
      <c r="AI336" s="12">
        <f t="shared" si="45"/>
        <v>1110.7571428571428</v>
      </c>
      <c r="AJ336" s="5">
        <v>63000</v>
      </c>
      <c r="AK336" s="6">
        <f>Table1[[#This Row],[2020 U.S. Sales ($000)]]/SUMIF($E:$E, E336, $AJ:$AJ)</f>
        <v>2.327564507803788E-3</v>
      </c>
      <c r="AL336" s="5">
        <v>67</v>
      </c>
      <c r="AM336" s="5">
        <f t="shared" si="46"/>
        <v>940.29850746268653</v>
      </c>
      <c r="AN336" s="5">
        <v>58300</v>
      </c>
      <c r="AO336" s="6">
        <f>Table1[[#This Row],[2019 U.S. Sales ($000)]]/SUMIF($E:$E, E336, $AN:$AN)</f>
        <v>2.2589319544988333E-3</v>
      </c>
      <c r="AP336" s="5">
        <v>67</v>
      </c>
      <c r="AQ336" s="5">
        <f t="shared" si="47"/>
        <v>870.14925373134326</v>
      </c>
    </row>
    <row r="337" spans="1:43" x14ac:dyDescent="0.25">
      <c r="A337" t="s">
        <v>402</v>
      </c>
      <c r="B337">
        <v>11967</v>
      </c>
      <c r="C337" t="s">
        <v>68</v>
      </c>
      <c r="D337" t="s">
        <v>69</v>
      </c>
      <c r="E337" t="s">
        <v>79</v>
      </c>
      <c r="F337" s="5">
        <v>333</v>
      </c>
      <c r="G337" s="5">
        <v>0</v>
      </c>
      <c r="H337" s="6">
        <f>Table1[[#This Row],[2024 U.S. Sales ($000)]]/SUMIF($E:$E, E337, $G:$G)</f>
        <v>0</v>
      </c>
      <c r="I337" s="5">
        <v>0</v>
      </c>
      <c r="J337" s="5" t="e">
        <f>Table1[[#This Row],[2024 U.S. Sales ($000)]]/Table1[[#This Row],[2024 U.S. Units]]</f>
        <v>#DIV/0!</v>
      </c>
      <c r="K337" s="6">
        <f>Table1[[#This Row],[2024 U.S. Units]]/Table1[[#This Row],[2023 U.S. Units]]-1</f>
        <v>-1</v>
      </c>
      <c r="L337" s="8">
        <f>(Table1[[#This Row],[2024 Market share (%)]]-Table1[[#This Row],[2023 Market share (%)]])*10000</f>
        <v>-41.703481942267949</v>
      </c>
      <c r="M337" s="6">
        <f>_xlfn.RRI(5,Table1[[#This Row],[2019 U.S. Sales ($000)]],Table1[[#This Row],[2024 U.S. Sales ($000)]])</f>
        <v>-1</v>
      </c>
      <c r="N337" s="9">
        <f>(Table1[[#This Row],[2024 Market share (%)]]-Table1[[#This Row],[2019 Market share (%)]])*10000</f>
        <v>-32.053435002858969</v>
      </c>
      <c r="O337" s="6" t="e">
        <f>IF(Table1[[#This Row],[2024 AUV]]=0,"",_xlfn.RRI(5,Table1[[#This Row],[2019 AUV]],Table1[[#This Row],[2024 AUV]]))</f>
        <v>#DIV/0!</v>
      </c>
      <c r="P337" s="6">
        <f>_xlfn.RRI(5,Table1[[#This Row],[2019 U.S. Units]],Table1[[#This Row],[2024 U.S. Units]])</f>
        <v>-1</v>
      </c>
      <c r="Q337" s="5">
        <v>100600</v>
      </c>
      <c r="R337" s="6">
        <f>Table1[[#This Row],[2023 U.S. Sales ($000)]]/SUMIF($E:$E, E337, $Q:$Q)</f>
        <v>4.1703481942267952E-3</v>
      </c>
      <c r="S337" s="8">
        <f>(Table1[[#This Row],[2023 Market share (%)]]-Table1[[#This Row],[2022 Market share (%)]])*10000</f>
        <v>5.3465085110511588</v>
      </c>
      <c r="T337" s="10">
        <v>0.17660818713450294</v>
      </c>
      <c r="U337" s="5">
        <v>22</v>
      </c>
      <c r="V337" s="5">
        <f t="shared" si="40"/>
        <v>4572.727272727273</v>
      </c>
      <c r="W337" s="10">
        <v>0.15789473684210525</v>
      </c>
      <c r="X337" s="10">
        <f t="shared" si="41"/>
        <v>8.2733875874184237E-2</v>
      </c>
      <c r="Y337" s="8">
        <f>(Table1[[#This Row],[2023 Market share (%)]]-Table1[[#This Row],[2019 Market share (%)]])*10000</f>
        <v>9.6500469394089805</v>
      </c>
      <c r="Z337" s="10">
        <f t="shared" si="42"/>
        <v>1.5145479570417564E-2</v>
      </c>
      <c r="AA337" s="10">
        <f t="shared" si="43"/>
        <v>6.6580010120685706E-2</v>
      </c>
      <c r="AB337" s="5">
        <v>85500</v>
      </c>
      <c r="AC337" s="6">
        <f>Table1[[#This Row],[2022 U.S. Sales ($000)]]/SUMIF($E:$E, E337, $AB:$AB)</f>
        <v>3.6356973431216793E-3</v>
      </c>
      <c r="AD337" s="5">
        <v>19</v>
      </c>
      <c r="AE337" s="5">
        <f t="shared" si="44"/>
        <v>4500</v>
      </c>
      <c r="AF337" s="5">
        <v>74100</v>
      </c>
      <c r="AG337" s="6">
        <f>Table1[[#This Row],[2021 U.S. Sales ($000)]]/SUMIF($E:$E, E337, $AF:$AF)</f>
        <v>3.4115857174723601E-3</v>
      </c>
      <c r="AH337" s="5">
        <v>18</v>
      </c>
      <c r="AI337" s="12">
        <f t="shared" si="45"/>
        <v>4116.666666666667</v>
      </c>
      <c r="AJ337" s="5">
        <v>49400</v>
      </c>
      <c r="AK337" s="6">
        <f>Table1[[#This Row],[2020 U.S. Sales ($000)]]/SUMIF($E:$E, E337, $AJ:$AJ)</f>
        <v>3.0295044914243866E-3</v>
      </c>
      <c r="AL337" s="5">
        <v>18</v>
      </c>
      <c r="AM337" s="5">
        <f t="shared" si="46"/>
        <v>2744.4444444444443</v>
      </c>
      <c r="AN337" s="5">
        <v>73200</v>
      </c>
      <c r="AO337" s="6">
        <f>Table1[[#This Row],[2019 U.S. Sales ($000)]]/SUMIF($E:$E, E337, $AN:$AN)</f>
        <v>3.2053435002858972E-3</v>
      </c>
      <c r="AP337" s="5">
        <v>17</v>
      </c>
      <c r="AQ337" s="5">
        <f t="shared" si="47"/>
        <v>4305.8823529411766</v>
      </c>
    </row>
    <row r="338" spans="1:43" x14ac:dyDescent="0.25">
      <c r="A338" t="s">
        <v>403</v>
      </c>
      <c r="B338">
        <v>33426</v>
      </c>
      <c r="C338" t="s">
        <v>44</v>
      </c>
      <c r="D338" t="s">
        <v>45</v>
      </c>
      <c r="E338" t="s">
        <v>112</v>
      </c>
      <c r="F338" s="5">
        <v>456</v>
      </c>
      <c r="G338" s="5">
        <v>0</v>
      </c>
      <c r="H338" s="6">
        <f>Table1[[#This Row],[2024 U.S. Sales ($000)]]/SUMIF($E:$E, E338, $G:$G)</f>
        <v>0</v>
      </c>
      <c r="I338" s="5">
        <v>0</v>
      </c>
      <c r="J338" s="5" t="e">
        <f>Table1[[#This Row],[2024 U.S. Sales ($000)]]/Table1[[#This Row],[2024 U.S. Units]]</f>
        <v>#DIV/0!</v>
      </c>
      <c r="K338" s="6">
        <f>Table1[[#This Row],[2024 U.S. Units]]/Table1[[#This Row],[2023 U.S. Units]]-1</f>
        <v>-1</v>
      </c>
      <c r="L338" s="8">
        <f>(Table1[[#This Row],[2024 Market share (%)]]-Table1[[#This Row],[2023 Market share (%)]])*10000</f>
        <v>-80.457204672538182</v>
      </c>
      <c r="M338" s="6">
        <f>_xlfn.RRI(5,Table1[[#This Row],[2019 U.S. Sales ($000)]],Table1[[#This Row],[2024 U.S. Sales ($000)]])</f>
        <v>-1</v>
      </c>
      <c r="N338" s="9">
        <f>(Table1[[#This Row],[2024 Market share (%)]]-Table1[[#This Row],[2019 Market share (%)]])*10000</f>
        <v>-100.0669789881993</v>
      </c>
      <c r="O338" s="6" t="e">
        <f>IF(Table1[[#This Row],[2024 AUV]]=0,"",_xlfn.RRI(5,Table1[[#This Row],[2019 AUV]],Table1[[#This Row],[2024 AUV]]))</f>
        <v>#DIV/0!</v>
      </c>
      <c r="P338" s="6">
        <f>_xlfn.RRI(5,Table1[[#This Row],[2019 U.S. Units]],Table1[[#This Row],[2024 U.S. Units]])</f>
        <v>-1</v>
      </c>
      <c r="Q338" s="5">
        <v>66581</v>
      </c>
      <c r="R338" s="6">
        <f>Table1[[#This Row],[2023 U.S. Sales ($000)]]/SUMIF($E:$E, E338, $Q:$Q)</f>
        <v>8.0457204672538182E-3</v>
      </c>
      <c r="S338" s="8">
        <f>(Table1[[#This Row],[2023 Market share (%)]]-Table1[[#This Row],[2022 Market share (%)]])*10000</f>
        <v>-1.6817188010892838</v>
      </c>
      <c r="T338" s="10">
        <v>9.8297647718649989E-2</v>
      </c>
      <c r="U338" s="5">
        <v>128</v>
      </c>
      <c r="V338" s="5">
        <f t="shared" si="40"/>
        <v>520.1640625</v>
      </c>
      <c r="W338" s="10">
        <v>0.11304347826086956</v>
      </c>
      <c r="X338" s="10">
        <f t="shared" si="41"/>
        <v>8.1878552033971319E-2</v>
      </c>
      <c r="Y338" s="8">
        <f>(Table1[[#This Row],[2023 Market share (%)]]-Table1[[#This Row],[2019 Market share (%)]])*10000</f>
        <v>-19.60977431566112</v>
      </c>
      <c r="Z338" s="10">
        <f t="shared" si="42"/>
        <v>-2.0508590329868515E-2</v>
      </c>
      <c r="AA338" s="10">
        <f t="shared" si="43"/>
        <v>0.1045309242664223</v>
      </c>
      <c r="AB338" s="5">
        <v>60622</v>
      </c>
      <c r="AC338" s="6">
        <f>Table1[[#This Row],[2022 U.S. Sales ($000)]]/SUMIF($E:$E, E338, $AB:$AB)</f>
        <v>8.2138923473627466E-3</v>
      </c>
      <c r="AD338" s="5">
        <v>115</v>
      </c>
      <c r="AE338" s="5">
        <f t="shared" si="44"/>
        <v>527.14782608695657</v>
      </c>
      <c r="AF338" s="5">
        <v>56238</v>
      </c>
      <c r="AG338" s="6">
        <f>Table1[[#This Row],[2021 U.S. Sales ($000)]]/SUMIF($E:$E, E338, $AF:$AF)</f>
        <v>8.9896225630926429E-3</v>
      </c>
      <c r="AH338" s="5">
        <v>105</v>
      </c>
      <c r="AI338" s="12">
        <f t="shared" si="45"/>
        <v>535.6</v>
      </c>
      <c r="AJ338" s="5">
        <v>43400</v>
      </c>
      <c r="AK338" s="6">
        <f>Table1[[#This Row],[2020 U.S. Sales ($000)]]/SUMIF($E:$E, E338, $AJ:$AJ)</f>
        <v>9.4034201582461271E-3</v>
      </c>
      <c r="AL338" s="5">
        <v>99</v>
      </c>
      <c r="AM338" s="5">
        <f t="shared" si="46"/>
        <v>438.38383838383839</v>
      </c>
      <c r="AN338" s="5">
        <v>48600</v>
      </c>
      <c r="AO338" s="6">
        <f>Table1[[#This Row],[2019 U.S. Sales ($000)]]/SUMIF($E:$E, E338, $AN:$AN)</f>
        <v>1.000669789881993E-2</v>
      </c>
      <c r="AP338" s="5">
        <v>86</v>
      </c>
      <c r="AQ338" s="5">
        <f t="shared" si="47"/>
        <v>565.11627906976742</v>
      </c>
    </row>
    <row r="339" spans="1:43" x14ac:dyDescent="0.25">
      <c r="A339" t="s">
        <v>404</v>
      </c>
      <c r="B339">
        <v>593</v>
      </c>
      <c r="C339" t="s">
        <v>44</v>
      </c>
      <c r="D339" t="s">
        <v>45</v>
      </c>
      <c r="E339" t="s">
        <v>61</v>
      </c>
      <c r="F339" s="5">
        <v>286</v>
      </c>
      <c r="G339" s="5">
        <v>0</v>
      </c>
      <c r="H339" s="6">
        <f>Table1[[#This Row],[2024 U.S. Sales ($000)]]/SUMIF($E:$E, E339, $G:$G)</f>
        <v>0</v>
      </c>
      <c r="I339" s="5">
        <v>0</v>
      </c>
      <c r="J339" s="5" t="e">
        <f>Table1[[#This Row],[2024 U.S. Sales ($000)]]/Table1[[#This Row],[2024 U.S. Units]]</f>
        <v>#DIV/0!</v>
      </c>
      <c r="K339" s="6">
        <f>Table1[[#This Row],[2024 U.S. Units]]/Table1[[#This Row],[2023 U.S. Units]]-1</f>
        <v>-1</v>
      </c>
      <c r="L339" s="8">
        <f>(Table1[[#This Row],[2024 Market share (%)]]-Table1[[#This Row],[2023 Market share (%)]])*10000</f>
        <v>-40.141387092982022</v>
      </c>
      <c r="M339" s="6">
        <f>_xlfn.RRI(5,Table1[[#This Row],[2019 U.S. Sales ($000)]],Table1[[#This Row],[2024 U.S. Sales ($000)]])</f>
        <v>-1</v>
      </c>
      <c r="N339" s="9">
        <f>(Table1[[#This Row],[2024 Market share (%)]]-Table1[[#This Row],[2019 Market share (%)]])*10000</f>
        <v>-34.833273192014602</v>
      </c>
      <c r="O339" s="6" t="e">
        <f>IF(Table1[[#This Row],[2024 AUV]]=0,"",_xlfn.RRI(5,Table1[[#This Row],[2019 AUV]],Table1[[#This Row],[2024 AUV]]))</f>
        <v>#DIV/0!</v>
      </c>
      <c r="P339" s="6">
        <f>_xlfn.RRI(5,Table1[[#This Row],[2019 U.S. Units]],Table1[[#This Row],[2024 U.S. Units]])</f>
        <v>-1</v>
      </c>
      <c r="Q339" s="5">
        <v>122619</v>
      </c>
      <c r="R339" s="6">
        <f>Table1[[#This Row],[2023 U.S. Sales ($000)]]/SUMIF($E:$E, E339, $Q:$Q)</f>
        <v>4.0141387092982022E-3</v>
      </c>
      <c r="S339" s="8">
        <f>(Table1[[#This Row],[2023 Market share (%)]]-Table1[[#This Row],[2022 Market share (%)]])*10000</f>
        <v>4.9032351299002848</v>
      </c>
      <c r="T339" s="10">
        <v>0.17226577437858509</v>
      </c>
      <c r="U339" s="5">
        <v>75</v>
      </c>
      <c r="V339" s="5">
        <f t="shared" si="40"/>
        <v>1634.92</v>
      </c>
      <c r="W339" s="10">
        <v>8.6956521739130432E-2</v>
      </c>
      <c r="X339" s="10">
        <f t="shared" si="41"/>
        <v>8.0685985637926505E-2</v>
      </c>
      <c r="Y339" s="8">
        <f>(Table1[[#This Row],[2023 Market share (%)]]-Table1[[#This Row],[2019 Market share (%)]])*10000</f>
        <v>5.3081139009674221</v>
      </c>
      <c r="Z339" s="10">
        <f t="shared" si="42"/>
        <v>5.8391824244490964E-2</v>
      </c>
      <c r="AA339" s="10">
        <f t="shared" si="43"/>
        <v>2.106418519374853E-2</v>
      </c>
      <c r="AB339" s="5">
        <v>104600</v>
      </c>
      <c r="AC339" s="6">
        <f>Table1[[#This Row],[2022 U.S. Sales ($000)]]/SUMIF($E:$E, E339, $AB:$AB)</f>
        <v>3.5238151963081737E-3</v>
      </c>
      <c r="AD339" s="5">
        <v>69</v>
      </c>
      <c r="AE339" s="5">
        <f t="shared" si="44"/>
        <v>1515.9420289855072</v>
      </c>
      <c r="AF339" s="5">
        <v>91000</v>
      </c>
      <c r="AG339" s="6">
        <f>Table1[[#This Row],[2021 U.S. Sales ($000)]]/SUMIF($E:$E, E339, $AF:$AF)</f>
        <v>3.1305300296953133E-3</v>
      </c>
      <c r="AH339" s="5">
        <v>65</v>
      </c>
      <c r="AI339" s="12">
        <f t="shared" si="45"/>
        <v>1400</v>
      </c>
      <c r="AJ339" s="5">
        <v>87500</v>
      </c>
      <c r="AK339" s="6">
        <f>Table1[[#This Row],[2020 U.S. Sales ($000)]]/SUMIF($E:$E, E339, $AJ:$AJ)</f>
        <v>3.2327284830608169E-3</v>
      </c>
      <c r="AL339" s="5">
        <v>65</v>
      </c>
      <c r="AM339" s="5">
        <f t="shared" si="46"/>
        <v>1346.1538461538462</v>
      </c>
      <c r="AN339" s="5">
        <v>89900</v>
      </c>
      <c r="AO339" s="6">
        <f>Table1[[#This Row],[2019 U.S. Sales ($000)]]/SUMIF($E:$E, E339, $AN:$AN)</f>
        <v>3.48332731920146E-3</v>
      </c>
      <c r="AP339" s="5">
        <v>69</v>
      </c>
      <c r="AQ339" s="5">
        <f t="shared" si="47"/>
        <v>1302.8985507246377</v>
      </c>
    </row>
    <row r="340" spans="1:43" x14ac:dyDescent="0.25">
      <c r="A340" t="s">
        <v>405</v>
      </c>
      <c r="B340">
        <v>31558</v>
      </c>
      <c r="C340" t="s">
        <v>68</v>
      </c>
      <c r="D340" t="s">
        <v>69</v>
      </c>
      <c r="E340" t="s">
        <v>87</v>
      </c>
      <c r="F340" s="5">
        <v>462</v>
      </c>
      <c r="G340" s="5">
        <v>0</v>
      </c>
      <c r="H340" s="6">
        <f>Table1[[#This Row],[2024 U.S. Sales ($000)]]/SUMIF($E:$E, E340, $G:$G)</f>
        <v>0</v>
      </c>
      <c r="I340" s="5">
        <v>0</v>
      </c>
      <c r="J340" s="5" t="e">
        <f>Table1[[#This Row],[2024 U.S. Sales ($000)]]/Table1[[#This Row],[2024 U.S. Units]]</f>
        <v>#DIV/0!</v>
      </c>
      <c r="K340" s="6">
        <f>Table1[[#This Row],[2024 U.S. Units]]/Table1[[#This Row],[2023 U.S. Units]]-1</f>
        <v>-1</v>
      </c>
      <c r="L340" s="8">
        <f>(Table1[[#This Row],[2024 Market share (%)]]-Table1[[#This Row],[2023 Market share (%)]])*10000</f>
        <v>-66.557924623406748</v>
      </c>
      <c r="M340" s="6">
        <f>_xlfn.RRI(5,Table1[[#This Row],[2019 U.S. Sales ($000)]],Table1[[#This Row],[2024 U.S. Sales ($000)]])</f>
        <v>-1</v>
      </c>
      <c r="N340" s="9">
        <f>(Table1[[#This Row],[2024 Market share (%)]]-Table1[[#This Row],[2019 Market share (%)]])*10000</f>
        <v>-55.848611472660117</v>
      </c>
      <c r="O340" s="6" t="e">
        <f>IF(Table1[[#This Row],[2024 AUV]]=0,"",_xlfn.RRI(5,Table1[[#This Row],[2019 AUV]],Table1[[#This Row],[2024 AUV]]))</f>
        <v>#DIV/0!</v>
      </c>
      <c r="P340" s="6">
        <f>_xlfn.RRI(5,Table1[[#This Row],[2019 U.S. Units]],Table1[[#This Row],[2024 U.S. Units]])</f>
        <v>-1</v>
      </c>
      <c r="Q340" s="5">
        <v>64900</v>
      </c>
      <c r="R340" s="6">
        <f>Table1[[#This Row],[2023 U.S. Sales ($000)]]/SUMIF($E:$E, E340, $Q:$Q)</f>
        <v>6.6557924623406751E-3</v>
      </c>
      <c r="S340" s="8">
        <f>(Table1[[#This Row],[2023 Market share (%)]]-Table1[[#This Row],[2022 Market share (%)]])*10000</f>
        <v>3.5441487439694019</v>
      </c>
      <c r="T340" s="10">
        <v>0.1</v>
      </c>
      <c r="U340" s="5">
        <v>45</v>
      </c>
      <c r="V340" s="5">
        <f t="shared" si="40"/>
        <v>1442.2222222222222</v>
      </c>
      <c r="W340" s="10">
        <v>4.6511627906976744E-2</v>
      </c>
      <c r="X340" s="10">
        <f t="shared" si="41"/>
        <v>7.9454149298087362E-2</v>
      </c>
      <c r="Y340" s="8">
        <f>(Table1[[#This Row],[2023 Market share (%)]]-Table1[[#This Row],[2019 Market share (%)]])*10000</f>
        <v>10.709313150746633</v>
      </c>
      <c r="Z340" s="10">
        <f t="shared" si="42"/>
        <v>6.0995139092233641E-2</v>
      </c>
      <c r="AA340" s="10">
        <f t="shared" si="43"/>
        <v>1.7397827309224789E-2</v>
      </c>
      <c r="AB340" s="5">
        <v>59000</v>
      </c>
      <c r="AC340" s="6">
        <f>Table1[[#This Row],[2022 U.S. Sales ($000)]]/SUMIF($E:$E, E340, $AB:$AB)</f>
        <v>6.3013775879437349E-3</v>
      </c>
      <c r="AD340" s="5">
        <v>43</v>
      </c>
      <c r="AE340" s="5">
        <f t="shared" si="44"/>
        <v>1372.0930232558139</v>
      </c>
      <c r="AF340" s="5">
        <v>51200</v>
      </c>
      <c r="AG340" s="6">
        <f>Table1[[#This Row],[2021 U.S. Sales ($000)]]/SUMIF($E:$E, E340, $AF:$AF)</f>
        <v>6.0033595362779966E-3</v>
      </c>
      <c r="AH340" s="5">
        <v>41</v>
      </c>
      <c r="AI340" s="12">
        <f t="shared" si="45"/>
        <v>1248.780487804878</v>
      </c>
      <c r="AJ340" s="5">
        <v>36300</v>
      </c>
      <c r="AK340" s="6">
        <f>Table1[[#This Row],[2020 U.S. Sales ($000)]]/SUMIF($E:$E, E340, $AJ:$AJ)</f>
        <v>5.4787879592843045E-3</v>
      </c>
      <c r="AL340" s="5">
        <v>41</v>
      </c>
      <c r="AM340" s="5">
        <f t="shared" si="46"/>
        <v>885.36585365853659</v>
      </c>
      <c r="AN340" s="5">
        <v>47800</v>
      </c>
      <c r="AO340" s="6">
        <f>Table1[[#This Row],[2019 U.S. Sales ($000)]]/SUMIF($E:$E, E340, $AN:$AN)</f>
        <v>5.5848611472660119E-3</v>
      </c>
      <c r="AP340" s="5">
        <v>42</v>
      </c>
      <c r="AQ340" s="5">
        <f t="shared" si="47"/>
        <v>1138.0952380952381</v>
      </c>
    </row>
    <row r="341" spans="1:43" x14ac:dyDescent="0.25">
      <c r="A341" t="s">
        <v>406</v>
      </c>
      <c r="B341">
        <v>5210</v>
      </c>
      <c r="C341" t="s">
        <v>44</v>
      </c>
      <c r="D341" t="s">
        <v>45</v>
      </c>
      <c r="E341" t="s">
        <v>59</v>
      </c>
      <c r="F341" s="5">
        <v>492</v>
      </c>
      <c r="G341" s="5">
        <v>0</v>
      </c>
      <c r="H341" s="6">
        <f>Table1[[#This Row],[2024 U.S. Sales ($000)]]/SUMIF($E:$E, E341, $G:$G)</f>
        <v>0</v>
      </c>
      <c r="I341" s="5">
        <v>0</v>
      </c>
      <c r="J341" s="5" t="e">
        <f>Table1[[#This Row],[2024 U.S. Sales ($000)]]/Table1[[#This Row],[2024 U.S. Units]]</f>
        <v>#DIV/0!</v>
      </c>
      <c r="K341" s="6">
        <f>Table1[[#This Row],[2024 U.S. Units]]/Table1[[#This Row],[2023 U.S. Units]]-1</f>
        <v>-1</v>
      </c>
      <c r="L341" s="8">
        <f>(Table1[[#This Row],[2024 Market share (%)]]-Table1[[#This Row],[2023 Market share (%)]])*10000</f>
        <v>-14.921527485739563</v>
      </c>
      <c r="M341" s="6">
        <f>_xlfn.RRI(5,Table1[[#This Row],[2019 U.S. Sales ($000)]],Table1[[#This Row],[2024 U.S. Sales ($000)]])</f>
        <v>-1</v>
      </c>
      <c r="N341" s="9">
        <f>(Table1[[#This Row],[2024 Market share (%)]]-Table1[[#This Row],[2019 Market share (%)]])*10000</f>
        <v>-12.827219617184335</v>
      </c>
      <c r="O341" s="6" t="e">
        <f>IF(Table1[[#This Row],[2024 AUV]]=0,"",_xlfn.RRI(5,Table1[[#This Row],[2019 AUV]],Table1[[#This Row],[2024 AUV]]))</f>
        <v>#DIV/0!</v>
      </c>
      <c r="P341" s="6">
        <f>_xlfn.RRI(5,Table1[[#This Row],[2019 U.S. Units]],Table1[[#This Row],[2024 U.S. Units]])</f>
        <v>-1</v>
      </c>
      <c r="Q341" s="5">
        <v>56360</v>
      </c>
      <c r="R341" s="6">
        <f>Table1[[#This Row],[2023 U.S. Sales ($000)]]/SUMIF($E:$E, E341, $Q:$Q)</f>
        <v>1.4921527485739564E-3</v>
      </c>
      <c r="S341" s="8">
        <f>(Table1[[#This Row],[2023 Market share (%)]]-Table1[[#This Row],[2022 Market share (%)]])*10000</f>
        <v>0.47815905857962521</v>
      </c>
      <c r="T341" s="10">
        <v>9.055727554179567E-2</v>
      </c>
      <c r="U341" s="5">
        <v>60</v>
      </c>
      <c r="V341" s="5">
        <f t="shared" si="40"/>
        <v>939.33333333333337</v>
      </c>
      <c r="W341" s="10">
        <v>0</v>
      </c>
      <c r="X341" s="10">
        <f t="shared" si="41"/>
        <v>7.6934376998227361E-2</v>
      </c>
      <c r="Y341" s="8">
        <f>(Table1[[#This Row],[2023 Market share (%)]]-Table1[[#This Row],[2019 Market share (%)]])*10000</f>
        <v>2.0943078685552283</v>
      </c>
      <c r="Z341" s="10">
        <f t="shared" si="42"/>
        <v>5.8518455702291527E-2</v>
      </c>
      <c r="AA341" s="10">
        <f t="shared" si="43"/>
        <v>1.7397827309224789E-2</v>
      </c>
      <c r="AB341" s="5">
        <v>51680</v>
      </c>
      <c r="AC341" s="6">
        <f>Table1[[#This Row],[2022 U.S. Sales ($000)]]/SUMIF($E:$E, E341, $AB:$AB)</f>
        <v>1.4443368427159938E-3</v>
      </c>
      <c r="AD341" s="5">
        <v>60</v>
      </c>
      <c r="AE341" s="5">
        <f t="shared" si="44"/>
        <v>861.33333333333337</v>
      </c>
      <c r="AF341" s="5">
        <v>45688</v>
      </c>
      <c r="AG341" s="6">
        <f>Table1[[#This Row],[2021 U.S. Sales ($000)]]/SUMIF($E:$E, E341, $AF:$AF)</f>
        <v>1.3770506942610489E-3</v>
      </c>
      <c r="AH341" s="5">
        <v>59</v>
      </c>
      <c r="AI341" s="12">
        <f t="shared" si="45"/>
        <v>774.37288135593224</v>
      </c>
      <c r="AJ341" s="5">
        <v>35388</v>
      </c>
      <c r="AK341" s="6">
        <f>Table1[[#This Row],[2020 U.S. Sales ($000)]]/SUMIF($E:$E, E341, $AJ:$AJ)</f>
        <v>1.2425799144478041E-3</v>
      </c>
      <c r="AL341" s="5">
        <v>57</v>
      </c>
      <c r="AM341" s="5">
        <f t="shared" si="46"/>
        <v>620.84210526315792</v>
      </c>
      <c r="AN341" s="5">
        <v>41900</v>
      </c>
      <c r="AO341" s="6">
        <f>Table1[[#This Row],[2019 U.S. Sales ($000)]]/SUMIF($E:$E, E341, $AN:$AN)</f>
        <v>1.2827219617184335E-3</v>
      </c>
      <c r="AP341" s="5">
        <v>56</v>
      </c>
      <c r="AQ341" s="5">
        <f t="shared" si="47"/>
        <v>748.21428571428567</v>
      </c>
    </row>
    <row r="342" spans="1:43" x14ac:dyDescent="0.25">
      <c r="A342" t="s">
        <v>407</v>
      </c>
      <c r="B342">
        <v>901</v>
      </c>
      <c r="C342" t="s">
        <v>44</v>
      </c>
      <c r="D342" t="s">
        <v>45</v>
      </c>
      <c r="E342" t="s">
        <v>59</v>
      </c>
      <c r="F342" s="5">
        <v>352</v>
      </c>
      <c r="G342" s="5">
        <v>0</v>
      </c>
      <c r="H342" s="6">
        <f>Table1[[#This Row],[2024 U.S. Sales ($000)]]/SUMIF($E:$E, E342, $G:$G)</f>
        <v>0</v>
      </c>
      <c r="I342" s="5">
        <v>0</v>
      </c>
      <c r="J342" s="5" t="e">
        <f>Table1[[#This Row],[2024 U.S. Sales ($000)]]/Table1[[#This Row],[2024 U.S. Units]]</f>
        <v>#DIV/0!</v>
      </c>
      <c r="K342" s="6">
        <f>Table1[[#This Row],[2024 U.S. Units]]/Table1[[#This Row],[2023 U.S. Units]]-1</f>
        <v>-1</v>
      </c>
      <c r="L342" s="8">
        <f>(Table1[[#This Row],[2024 Market share (%)]]-Table1[[#This Row],[2023 Market share (%)]])*10000</f>
        <v>-25.098665820583935</v>
      </c>
      <c r="M342" s="6">
        <f>_xlfn.RRI(5,Table1[[#This Row],[2019 U.S. Sales ($000)]],Table1[[#This Row],[2024 U.S. Sales ($000)]])</f>
        <v>-1</v>
      </c>
      <c r="N342" s="9">
        <f>(Table1[[#This Row],[2024 Market share (%)]]-Table1[[#This Row],[2019 Market share (%)]])*10000</f>
        <v>-21.600854152002611</v>
      </c>
      <c r="O342" s="6" t="e">
        <f>IF(Table1[[#This Row],[2024 AUV]]=0,"",_xlfn.RRI(5,Table1[[#This Row],[2019 AUV]],Table1[[#This Row],[2024 AUV]]))</f>
        <v>#DIV/0!</v>
      </c>
      <c r="P342" s="6">
        <f>_xlfn.RRI(5,Table1[[#This Row],[2019 U.S. Units]],Table1[[#This Row],[2024 U.S. Units]])</f>
        <v>-1</v>
      </c>
      <c r="Q342" s="5">
        <v>94800</v>
      </c>
      <c r="R342" s="6">
        <f>Table1[[#This Row],[2023 U.S. Sales ($000)]]/SUMIF($E:$E, E342, $Q:$Q)</f>
        <v>2.5098665820583936E-3</v>
      </c>
      <c r="S342" s="8">
        <f>(Table1[[#This Row],[2023 Market share (%)]]-Table1[[#This Row],[2022 Market share (%)]])*10000</f>
        <v>-0.3463124776122064</v>
      </c>
      <c r="T342" s="10">
        <v>4.1243341204898677E-2</v>
      </c>
      <c r="U342" s="5">
        <v>165</v>
      </c>
      <c r="V342" s="5">
        <f t="shared" si="40"/>
        <v>574.5454545454545</v>
      </c>
      <c r="W342" s="10">
        <v>1.8518518518518517E-2</v>
      </c>
      <c r="X342" s="10">
        <f t="shared" si="41"/>
        <v>7.6623809654361219E-2</v>
      </c>
      <c r="Y342" s="8">
        <f>(Table1[[#This Row],[2023 Market share (%)]]-Table1[[#This Row],[2019 Market share (%)]])*10000</f>
        <v>3.4978116685813232</v>
      </c>
      <c r="Z342" s="10">
        <f t="shared" si="42"/>
        <v>0.12825239243479802</v>
      </c>
      <c r="AA342" s="10">
        <f t="shared" si="43"/>
        <v>-4.5759781345573791E-2</v>
      </c>
      <c r="AB342" s="5">
        <v>91045</v>
      </c>
      <c r="AC342" s="6">
        <f>Table1[[#This Row],[2022 U.S. Sales ($000)]]/SUMIF($E:$E, E342, $AB:$AB)</f>
        <v>2.5444978298196142E-3</v>
      </c>
      <c r="AD342" s="5">
        <v>162</v>
      </c>
      <c r="AE342" s="5">
        <f t="shared" si="44"/>
        <v>562.00617283950612</v>
      </c>
      <c r="AF342" s="5">
        <v>77227</v>
      </c>
      <c r="AG342" s="6">
        <f>Table1[[#This Row],[2021 U.S. Sales ($000)]]/SUMIF($E:$E, E342, $AF:$AF)</f>
        <v>2.3276460769939161E-3</v>
      </c>
      <c r="AH342" s="5">
        <v>170</v>
      </c>
      <c r="AI342" s="12">
        <f t="shared" si="45"/>
        <v>454.27647058823527</v>
      </c>
      <c r="AJ342" s="5">
        <v>41326</v>
      </c>
      <c r="AK342" s="6">
        <f>Table1[[#This Row],[2020 U.S. Sales ($000)]]/SUMIF($E:$E, E342, $AJ:$AJ)</f>
        <v>1.4510810880657271E-3</v>
      </c>
      <c r="AL342" s="5">
        <v>184</v>
      </c>
      <c r="AM342" s="5">
        <f t="shared" si="46"/>
        <v>224.59782608695653</v>
      </c>
      <c r="AN342" s="5">
        <v>70559</v>
      </c>
      <c r="AO342" s="6">
        <f>Table1[[#This Row],[2019 U.S. Sales ($000)]]/SUMIF($E:$E, E342, $AN:$AN)</f>
        <v>2.1600854152002613E-3</v>
      </c>
      <c r="AP342" s="5">
        <v>199</v>
      </c>
      <c r="AQ342" s="5">
        <f t="shared" si="47"/>
        <v>354.5678391959799</v>
      </c>
    </row>
    <row r="343" spans="1:43" x14ac:dyDescent="0.25">
      <c r="A343" t="s">
        <v>408</v>
      </c>
      <c r="B343">
        <v>31285</v>
      </c>
      <c r="C343" t="s">
        <v>68</v>
      </c>
      <c r="D343" t="s">
        <v>92</v>
      </c>
      <c r="E343" t="s">
        <v>93</v>
      </c>
      <c r="F343" s="5">
        <v>331</v>
      </c>
      <c r="G343" s="5">
        <v>0</v>
      </c>
      <c r="H343" s="6">
        <f>Table1[[#This Row],[2024 U.S. Sales ($000)]]/SUMIF($E:$E, E343, $G:$G)</f>
        <v>0</v>
      </c>
      <c r="I343" s="5">
        <v>0</v>
      </c>
      <c r="J343" s="5" t="e">
        <f>Table1[[#This Row],[2024 U.S. Sales ($000)]]/Table1[[#This Row],[2024 U.S. Units]]</f>
        <v>#DIV/0!</v>
      </c>
      <c r="K343" s="6">
        <f>Table1[[#This Row],[2024 U.S. Units]]/Table1[[#This Row],[2023 U.S. Units]]-1</f>
        <v>-1</v>
      </c>
      <c r="L343" s="8">
        <f>(Table1[[#This Row],[2024 Market share (%)]]-Table1[[#This Row],[2023 Market share (%)]])*10000</f>
        <v>-58.170281785873357</v>
      </c>
      <c r="M343" s="6">
        <f>_xlfn.RRI(5,Table1[[#This Row],[2019 U.S. Sales ($000)]],Table1[[#This Row],[2024 U.S. Sales ($000)]])</f>
        <v>-1</v>
      </c>
      <c r="N343" s="9">
        <f>(Table1[[#This Row],[2024 Market share (%)]]-Table1[[#This Row],[2019 Market share (%)]])*10000</f>
        <v>-44.970569948859257</v>
      </c>
      <c r="O343" s="6" t="e">
        <f>IF(Table1[[#This Row],[2024 AUV]]=0,"",_xlfn.RRI(5,Table1[[#This Row],[2019 AUV]],Table1[[#This Row],[2024 AUV]]))</f>
        <v>#DIV/0!</v>
      </c>
      <c r="P343" s="6">
        <f>_xlfn.RRI(5,Table1[[#This Row],[2019 U.S. Units]],Table1[[#This Row],[2024 U.S. Units]])</f>
        <v>-1</v>
      </c>
      <c r="Q343" s="5">
        <v>101800</v>
      </c>
      <c r="R343" s="6">
        <f>Table1[[#This Row],[2023 U.S. Sales ($000)]]/SUMIF($E:$E, E343, $Q:$Q)</f>
        <v>5.817028178587336E-3</v>
      </c>
      <c r="S343" s="8">
        <f>(Table1[[#This Row],[2023 Market share (%)]]-Table1[[#This Row],[2022 Market share (%)]])*10000</f>
        <v>3.2550141668819066</v>
      </c>
      <c r="T343" s="10">
        <v>0.12238147739801543</v>
      </c>
      <c r="U343" s="5">
        <v>38</v>
      </c>
      <c r="V343" s="5">
        <f t="shared" si="40"/>
        <v>2678.9473684210525</v>
      </c>
      <c r="W343" s="10">
        <v>8.5714285714285715E-2</v>
      </c>
      <c r="X343" s="10">
        <f t="shared" si="41"/>
        <v>7.5098365684655333E-2</v>
      </c>
      <c r="Y343" s="8">
        <f>(Table1[[#This Row],[2023 Market share (%)]]-Table1[[#This Row],[2019 Market share (%)]])*10000</f>
        <v>13.199711837014105</v>
      </c>
      <c r="Z343" s="10">
        <f t="shared" si="42"/>
        <v>4.5615546358321435E-2</v>
      </c>
      <c r="AA343" s="10">
        <f t="shared" si="43"/>
        <v>2.8196615313359485E-2</v>
      </c>
      <c r="AB343" s="5">
        <v>90700</v>
      </c>
      <c r="AC343" s="6">
        <f>Table1[[#This Row],[2022 U.S. Sales ($000)]]/SUMIF($E:$E, E343, $AB:$AB)</f>
        <v>5.4915267618991454E-3</v>
      </c>
      <c r="AD343" s="5">
        <v>35</v>
      </c>
      <c r="AE343" s="5">
        <f t="shared" si="44"/>
        <v>2591.4285714285716</v>
      </c>
      <c r="AF343" s="5">
        <v>79100</v>
      </c>
      <c r="AG343" s="6">
        <f>Table1[[#This Row],[2021 U.S. Sales ($000)]]/SUMIF($E:$E, E343, $AF:$AF)</f>
        <v>5.2392492228722966E-3</v>
      </c>
      <c r="AH343" s="5">
        <v>34</v>
      </c>
      <c r="AI343" s="12">
        <f t="shared" si="45"/>
        <v>2326.4705882352941</v>
      </c>
      <c r="AJ343" s="5">
        <v>53000</v>
      </c>
      <c r="AK343" s="6">
        <f>Table1[[#This Row],[2020 U.S. Sales ($000)]]/SUMIF($E:$E, E343, $AJ:$AJ)</f>
        <v>4.9663082834929938E-3</v>
      </c>
      <c r="AL343" s="5">
        <v>34</v>
      </c>
      <c r="AM343" s="5">
        <f t="shared" si="46"/>
        <v>1558.8235294117646</v>
      </c>
      <c r="AN343" s="5">
        <v>76200</v>
      </c>
      <c r="AO343" s="6">
        <f>Table1[[#This Row],[2019 U.S. Sales ($000)]]/SUMIF($E:$E, E343, $AN:$AN)</f>
        <v>4.4970569948859255E-3</v>
      </c>
      <c r="AP343" s="5">
        <v>34</v>
      </c>
      <c r="AQ343" s="5">
        <f t="shared" si="47"/>
        <v>2241.1764705882351</v>
      </c>
    </row>
    <row r="344" spans="1:43" x14ac:dyDescent="0.25">
      <c r="A344" t="s">
        <v>409</v>
      </c>
      <c r="B344">
        <v>35709</v>
      </c>
      <c r="C344" t="s">
        <v>44</v>
      </c>
      <c r="D344" t="s">
        <v>56</v>
      </c>
      <c r="E344" t="s">
        <v>59</v>
      </c>
      <c r="F344" s="5">
        <v>440</v>
      </c>
      <c r="G344" s="5">
        <v>0</v>
      </c>
      <c r="H344" s="6">
        <f>Table1[[#This Row],[2024 U.S. Sales ($000)]]/SUMIF($E:$E, E344, $G:$G)</f>
        <v>0</v>
      </c>
      <c r="I344" s="5">
        <v>0</v>
      </c>
      <c r="J344" s="5" t="e">
        <f>Table1[[#This Row],[2024 U.S. Sales ($000)]]/Table1[[#This Row],[2024 U.S. Units]]</f>
        <v>#DIV/0!</v>
      </c>
      <c r="K344" s="6">
        <f>Table1[[#This Row],[2024 U.S. Units]]/Table1[[#This Row],[2023 U.S. Units]]-1</f>
        <v>-1</v>
      </c>
      <c r="L344" s="8">
        <f>(Table1[[#This Row],[2024 Market share (%)]]-Table1[[#This Row],[2023 Market share (%)]])*10000</f>
        <v>-18.718097821891181</v>
      </c>
      <c r="M344" s="6">
        <f>_xlfn.RRI(5,Table1[[#This Row],[2019 U.S. Sales ($000)]],Table1[[#This Row],[2024 U.S. Sales ($000)]])</f>
        <v>-1</v>
      </c>
      <c r="N344" s="9">
        <f>(Table1[[#This Row],[2024 Market share (%)]]-Table1[[#This Row],[2019 Market share (%)]])*10000</f>
        <v>-16.225361329612642</v>
      </c>
      <c r="O344" s="6" t="e">
        <f>IF(Table1[[#This Row],[2024 AUV]]=0,"",_xlfn.RRI(5,Table1[[#This Row],[2019 AUV]],Table1[[#This Row],[2024 AUV]]))</f>
        <v>#DIV/0!</v>
      </c>
      <c r="P344" s="6">
        <f>_xlfn.RRI(5,Table1[[#This Row],[2019 U.S. Units]],Table1[[#This Row],[2024 U.S. Units]])</f>
        <v>-1</v>
      </c>
      <c r="Q344" s="5">
        <v>70700</v>
      </c>
      <c r="R344" s="6">
        <f>Table1[[#This Row],[2023 U.S. Sales ($000)]]/SUMIF($E:$E, E344, $Q:$Q)</f>
        <v>1.8718097821891183E-3</v>
      </c>
      <c r="S344" s="8">
        <f>(Table1[[#This Row],[2023 Market share (%)]]-Table1[[#This Row],[2022 Market share (%)]])*10000</f>
        <v>1.5023181176912568</v>
      </c>
      <c r="T344" s="10">
        <v>0.14772727272727273</v>
      </c>
      <c r="U344" s="5">
        <v>73</v>
      </c>
      <c r="V344" s="5">
        <f t="shared" si="40"/>
        <v>968.49315068493149</v>
      </c>
      <c r="W344" s="10">
        <v>8.9552238805970144E-2</v>
      </c>
      <c r="X344" s="10">
        <f t="shared" si="41"/>
        <v>7.4696627567277574E-2</v>
      </c>
      <c r="Y344" s="8">
        <f>(Table1[[#This Row],[2023 Market share (%)]]-Table1[[#This Row],[2019 Market share (%)]])*10000</f>
        <v>2.4927364922785391</v>
      </c>
      <c r="Z344" s="10">
        <f t="shared" si="42"/>
        <v>1.4640443813851878E-2</v>
      </c>
      <c r="AA344" s="10">
        <f t="shared" si="43"/>
        <v>5.918962142656703E-2</v>
      </c>
      <c r="AB344" s="5">
        <v>61600</v>
      </c>
      <c r="AC344" s="6">
        <f>Table1[[#This Row],[2022 U.S. Sales ($000)]]/SUMIF($E:$E, E344, $AB:$AB)</f>
        <v>1.7215779704199926E-3</v>
      </c>
      <c r="AD344" s="5">
        <v>67</v>
      </c>
      <c r="AE344" s="5">
        <f t="shared" si="44"/>
        <v>919.40298507462683</v>
      </c>
      <c r="AF344" s="5">
        <v>54800</v>
      </c>
      <c r="AG344" s="6">
        <f>Table1[[#This Row],[2021 U.S. Sales ($000)]]/SUMIF($E:$E, E344, $AF:$AF)</f>
        <v>1.6516892410590415E-3</v>
      </c>
      <c r="AH344" s="5">
        <v>62</v>
      </c>
      <c r="AI344" s="12">
        <f t="shared" si="45"/>
        <v>883.87096774193549</v>
      </c>
      <c r="AJ344" s="5">
        <v>47400</v>
      </c>
      <c r="AK344" s="6">
        <f>Table1[[#This Row],[2020 U.S. Sales ($000)]]/SUMIF($E:$E, E344, $AJ:$AJ)</f>
        <v>1.6643576337974995E-3</v>
      </c>
      <c r="AL344" s="5">
        <v>59</v>
      </c>
      <c r="AM344" s="5">
        <f t="shared" si="46"/>
        <v>803.38983050847457</v>
      </c>
      <c r="AN344" s="5">
        <v>53000</v>
      </c>
      <c r="AO344" s="6">
        <f>Table1[[#This Row],[2019 U.S. Sales ($000)]]/SUMIF($E:$E, E344, $AN:$AN)</f>
        <v>1.6225361329612643E-3</v>
      </c>
      <c r="AP344" s="5">
        <v>58</v>
      </c>
      <c r="AQ344" s="5">
        <f t="shared" si="47"/>
        <v>913.79310344827582</v>
      </c>
    </row>
    <row r="345" spans="1:43" x14ac:dyDescent="0.25">
      <c r="A345" t="s">
        <v>410</v>
      </c>
      <c r="B345">
        <v>5516</v>
      </c>
      <c r="C345" t="s">
        <v>68</v>
      </c>
      <c r="D345" t="s">
        <v>69</v>
      </c>
      <c r="E345" t="s">
        <v>87</v>
      </c>
      <c r="F345" s="5">
        <v>261</v>
      </c>
      <c r="G345" s="5">
        <v>0</v>
      </c>
      <c r="H345" s="6">
        <f>Table1[[#This Row],[2024 U.S. Sales ($000)]]/SUMIF($E:$E, E345, $G:$G)</f>
        <v>0</v>
      </c>
      <c r="I345" s="5">
        <v>0</v>
      </c>
      <c r="J345" s="5" t="e">
        <f>Table1[[#This Row],[2024 U.S. Sales ($000)]]/Table1[[#This Row],[2024 U.S. Units]]</f>
        <v>#DIV/0!</v>
      </c>
      <c r="K345" s="6">
        <f>Table1[[#This Row],[2024 U.S. Units]]/Table1[[#This Row],[2023 U.S. Units]]-1</f>
        <v>-1</v>
      </c>
      <c r="L345" s="8">
        <f>(Table1[[#This Row],[2024 Market share (%)]]-Table1[[#This Row],[2023 Market share (%)]])*10000</f>
        <v>-143.57641675311163</v>
      </c>
      <c r="M345" s="6">
        <f>_xlfn.RRI(5,Table1[[#This Row],[2019 U.S. Sales ($000)]],Table1[[#This Row],[2024 U.S. Sales ($000)]])</f>
        <v>-1</v>
      </c>
      <c r="N345" s="9">
        <f>(Table1[[#This Row],[2024 Market share (%)]]-Table1[[#This Row],[2019 Market share (%)]])*10000</f>
        <v>-122.75127552153023</v>
      </c>
      <c r="O345" s="6" t="e">
        <f>IF(Table1[[#This Row],[2024 AUV]]=0,"",_xlfn.RRI(5,Table1[[#This Row],[2019 AUV]],Table1[[#This Row],[2024 AUV]]))</f>
        <v>#DIV/0!</v>
      </c>
      <c r="P345" s="6">
        <f>_xlfn.RRI(5,Table1[[#This Row],[2019 U.S. Units]],Table1[[#This Row],[2024 U.S. Units]])</f>
        <v>-1</v>
      </c>
      <c r="Q345" s="5">
        <v>140000</v>
      </c>
      <c r="R345" s="6">
        <f>Table1[[#This Row],[2023 U.S. Sales ($000)]]/SUMIF($E:$E, E345, $Q:$Q)</f>
        <v>1.4357641675311164E-2</v>
      </c>
      <c r="S345" s="8">
        <f>(Table1[[#This Row],[2023 Market share (%)]]-Table1[[#This Row],[2022 Market share (%)]])*10000</f>
        <v>1.4504473021901763</v>
      </c>
      <c r="T345" s="10">
        <v>5.2054135699954159E-2</v>
      </c>
      <c r="U345" s="5">
        <v>40</v>
      </c>
      <c r="V345" s="5">
        <f t="shared" si="40"/>
        <v>3500</v>
      </c>
      <c r="W345" s="10">
        <v>0</v>
      </c>
      <c r="X345" s="10">
        <f t="shared" si="41"/>
        <v>7.441391997648994E-2</v>
      </c>
      <c r="Y345" s="8">
        <f>(Table1[[#This Row],[2023 Market share (%)]]-Table1[[#This Row],[2019 Market share (%)]])*10000</f>
        <v>20.825141231581405</v>
      </c>
      <c r="Z345" s="10">
        <f t="shared" si="42"/>
        <v>6.0724323257835167E-2</v>
      </c>
      <c r="AA345" s="10">
        <f t="shared" si="43"/>
        <v>1.2905894979960086E-2</v>
      </c>
      <c r="AB345" s="5">
        <v>133073</v>
      </c>
      <c r="AC345" s="6">
        <f>Table1[[#This Row],[2022 U.S. Sales ($000)]]/SUMIF($E:$E, E345, $AB:$AB)</f>
        <v>1.4212596945092146E-2</v>
      </c>
      <c r="AD345" s="5">
        <v>40</v>
      </c>
      <c r="AE345" s="5">
        <f t="shared" si="44"/>
        <v>3326.8249999999998</v>
      </c>
      <c r="AF345" s="5">
        <v>127586</v>
      </c>
      <c r="AG345" s="6">
        <f>Table1[[#This Row],[2021 U.S. Sales ($000)]]/SUMIF($E:$E, E345, $AF:$AF)</f>
        <v>1.4959856050694619E-2</v>
      </c>
      <c r="AH345" s="5">
        <v>39</v>
      </c>
      <c r="AI345" s="12">
        <f t="shared" si="45"/>
        <v>3271.4358974358975</v>
      </c>
      <c r="AJ345" s="5">
        <v>86882</v>
      </c>
      <c r="AK345" s="6">
        <f>Table1[[#This Row],[2020 U.S. Sales ($000)]]/SUMIF($E:$E, E345, $AJ:$AJ)</f>
        <v>1.3113169572411541E-2</v>
      </c>
      <c r="AL345" s="5">
        <v>39</v>
      </c>
      <c r="AM345" s="5">
        <f t="shared" si="46"/>
        <v>2227.7435897435898</v>
      </c>
      <c r="AN345" s="5">
        <v>105061</v>
      </c>
      <c r="AO345" s="6">
        <f>Table1[[#This Row],[2019 U.S. Sales ($000)]]/SUMIF($E:$E, E345, $AN:$AN)</f>
        <v>1.2275127552153023E-2</v>
      </c>
      <c r="AP345" s="5">
        <v>38</v>
      </c>
      <c r="AQ345" s="5">
        <f t="shared" si="47"/>
        <v>2764.7631578947367</v>
      </c>
    </row>
    <row r="346" spans="1:43" x14ac:dyDescent="0.25">
      <c r="A346" t="s">
        <v>411</v>
      </c>
      <c r="B346">
        <v>563011</v>
      </c>
      <c r="C346" t="s">
        <v>44</v>
      </c>
      <c r="D346" t="s">
        <v>45</v>
      </c>
      <c r="E346" t="s">
        <v>76</v>
      </c>
      <c r="F346" s="5">
        <v>285</v>
      </c>
      <c r="G346" s="5">
        <v>0</v>
      </c>
      <c r="H346" s="6">
        <f>Table1[[#This Row],[2024 U.S. Sales ($000)]]/SUMIF($E:$E, E346, $G:$G)</f>
        <v>0</v>
      </c>
      <c r="I346" s="5">
        <v>0</v>
      </c>
      <c r="J346" s="5" t="e">
        <f>Table1[[#This Row],[2024 U.S. Sales ($000)]]/Table1[[#This Row],[2024 U.S. Units]]</f>
        <v>#DIV/0!</v>
      </c>
      <c r="K346" s="6">
        <f>Table1[[#This Row],[2024 U.S. Units]]/Table1[[#This Row],[2023 U.S. Units]]-1</f>
        <v>-1</v>
      </c>
      <c r="L346" s="8">
        <f>(Table1[[#This Row],[2024 Market share (%)]]-Table1[[#This Row],[2023 Market share (%)]])*10000</f>
        <v>-151.22443727747699</v>
      </c>
      <c r="M346" s="6">
        <f>_xlfn.RRI(5,Table1[[#This Row],[2019 U.S. Sales ($000)]],Table1[[#This Row],[2024 U.S. Sales ($000)]])</f>
        <v>-1</v>
      </c>
      <c r="N346" s="9">
        <f>(Table1[[#This Row],[2024 Market share (%)]]-Table1[[#This Row],[2019 Market share (%)]])*10000</f>
        <v>-147.10612021310541</v>
      </c>
      <c r="O346" s="6" t="e">
        <f>IF(Table1[[#This Row],[2024 AUV]]=0,"",_xlfn.RRI(5,Table1[[#This Row],[2019 AUV]],Table1[[#This Row],[2024 AUV]]))</f>
        <v>#DIV/0!</v>
      </c>
      <c r="P346" s="6">
        <f>_xlfn.RRI(5,Table1[[#This Row],[2019 U.S. Units]],Table1[[#This Row],[2024 U.S. Units]])</f>
        <v>-1</v>
      </c>
      <c r="Q346" s="5">
        <v>122700</v>
      </c>
      <c r="R346" s="6">
        <f>Table1[[#This Row],[2023 U.S. Sales ($000)]]/SUMIF($E:$E, E346, $Q:$Q)</f>
        <v>1.51224437277477E-2</v>
      </c>
      <c r="S346" s="8">
        <f>(Table1[[#This Row],[2023 Market share (%)]]-Table1[[#This Row],[2022 Market share (%)]])*10000</f>
        <v>-0.70686321328500623</v>
      </c>
      <c r="T346" s="10">
        <v>7.2552447552447552E-2</v>
      </c>
      <c r="U346" s="5">
        <v>152</v>
      </c>
      <c r="V346" s="5">
        <f t="shared" si="40"/>
        <v>807.23684210526312</v>
      </c>
      <c r="W346" s="10">
        <v>2.0134228187919462E-2</v>
      </c>
      <c r="X346" s="10">
        <f t="shared" si="41"/>
        <v>7.0593054658524057E-2</v>
      </c>
      <c r="Y346" s="8">
        <f>(Table1[[#This Row],[2023 Market share (%)]]-Table1[[#This Row],[2019 Market share (%)]])*10000</f>
        <v>4.1183170643715838</v>
      </c>
      <c r="Z346" s="10">
        <f t="shared" si="42"/>
        <v>4.1233786139476258E-2</v>
      </c>
      <c r="AA346" s="10">
        <f t="shared" si="43"/>
        <v>2.8196615313359485E-2</v>
      </c>
      <c r="AB346" s="5">
        <v>114400</v>
      </c>
      <c r="AC346" s="6">
        <f>Table1[[#This Row],[2022 U.S. Sales ($000)]]/SUMIF($E:$E, E346, $AB:$AB)</f>
        <v>1.5193130049076201E-2</v>
      </c>
      <c r="AD346" s="5">
        <v>149</v>
      </c>
      <c r="AE346" s="5">
        <f t="shared" si="44"/>
        <v>767.78523489932888</v>
      </c>
      <c r="AF346" s="5">
        <v>105100</v>
      </c>
      <c r="AG346" s="6">
        <f>Table1[[#This Row],[2021 U.S. Sales ($000)]]/SUMIF($E:$E, E346, $AF:$AF)</f>
        <v>1.4395185789664283E-2</v>
      </c>
      <c r="AH346" s="5">
        <v>150</v>
      </c>
      <c r="AI346" s="12">
        <f t="shared" si="45"/>
        <v>700.66666666666663</v>
      </c>
      <c r="AJ346" s="5">
        <v>80800</v>
      </c>
      <c r="AK346" s="6">
        <f>Table1[[#This Row],[2020 U.S. Sales ($000)]]/SUMIF($E:$E, E346, $AJ:$AJ)</f>
        <v>1.2644333976921586E-2</v>
      </c>
      <c r="AL346" s="5">
        <v>140</v>
      </c>
      <c r="AM346" s="5">
        <f t="shared" si="46"/>
        <v>577.14285714285711</v>
      </c>
      <c r="AN346" s="5">
        <v>93400</v>
      </c>
      <c r="AO346" s="6">
        <f>Table1[[#This Row],[2019 U.S. Sales ($000)]]/SUMIF($E:$E, E346, $AN:$AN)</f>
        <v>1.4710612021310542E-2</v>
      </c>
      <c r="AP346" s="5">
        <v>136</v>
      </c>
      <c r="AQ346" s="5">
        <f t="shared" si="47"/>
        <v>686.76470588235293</v>
      </c>
    </row>
    <row r="347" spans="1:43" x14ac:dyDescent="0.25">
      <c r="A347" t="s">
        <v>412</v>
      </c>
      <c r="B347">
        <v>6012</v>
      </c>
      <c r="C347" t="s">
        <v>44</v>
      </c>
      <c r="D347" t="s">
        <v>45</v>
      </c>
      <c r="E347" t="s">
        <v>59</v>
      </c>
      <c r="F347" s="5">
        <v>463</v>
      </c>
      <c r="G347" s="5">
        <v>0</v>
      </c>
      <c r="H347" s="6">
        <f>Table1[[#This Row],[2024 U.S. Sales ($000)]]/SUMIF($E:$E, E347, $G:$G)</f>
        <v>0</v>
      </c>
      <c r="I347" s="5">
        <v>0</v>
      </c>
      <c r="J347" s="5" t="e">
        <f>Table1[[#This Row],[2024 U.S. Sales ($000)]]/Table1[[#This Row],[2024 U.S. Units]]</f>
        <v>#DIV/0!</v>
      </c>
      <c r="K347" s="6">
        <f>Table1[[#This Row],[2024 U.S. Units]]/Table1[[#This Row],[2023 U.S. Units]]-1</f>
        <v>-1</v>
      </c>
      <c r="L347" s="8">
        <f>(Table1[[#This Row],[2024 Market share (%)]]-Table1[[#This Row],[2023 Market share (%)]])*10000</f>
        <v>-17.115277960310856</v>
      </c>
      <c r="M347" s="6">
        <f>_xlfn.RRI(5,Table1[[#This Row],[2019 U.S. Sales ($000)]],Table1[[#This Row],[2024 U.S. Sales ($000)]])</f>
        <v>-1</v>
      </c>
      <c r="N347" s="9">
        <f>(Table1[[#This Row],[2024 Market share (%)]]-Table1[[#This Row],[2019 Market share (%)]])*10000</f>
        <v>-15.092647425469874</v>
      </c>
      <c r="O347" s="6" t="e">
        <f>IF(Table1[[#This Row],[2024 AUV]]=0,"",_xlfn.RRI(5,Table1[[#This Row],[2019 AUV]],Table1[[#This Row],[2024 AUV]]))</f>
        <v>#DIV/0!</v>
      </c>
      <c r="P347" s="6">
        <f>_xlfn.RRI(5,Table1[[#This Row],[2019 U.S. Units]],Table1[[#This Row],[2024 U.S. Units]])</f>
        <v>-1</v>
      </c>
      <c r="Q347" s="5">
        <v>64646</v>
      </c>
      <c r="R347" s="6">
        <f>Table1[[#This Row],[2023 U.S. Sales ($000)]]/SUMIF($E:$E, E347, $Q:$Q)</f>
        <v>1.7115277960310855E-3</v>
      </c>
      <c r="S347" s="8">
        <f>(Table1[[#This Row],[2023 Market share (%)]]-Table1[[#This Row],[2022 Market share (%)]])*10000</f>
        <v>2.9147749968351664</v>
      </c>
      <c r="T347" s="10">
        <v>0.27228356064631676</v>
      </c>
      <c r="U347" s="5">
        <v>62</v>
      </c>
      <c r="V347" s="5">
        <f t="shared" si="40"/>
        <v>1042.6774193548388</v>
      </c>
      <c r="W347" s="10">
        <v>6.8965517241379309E-2</v>
      </c>
      <c r="X347" s="10">
        <f t="shared" si="41"/>
        <v>7.0098325946346352E-2</v>
      </c>
      <c r="Y347" s="8">
        <f>(Table1[[#This Row],[2023 Market share (%)]]-Table1[[#This Row],[2019 Market share (%)]])*10000</f>
        <v>2.0226305348409808</v>
      </c>
      <c r="Z347" s="10">
        <f t="shared" si="42"/>
        <v>5.2404655671096645E-2</v>
      </c>
      <c r="AA347" s="10">
        <f t="shared" si="43"/>
        <v>1.6812611175657466E-2</v>
      </c>
      <c r="AB347" s="5">
        <v>50811</v>
      </c>
      <c r="AC347" s="6">
        <f>Table1[[#This Row],[2022 U.S. Sales ($000)]]/SUMIF($E:$E, E347, $AB:$AB)</f>
        <v>1.4200502963475688E-3</v>
      </c>
      <c r="AD347" s="5">
        <v>58</v>
      </c>
      <c r="AE347" s="5">
        <f t="shared" si="44"/>
        <v>876.05172413793105</v>
      </c>
      <c r="AF347" s="5">
        <v>47600</v>
      </c>
      <c r="AG347" s="6">
        <f>Table1[[#This Row],[2021 U.S. Sales ($000)]]/SUMIF($E:$E, E347, $AF:$AF)</f>
        <v>1.4346789758104082E-3</v>
      </c>
      <c r="AH347" s="5">
        <v>58</v>
      </c>
      <c r="AI347" s="12">
        <f t="shared" si="45"/>
        <v>820.68965517241384</v>
      </c>
      <c r="AJ347" s="5">
        <v>43200</v>
      </c>
      <c r="AK347" s="6">
        <f>Table1[[#This Row],[2020 U.S. Sales ($000)]]/SUMIF($E:$E, E347, $AJ:$AJ)</f>
        <v>1.5168829067521514E-3</v>
      </c>
      <c r="AL347" s="5">
        <v>58</v>
      </c>
      <c r="AM347" s="5">
        <f t="shared" si="46"/>
        <v>744.82758620689651</v>
      </c>
      <c r="AN347" s="5">
        <v>49300</v>
      </c>
      <c r="AO347" s="6">
        <f>Table1[[#This Row],[2019 U.S. Sales ($000)]]/SUMIF($E:$E, E347, $AN:$AN)</f>
        <v>1.5092647425469874E-3</v>
      </c>
      <c r="AP347" s="5">
        <v>58</v>
      </c>
      <c r="AQ347" s="5">
        <f t="shared" si="47"/>
        <v>850</v>
      </c>
    </row>
    <row r="348" spans="1:43" x14ac:dyDescent="0.25">
      <c r="A348" t="s">
        <v>413</v>
      </c>
      <c r="B348">
        <v>31273</v>
      </c>
      <c r="C348" t="s">
        <v>44</v>
      </c>
      <c r="D348" t="s">
        <v>45</v>
      </c>
      <c r="E348" t="s">
        <v>76</v>
      </c>
      <c r="F348" s="5">
        <v>469</v>
      </c>
      <c r="G348" s="5">
        <v>0</v>
      </c>
      <c r="H348" s="6">
        <f>Table1[[#This Row],[2024 U.S. Sales ($000)]]/SUMIF($E:$E, E348, $G:$G)</f>
        <v>0</v>
      </c>
      <c r="I348" s="5">
        <v>0</v>
      </c>
      <c r="J348" s="5" t="e">
        <f>Table1[[#This Row],[2024 U.S. Sales ($000)]]/Table1[[#This Row],[2024 U.S. Units]]</f>
        <v>#DIV/0!</v>
      </c>
      <c r="K348" s="6">
        <f>Table1[[#This Row],[2024 U.S. Units]]/Table1[[#This Row],[2023 U.S. Units]]-1</f>
        <v>-1</v>
      </c>
      <c r="L348" s="8">
        <f>(Table1[[#This Row],[2024 Market share (%)]]-Table1[[#This Row],[2023 Market share (%)]])*10000</f>
        <v>-78.385282891992972</v>
      </c>
      <c r="M348" s="6">
        <f>_xlfn.RRI(5,Table1[[#This Row],[2019 U.S. Sales ($000)]],Table1[[#This Row],[2024 U.S. Sales ($000)]])</f>
        <v>-1</v>
      </c>
      <c r="N348" s="9">
        <f>(Table1[[#This Row],[2024 Market share (%)]]-Table1[[#This Row],[2019 Market share (%)]])*10000</f>
        <v>-76.545582894613744</v>
      </c>
      <c r="O348" s="6" t="e">
        <f>IF(Table1[[#This Row],[2024 AUV]]=0,"",_xlfn.RRI(5,Table1[[#This Row],[2019 AUV]],Table1[[#This Row],[2024 AUV]]))</f>
        <v>#DIV/0!</v>
      </c>
      <c r="P348" s="6">
        <f>_xlfn.RRI(5,Table1[[#This Row],[2019 U.S. Units]],Table1[[#This Row],[2024 U.S. Units]])</f>
        <v>-1</v>
      </c>
      <c r="Q348" s="5">
        <v>63600</v>
      </c>
      <c r="R348" s="6">
        <f>Table1[[#This Row],[2023 U.S. Sales ($000)]]/SUMIF($E:$E, E348, $Q:$Q)</f>
        <v>7.8385282891992973E-3</v>
      </c>
      <c r="S348" s="8">
        <f>(Table1[[#This Row],[2023 Market share (%)]]-Table1[[#This Row],[2022 Market share (%)]])*10000</f>
        <v>1.3571759998234207</v>
      </c>
      <c r="T348" s="10">
        <v>9.6551724137931033E-2</v>
      </c>
      <c r="U348" s="5">
        <v>115</v>
      </c>
      <c r="V348" s="5">
        <f t="shared" si="40"/>
        <v>553.04347826086962</v>
      </c>
      <c r="W348" s="10">
        <v>2.6785714285714284E-2</v>
      </c>
      <c r="X348" s="10">
        <f t="shared" si="41"/>
        <v>6.9560145365425985E-2</v>
      </c>
      <c r="Y348" s="8">
        <f>(Table1[[#This Row],[2023 Market share (%)]]-Table1[[#This Row],[2019 Market share (%)]])*10000</f>
        <v>1.839699997379235</v>
      </c>
      <c r="Z348" s="10">
        <f t="shared" si="42"/>
        <v>4.550972363633865E-2</v>
      </c>
      <c r="AA348" s="10">
        <f t="shared" si="43"/>
        <v>2.3003537112441963E-2</v>
      </c>
      <c r="AB348" s="5">
        <v>58000</v>
      </c>
      <c r="AC348" s="6">
        <f>Table1[[#This Row],[2022 U.S. Sales ($000)]]/SUMIF($E:$E, E348, $AB:$AB)</f>
        <v>7.7028106892169552E-3</v>
      </c>
      <c r="AD348" s="5">
        <v>112</v>
      </c>
      <c r="AE348" s="5">
        <f t="shared" si="44"/>
        <v>517.85714285714289</v>
      </c>
      <c r="AF348" s="5">
        <v>51700</v>
      </c>
      <c r="AG348" s="6">
        <f>Table1[[#This Row],[2021 U.S. Sales ($000)]]/SUMIF($E:$E, E348, $AF:$AF)</f>
        <v>7.08117131613362E-3</v>
      </c>
      <c r="AH348" s="5">
        <v>107</v>
      </c>
      <c r="AI348" s="12">
        <f t="shared" si="45"/>
        <v>483.17757009345792</v>
      </c>
      <c r="AJ348" s="5">
        <v>44300</v>
      </c>
      <c r="AK348" s="6">
        <f>Table1[[#This Row],[2020 U.S. Sales ($000)]]/SUMIF($E:$E, E348, $AJ:$AJ)</f>
        <v>6.9324751878419091E-3</v>
      </c>
      <c r="AL348" s="5">
        <v>106</v>
      </c>
      <c r="AM348" s="5">
        <f t="shared" si="46"/>
        <v>417.92452830188677</v>
      </c>
      <c r="AN348" s="5">
        <v>48600</v>
      </c>
      <c r="AO348" s="6">
        <f>Table1[[#This Row],[2019 U.S. Sales ($000)]]/SUMIF($E:$E, E348, $AN:$AN)</f>
        <v>7.6545582894613738E-3</v>
      </c>
      <c r="AP348" s="5">
        <v>105</v>
      </c>
      <c r="AQ348" s="5">
        <f t="shared" si="47"/>
        <v>462.85714285714283</v>
      </c>
    </row>
    <row r="349" spans="1:43" x14ac:dyDescent="0.25">
      <c r="A349" t="s">
        <v>414</v>
      </c>
      <c r="B349">
        <v>35711</v>
      </c>
      <c r="C349" t="s">
        <v>44</v>
      </c>
      <c r="D349" t="s">
        <v>56</v>
      </c>
      <c r="E349" t="s">
        <v>59</v>
      </c>
      <c r="F349" s="5">
        <v>403</v>
      </c>
      <c r="G349" s="5">
        <v>0</v>
      </c>
      <c r="H349" s="6">
        <f>Table1[[#This Row],[2024 U.S. Sales ($000)]]/SUMIF($E:$E, E349, $G:$G)</f>
        <v>0</v>
      </c>
      <c r="I349" s="5">
        <v>0</v>
      </c>
      <c r="J349" s="5" t="e">
        <f>Table1[[#This Row],[2024 U.S. Sales ($000)]]/Table1[[#This Row],[2024 U.S. Units]]</f>
        <v>#DIV/0!</v>
      </c>
      <c r="K349" s="6">
        <f>Table1[[#This Row],[2024 U.S. Units]]/Table1[[#This Row],[2023 U.S. Units]]-1</f>
        <v>-1</v>
      </c>
      <c r="L349" s="8">
        <f>(Table1[[#This Row],[2024 Market share (%)]]-Table1[[#This Row],[2023 Market share (%)]])*10000</f>
        <v>-20.756702535166461</v>
      </c>
      <c r="M349" s="6">
        <f>_xlfn.RRI(5,Table1[[#This Row],[2019 U.S. Sales ($000)]],Table1[[#This Row],[2024 U.S. Sales ($000)]])</f>
        <v>-1</v>
      </c>
      <c r="N349" s="9">
        <f>(Table1[[#This Row],[2024 Market share (%)]]-Table1[[#This Row],[2019 Market share (%)]])*10000</f>
        <v>-18.368333580693559</v>
      </c>
      <c r="O349" s="6" t="e">
        <f>IF(Table1[[#This Row],[2024 AUV]]=0,"",_xlfn.RRI(5,Table1[[#This Row],[2019 AUV]],Table1[[#This Row],[2024 AUV]]))</f>
        <v>#DIV/0!</v>
      </c>
      <c r="P349" s="6">
        <f>_xlfn.RRI(5,Table1[[#This Row],[2019 U.S. Units]],Table1[[#This Row],[2024 U.S. Units]])</f>
        <v>-1</v>
      </c>
      <c r="Q349" s="5">
        <v>78400</v>
      </c>
      <c r="R349" s="6">
        <f>Table1[[#This Row],[2023 U.S. Sales ($000)]]/SUMIF($E:$E, E349, $Q:$Q)</f>
        <v>2.075670253516646E-3</v>
      </c>
      <c r="S349" s="8">
        <f>(Table1[[#This Row],[2023 Market share (%)]]-Table1[[#This Row],[2022 Market share (%)]])*10000</f>
        <v>0.91383956441654612</v>
      </c>
      <c r="T349" s="10">
        <v>0.10422535211267606</v>
      </c>
      <c r="U349" s="5">
        <v>19</v>
      </c>
      <c r="V349" s="5">
        <f t="shared" si="40"/>
        <v>4126.3157894736842</v>
      </c>
      <c r="W349" s="10">
        <v>0.11764705882352941</v>
      </c>
      <c r="X349" s="10">
        <f t="shared" si="41"/>
        <v>6.9156309104901892E-2</v>
      </c>
      <c r="Y349" s="8">
        <f>(Table1[[#This Row],[2023 Market share (%)]]-Table1[[#This Row],[2019 Market share (%)]])*10000</f>
        <v>2.3883689544729019</v>
      </c>
      <c r="Z349" s="10">
        <f t="shared" si="42"/>
        <v>2.4195347075691931E-2</v>
      </c>
      <c r="AA349" s="10">
        <f t="shared" si="43"/>
        <v>4.3898814964921984E-2</v>
      </c>
      <c r="AB349" s="5">
        <v>71000</v>
      </c>
      <c r="AC349" s="6">
        <f>Table1[[#This Row],[2022 U.S. Sales ($000)]]/SUMIF($E:$E, E349, $AB:$AB)</f>
        <v>1.9842862970749914E-3</v>
      </c>
      <c r="AD349" s="5">
        <v>17</v>
      </c>
      <c r="AE349" s="5">
        <f t="shared" si="44"/>
        <v>4176.4705882352937</v>
      </c>
      <c r="AF349" s="5">
        <v>62300</v>
      </c>
      <c r="AG349" s="6">
        <f>Table1[[#This Row],[2021 U.S. Sales ($000)]]/SUMIF($E:$E, E349, $AF:$AF)</f>
        <v>1.8777416006930344E-3</v>
      </c>
      <c r="AH349" s="5">
        <v>17</v>
      </c>
      <c r="AI349" s="12">
        <f t="shared" si="45"/>
        <v>3664.705882352941</v>
      </c>
      <c r="AJ349" s="5">
        <v>52777</v>
      </c>
      <c r="AK349" s="6">
        <f>Table1[[#This Row],[2020 U.S. Sales ($000)]]/SUMIF($E:$E, E349, $AJ:$AJ)</f>
        <v>1.8531603974457939E-3</v>
      </c>
      <c r="AL349" s="5">
        <v>17</v>
      </c>
      <c r="AM349" s="5">
        <f t="shared" si="46"/>
        <v>3104.5294117647059</v>
      </c>
      <c r="AN349" s="5">
        <v>60000</v>
      </c>
      <c r="AO349" s="6">
        <f>Table1[[#This Row],[2019 U.S. Sales ($000)]]/SUMIF($E:$E, E349, $AN:$AN)</f>
        <v>1.8368333580693558E-3</v>
      </c>
      <c r="AP349" s="5">
        <v>16</v>
      </c>
      <c r="AQ349" s="5">
        <f t="shared" si="47"/>
        <v>3750</v>
      </c>
    </row>
    <row r="350" spans="1:43" x14ac:dyDescent="0.25">
      <c r="A350" t="s">
        <v>415</v>
      </c>
      <c r="B350">
        <v>33523</v>
      </c>
      <c r="C350" t="s">
        <v>44</v>
      </c>
      <c r="D350" t="s">
        <v>56</v>
      </c>
      <c r="E350" t="s">
        <v>128</v>
      </c>
      <c r="F350" s="5">
        <v>301</v>
      </c>
      <c r="G350" s="5">
        <v>0</v>
      </c>
      <c r="H350" s="6">
        <f>Table1[[#This Row],[2024 U.S. Sales ($000)]]/SUMIF($E:$E, E350, $G:$G)</f>
        <v>0</v>
      </c>
      <c r="I350" s="5">
        <v>0</v>
      </c>
      <c r="J350" s="5" t="e">
        <f>Table1[[#This Row],[2024 U.S. Sales ($000)]]/Table1[[#This Row],[2024 U.S. Units]]</f>
        <v>#DIV/0!</v>
      </c>
      <c r="K350" s="6">
        <f>Table1[[#This Row],[2024 U.S. Units]]/Table1[[#This Row],[2023 U.S. Units]]-1</f>
        <v>-1</v>
      </c>
      <c r="L350" s="8">
        <f>(Table1[[#This Row],[2024 Market share (%)]]-Table1[[#This Row],[2023 Market share (%)]])*10000</f>
        <v>-222.23026056546152</v>
      </c>
      <c r="M350" s="6">
        <f>_xlfn.RRI(5,Table1[[#This Row],[2019 U.S. Sales ($000)]],Table1[[#This Row],[2024 U.S. Sales ($000)]])</f>
        <v>-1</v>
      </c>
      <c r="N350" s="9">
        <f>(Table1[[#This Row],[2024 Market share (%)]]-Table1[[#This Row],[2019 Market share (%)]])*10000</f>
        <v>-249.39689385976439</v>
      </c>
      <c r="O350" s="6" t="e">
        <f>IF(Table1[[#This Row],[2024 AUV]]=0,"",_xlfn.RRI(5,Table1[[#This Row],[2019 AUV]],Table1[[#This Row],[2024 AUV]]))</f>
        <v>#DIV/0!</v>
      </c>
      <c r="P350" s="6">
        <f>_xlfn.RRI(5,Table1[[#This Row],[2019 U.S. Units]],Table1[[#This Row],[2024 U.S. Units]])</f>
        <v>-1</v>
      </c>
      <c r="Q350" s="5">
        <v>115500</v>
      </c>
      <c r="R350" s="6">
        <f>Table1[[#This Row],[2023 U.S. Sales ($000)]]/SUMIF($E:$E, E350, $Q:$Q)</f>
        <v>2.2223026056546153E-2</v>
      </c>
      <c r="S350" s="8">
        <f>(Table1[[#This Row],[2023 Market share (%)]]-Table1[[#This Row],[2022 Market share (%)]])*10000</f>
        <v>-12.076385887930391</v>
      </c>
      <c r="T350" s="10">
        <v>0.11271676300578035</v>
      </c>
      <c r="U350" s="5">
        <v>93</v>
      </c>
      <c r="V350" s="5">
        <f t="shared" si="40"/>
        <v>1241.9354838709678</v>
      </c>
      <c r="W350" s="10">
        <v>2.197802197802198E-2</v>
      </c>
      <c r="X350" s="10">
        <f t="shared" si="41"/>
        <v>6.7328225249405405E-2</v>
      </c>
      <c r="Y350" s="8">
        <f>(Table1[[#This Row],[2023 Market share (%)]]-Table1[[#This Row],[2019 Market share (%)]])*10000</f>
        <v>-27.166633294302862</v>
      </c>
      <c r="Z350" s="10">
        <f t="shared" si="42"/>
        <v>2.789736796349751E-2</v>
      </c>
      <c r="AA350" s="10">
        <f t="shared" si="43"/>
        <v>3.8360694865898326E-2</v>
      </c>
      <c r="AB350" s="5">
        <v>103800</v>
      </c>
      <c r="AC350" s="6">
        <f>Table1[[#This Row],[2022 U.S. Sales ($000)]]/SUMIF($E:$E, E350, $AB:$AB)</f>
        <v>2.3430664645339192E-2</v>
      </c>
      <c r="AD350" s="5">
        <v>91</v>
      </c>
      <c r="AE350" s="5">
        <f t="shared" si="44"/>
        <v>1140.6593406593406</v>
      </c>
      <c r="AF350" s="5">
        <v>88700</v>
      </c>
      <c r="AG350" s="6">
        <f>Table1[[#This Row],[2021 U.S. Sales ($000)]]/SUMIF($E:$E, E350, $AF:$AF)</f>
        <v>2.3510091050580356E-2</v>
      </c>
      <c r="AH350" s="5">
        <v>88</v>
      </c>
      <c r="AI350" s="12">
        <f t="shared" si="45"/>
        <v>1007.9545454545455</v>
      </c>
      <c r="AJ350" s="5">
        <v>75300</v>
      </c>
      <c r="AK350" s="6">
        <f>Table1[[#This Row],[2020 U.S. Sales ($000)]]/SUMIF($E:$E, E350, $AJ:$AJ)</f>
        <v>2.4572750679585038E-2</v>
      </c>
      <c r="AL350" s="5">
        <v>81</v>
      </c>
      <c r="AM350" s="5">
        <f t="shared" si="46"/>
        <v>929.62962962962968</v>
      </c>
      <c r="AN350" s="5">
        <v>89000</v>
      </c>
      <c r="AO350" s="6">
        <f>Table1[[#This Row],[2019 U.S. Sales ($000)]]/SUMIF($E:$E, E350, $AN:$AN)</f>
        <v>2.4939689385976439E-2</v>
      </c>
      <c r="AP350" s="5">
        <v>80</v>
      </c>
      <c r="AQ350" s="5">
        <f t="shared" si="47"/>
        <v>1112.5</v>
      </c>
    </row>
    <row r="351" spans="1:43" x14ac:dyDescent="0.25">
      <c r="A351" t="s">
        <v>416</v>
      </c>
      <c r="B351">
        <v>7705</v>
      </c>
      <c r="C351" t="s">
        <v>68</v>
      </c>
      <c r="D351" t="s">
        <v>69</v>
      </c>
      <c r="E351" t="s">
        <v>87</v>
      </c>
      <c r="F351" s="5">
        <v>271</v>
      </c>
      <c r="G351" s="5">
        <v>0</v>
      </c>
      <c r="H351" s="6">
        <f>Table1[[#This Row],[2024 U.S. Sales ($000)]]/SUMIF($E:$E, E351, $G:$G)</f>
        <v>0</v>
      </c>
      <c r="I351" s="5">
        <v>0</v>
      </c>
      <c r="J351" s="5" t="e">
        <f>Table1[[#This Row],[2024 U.S. Sales ($000)]]/Table1[[#This Row],[2024 U.S. Units]]</f>
        <v>#DIV/0!</v>
      </c>
      <c r="K351" s="6">
        <f>Table1[[#This Row],[2024 U.S. Units]]/Table1[[#This Row],[2023 U.S. Units]]-1</f>
        <v>-1</v>
      </c>
      <c r="L351" s="8">
        <f>(Table1[[#This Row],[2024 Market share (%)]]-Table1[[#This Row],[2023 Market share (%)]])*10000</f>
        <v>-136.27760705288381</v>
      </c>
      <c r="M351" s="6">
        <f>_xlfn.RRI(5,Table1[[#This Row],[2019 U.S. Sales ($000)]],Table1[[#This Row],[2024 U.S. Sales ($000)]])</f>
        <v>-1</v>
      </c>
      <c r="N351" s="9">
        <f>(Table1[[#This Row],[2024 Market share (%)]]-Table1[[#This Row],[2019 Market share (%)]])*10000</f>
        <v>-119.64221369875307</v>
      </c>
      <c r="O351" s="6" t="e">
        <f>IF(Table1[[#This Row],[2024 AUV]]=0,"",_xlfn.RRI(5,Table1[[#This Row],[2019 AUV]],Table1[[#This Row],[2024 AUV]]))</f>
        <v>#DIV/0!</v>
      </c>
      <c r="P351" s="6">
        <f>_xlfn.RRI(5,Table1[[#This Row],[2019 U.S. Units]],Table1[[#This Row],[2024 U.S. Units]])</f>
        <v>-1</v>
      </c>
      <c r="Q351" s="5">
        <v>132883</v>
      </c>
      <c r="R351" s="6">
        <f>Table1[[#This Row],[2023 U.S. Sales ($000)]]/SUMIF($E:$E, E351, $Q:$Q)</f>
        <v>1.3627760705288381E-2</v>
      </c>
      <c r="S351" s="8">
        <f>(Table1[[#This Row],[2023 Market share (%)]]-Table1[[#This Row],[2022 Market share (%)]])*10000</f>
        <v>9.6498223780049948</v>
      </c>
      <c r="T351" s="10">
        <v>0.12078912299050286</v>
      </c>
      <c r="U351" s="5">
        <v>30</v>
      </c>
      <c r="V351" s="5">
        <f t="shared" si="40"/>
        <v>4429.4333333333334</v>
      </c>
      <c r="W351" s="10">
        <v>7.1428571428571425E-2</v>
      </c>
      <c r="X351" s="10">
        <f t="shared" si="41"/>
        <v>6.7314395160310347E-2</v>
      </c>
      <c r="Y351" s="8">
        <f>(Table1[[#This Row],[2023 Market share (%)]]-Table1[[#This Row],[2019 Market share (%)]])*10000</f>
        <v>16.635393354130745</v>
      </c>
      <c r="Z351" s="10">
        <f t="shared" si="42"/>
        <v>-1.2793900136836012E-3</v>
      </c>
      <c r="AA351" s="10">
        <f t="shared" si="43"/>
        <v>6.8681655798545682E-2</v>
      </c>
      <c r="AB351" s="5">
        <v>118562</v>
      </c>
      <c r="AC351" s="6">
        <f>Table1[[#This Row],[2022 U.S. Sales ($000)]]/SUMIF($E:$E, E351, $AB:$AB)</f>
        <v>1.2662778467487881E-2</v>
      </c>
      <c r="AD351" s="5">
        <v>28</v>
      </c>
      <c r="AE351" s="5">
        <f t="shared" si="44"/>
        <v>4234.3571428571431</v>
      </c>
      <c r="AF351" s="5">
        <v>104033</v>
      </c>
      <c r="AG351" s="6">
        <f>Table1[[#This Row],[2021 U.S. Sales ($000)]]/SUMIF($E:$E, E351, $AF:$AF)</f>
        <v>1.2198193410890798E-2</v>
      </c>
      <c r="AH351" s="5">
        <v>26</v>
      </c>
      <c r="AI351" s="12">
        <f t="shared" si="45"/>
        <v>4001.2692307692309</v>
      </c>
      <c r="AJ351" s="5">
        <v>70500</v>
      </c>
      <c r="AK351" s="6">
        <f>Table1[[#This Row],[2020 U.S. Sales ($000)]]/SUMIF($E:$E, E351, $AJ:$AJ)</f>
        <v>1.0640621243238111E-2</v>
      </c>
      <c r="AL351" s="5">
        <v>24</v>
      </c>
      <c r="AM351" s="5">
        <f t="shared" si="46"/>
        <v>2937.5</v>
      </c>
      <c r="AN351" s="5">
        <v>102400</v>
      </c>
      <c r="AO351" s="6">
        <f>Table1[[#This Row],[2019 U.S. Sales ($000)]]/SUMIF($E:$E, E351, $AN:$AN)</f>
        <v>1.1964221369875306E-2</v>
      </c>
      <c r="AP351" s="5">
        <v>23</v>
      </c>
      <c r="AQ351" s="5">
        <f t="shared" si="47"/>
        <v>4452.173913043478</v>
      </c>
    </row>
    <row r="352" spans="1:43" x14ac:dyDescent="0.25">
      <c r="A352" t="s">
        <v>417</v>
      </c>
      <c r="B352">
        <v>33369</v>
      </c>
      <c r="C352" t="s">
        <v>44</v>
      </c>
      <c r="D352" t="s">
        <v>45</v>
      </c>
      <c r="E352" t="s">
        <v>59</v>
      </c>
      <c r="F352" s="5">
        <v>345</v>
      </c>
      <c r="G352" s="5">
        <v>0</v>
      </c>
      <c r="H352" s="6">
        <f>Table1[[#This Row],[2024 U.S. Sales ($000)]]/SUMIF($E:$E, E352, $G:$G)</f>
        <v>0</v>
      </c>
      <c r="I352" s="5">
        <v>0</v>
      </c>
      <c r="J352" s="5" t="e">
        <f>Table1[[#This Row],[2024 U.S. Sales ($000)]]/Table1[[#This Row],[2024 U.S. Units]]</f>
        <v>#DIV/0!</v>
      </c>
      <c r="K352" s="6">
        <f>Table1[[#This Row],[2024 U.S. Units]]/Table1[[#This Row],[2023 U.S. Units]]-1</f>
        <v>-1</v>
      </c>
      <c r="L352" s="8">
        <f>(Table1[[#This Row],[2024 Market share (%)]]-Table1[[#This Row],[2023 Market share (%)]])*10000</f>
        <v>-25.548747380657698</v>
      </c>
      <c r="M352" s="6">
        <f>_xlfn.RRI(5,Table1[[#This Row],[2019 U.S. Sales ($000)]],Table1[[#This Row],[2024 U.S. Sales ($000)]])</f>
        <v>-1</v>
      </c>
      <c r="N352" s="9">
        <f>(Table1[[#This Row],[2024 Market share (%)]]-Table1[[#This Row],[2019 Market share (%)]])*10000</f>
        <v>-22.868575307963482</v>
      </c>
      <c r="O352" s="6" t="e">
        <f>IF(Table1[[#This Row],[2024 AUV]]=0,"",_xlfn.RRI(5,Table1[[#This Row],[2019 AUV]],Table1[[#This Row],[2024 AUV]]))</f>
        <v>#DIV/0!</v>
      </c>
      <c r="P352" s="6">
        <f>_xlfn.RRI(5,Table1[[#This Row],[2019 U.S. Units]],Table1[[#This Row],[2024 U.S. Units]])</f>
        <v>-1</v>
      </c>
      <c r="Q352" s="5">
        <v>96500</v>
      </c>
      <c r="R352" s="6">
        <f>Table1[[#This Row],[2023 U.S. Sales ($000)]]/SUMIF($E:$E, E352, $Q:$Q)</f>
        <v>2.5548747380657699E-3</v>
      </c>
      <c r="S352" s="8">
        <f>(Table1[[#This Row],[2023 Market share (%)]]-Table1[[#This Row],[2022 Market share (%)]])*10000</f>
        <v>3.0788011433577953</v>
      </c>
      <c r="T352" s="10">
        <v>0.20024875621890548</v>
      </c>
      <c r="U352" s="5">
        <v>109</v>
      </c>
      <c r="V352" s="5">
        <f t="shared" si="40"/>
        <v>885.32110091743118</v>
      </c>
      <c r="W352" s="10">
        <v>0.17204301075268819</v>
      </c>
      <c r="X352" s="10">
        <f t="shared" si="41"/>
        <v>6.6109167515671974E-2</v>
      </c>
      <c r="Y352" s="8">
        <f>(Table1[[#This Row],[2023 Market share (%)]]-Table1[[#This Row],[2019 Market share (%)]])*10000</f>
        <v>2.6801720726942184</v>
      </c>
      <c r="Z352" s="10">
        <f t="shared" si="42"/>
        <v>-7.1159902746275039E-3</v>
      </c>
      <c r="AA352" s="10">
        <f t="shared" si="43"/>
        <v>7.3749961801231168E-2</v>
      </c>
      <c r="AB352" s="5">
        <v>80400</v>
      </c>
      <c r="AC352" s="6">
        <f>Table1[[#This Row],[2022 U.S. Sales ($000)]]/SUMIF($E:$E, E352, $AB:$AB)</f>
        <v>2.2469946237299904E-3</v>
      </c>
      <c r="AD352" s="5">
        <v>93</v>
      </c>
      <c r="AE352" s="5">
        <f t="shared" si="44"/>
        <v>864.51612903225805</v>
      </c>
      <c r="AF352" s="5">
        <v>68400</v>
      </c>
      <c r="AG352" s="6">
        <f>Table1[[#This Row],[2021 U.S. Sales ($000)]]/SUMIF($E:$E, E352, $AF:$AF)</f>
        <v>2.0615975198620151E-3</v>
      </c>
      <c r="AH352" s="5">
        <v>82</v>
      </c>
      <c r="AI352" s="12">
        <f t="shared" si="45"/>
        <v>834.14634146341461</v>
      </c>
      <c r="AJ352" s="5">
        <v>63600</v>
      </c>
      <c r="AK352" s="6">
        <f>Table1[[#This Row],[2020 U.S. Sales ($000)]]/SUMIF($E:$E, E352, $AJ:$AJ)</f>
        <v>2.2331887238295563E-3</v>
      </c>
      <c r="AL352" s="5">
        <v>79</v>
      </c>
      <c r="AM352" s="5">
        <f t="shared" si="46"/>
        <v>805.0632911392405</v>
      </c>
      <c r="AN352" s="5">
        <v>74700</v>
      </c>
      <c r="AO352" s="6">
        <f>Table1[[#This Row],[2019 U.S. Sales ($000)]]/SUMIF($E:$E, E352, $AN:$AN)</f>
        <v>2.2868575307963481E-3</v>
      </c>
      <c r="AP352" s="5">
        <v>82</v>
      </c>
      <c r="AQ352" s="5">
        <f t="shared" si="47"/>
        <v>910.97560975609758</v>
      </c>
    </row>
    <row r="353" spans="1:43" x14ac:dyDescent="0.25">
      <c r="A353" t="s">
        <v>418</v>
      </c>
      <c r="B353">
        <v>2501</v>
      </c>
      <c r="C353" t="s">
        <v>44</v>
      </c>
      <c r="D353" t="s">
        <v>56</v>
      </c>
      <c r="E353" t="s">
        <v>59</v>
      </c>
      <c r="F353" s="5">
        <v>389</v>
      </c>
      <c r="G353" s="5">
        <v>0</v>
      </c>
      <c r="H353" s="6">
        <f>Table1[[#This Row],[2024 U.S. Sales ($000)]]/SUMIF($E:$E, E353, $G:$G)</f>
        <v>0</v>
      </c>
      <c r="I353" s="5">
        <v>0</v>
      </c>
      <c r="J353" s="5" t="e">
        <f>Table1[[#This Row],[2024 U.S. Sales ($000)]]/Table1[[#This Row],[2024 U.S. Units]]</f>
        <v>#DIV/0!</v>
      </c>
      <c r="K353" s="6">
        <f>Table1[[#This Row],[2024 U.S. Units]]/Table1[[#This Row],[2023 U.S. Units]]-1</f>
        <v>-1</v>
      </c>
      <c r="L353" s="8">
        <f>(Table1[[#This Row],[2024 Market share (%)]]-Table1[[#This Row],[2023 Market share (%)]])*10000</f>
        <v>-21.26105863630794</v>
      </c>
      <c r="M353" s="6">
        <f>_xlfn.RRI(5,Table1[[#This Row],[2019 U.S. Sales ($000)]],Table1[[#This Row],[2024 U.S. Sales ($000)]])</f>
        <v>-1</v>
      </c>
      <c r="N353" s="9">
        <f>(Table1[[#This Row],[2024 Market share (%)]]-Table1[[#This Row],[2019 Market share (%)]])*10000</f>
        <v>-19.19490859182477</v>
      </c>
      <c r="O353" s="6" t="e">
        <f>IF(Table1[[#This Row],[2024 AUV]]=0,"",_xlfn.RRI(5,Table1[[#This Row],[2019 AUV]],Table1[[#This Row],[2024 AUV]]))</f>
        <v>#DIV/0!</v>
      </c>
      <c r="P353" s="6">
        <f>_xlfn.RRI(5,Table1[[#This Row],[2019 U.S. Units]],Table1[[#This Row],[2024 U.S. Units]])</f>
        <v>-1</v>
      </c>
      <c r="Q353" s="5">
        <v>80305</v>
      </c>
      <c r="R353" s="6">
        <f>Table1[[#This Row],[2023 U.S. Sales ($000)]]/SUMIF($E:$E, E353, $Q:$Q)</f>
        <v>2.1261058636307941E-3</v>
      </c>
      <c r="S353" s="8">
        <f>(Table1[[#This Row],[2023 Market share (%)]]-Table1[[#This Row],[2022 Market share (%)]])*10000</f>
        <v>1.1828760793415258</v>
      </c>
      <c r="T353" s="10">
        <v>0.11780017260098549</v>
      </c>
      <c r="U353" s="5">
        <v>55</v>
      </c>
      <c r="V353" s="5">
        <f t="shared" si="40"/>
        <v>1460.090909090909</v>
      </c>
      <c r="W353" s="10">
        <v>0</v>
      </c>
      <c r="X353" s="10">
        <f t="shared" si="41"/>
        <v>6.3821495512004223E-2</v>
      </c>
      <c r="Y353" s="8">
        <f>(Table1[[#This Row],[2023 Market share (%)]]-Table1[[#This Row],[2019 Market share (%)]])*10000</f>
        <v>2.0661500444831722</v>
      </c>
      <c r="Z353" s="10">
        <f t="shared" si="42"/>
        <v>7.8040526350666051E-2</v>
      </c>
      <c r="AA353" s="10">
        <f t="shared" si="43"/>
        <v>-1.3189699729374227E-2</v>
      </c>
      <c r="AB353" s="5">
        <v>71842</v>
      </c>
      <c r="AC353" s="6">
        <f>Table1[[#This Row],[2022 U.S. Sales ($000)]]/SUMIF($E:$E, E353, $AB:$AB)</f>
        <v>2.0078182556966416E-3</v>
      </c>
      <c r="AD353" s="5">
        <v>55</v>
      </c>
      <c r="AE353" s="5">
        <f t="shared" si="44"/>
        <v>1306.2181818181818</v>
      </c>
      <c r="AF353" s="5">
        <v>62000</v>
      </c>
      <c r="AG353" s="6">
        <f>Table1[[#This Row],[2021 U.S. Sales ($000)]]/SUMIF($E:$E, E353, $AF:$AF)</f>
        <v>1.8686995063076745E-3</v>
      </c>
      <c r="AH353" s="5">
        <v>56</v>
      </c>
      <c r="AI353" s="12">
        <f t="shared" si="45"/>
        <v>1107.1428571428571</v>
      </c>
      <c r="AJ353" s="5">
        <v>53400</v>
      </c>
      <c r="AK353" s="6">
        <f>Table1[[#This Row],[2020 U.S. Sales ($000)]]/SUMIF($E:$E, E353, $AJ:$AJ)</f>
        <v>1.8750358152908539E-3</v>
      </c>
      <c r="AL353" s="5">
        <v>58</v>
      </c>
      <c r="AM353" s="5">
        <f t="shared" si="46"/>
        <v>920.68965517241384</v>
      </c>
      <c r="AN353" s="5">
        <v>62700</v>
      </c>
      <c r="AO353" s="6">
        <f>Table1[[#This Row],[2019 U.S. Sales ($000)]]/SUMIF($E:$E, E353, $AN:$AN)</f>
        <v>1.9194908591824769E-3</v>
      </c>
      <c r="AP353" s="5">
        <v>58</v>
      </c>
      <c r="AQ353" s="5">
        <f t="shared" si="47"/>
        <v>1081.0344827586207</v>
      </c>
    </row>
    <row r="354" spans="1:43" x14ac:dyDescent="0.25">
      <c r="A354" t="s">
        <v>419</v>
      </c>
      <c r="B354">
        <v>11981</v>
      </c>
      <c r="C354" t="s">
        <v>44</v>
      </c>
      <c r="D354" t="s">
        <v>56</v>
      </c>
      <c r="E354" t="s">
        <v>128</v>
      </c>
      <c r="F354" s="5">
        <v>293</v>
      </c>
      <c r="G354" s="5">
        <v>0</v>
      </c>
      <c r="H354" s="6">
        <f>Table1[[#This Row],[2024 U.S. Sales ($000)]]/SUMIF($E:$E, E354, $G:$G)</f>
        <v>0</v>
      </c>
      <c r="I354" s="5">
        <v>0</v>
      </c>
      <c r="J354" s="5" t="e">
        <f>Table1[[#This Row],[2024 U.S. Sales ($000)]]/Table1[[#This Row],[2024 U.S. Units]]</f>
        <v>#DIV/0!</v>
      </c>
      <c r="K354" s="6">
        <f>Table1[[#This Row],[2024 U.S. Units]]/Table1[[#This Row],[2023 U.S. Units]]-1</f>
        <v>-1</v>
      </c>
      <c r="L354" s="8">
        <f>(Table1[[#This Row],[2024 Market share (%)]]-Table1[[#This Row],[2023 Market share (%)]])*10000</f>
        <v>-229.30314747315535</v>
      </c>
      <c r="M354" s="6">
        <f>_xlfn.RRI(5,Table1[[#This Row],[2019 U.S. Sales ($000)]],Table1[[#This Row],[2024 U.S. Sales ($000)]])</f>
        <v>-1</v>
      </c>
      <c r="N354" s="9">
        <f>(Table1[[#This Row],[2024 Market share (%)]]-Table1[[#This Row],[2019 Market share (%)]])*10000</f>
        <v>-261.16618548011286</v>
      </c>
      <c r="O354" s="6" t="e">
        <f>IF(Table1[[#This Row],[2024 AUV]]=0,"",_xlfn.RRI(5,Table1[[#This Row],[2019 AUV]],Table1[[#This Row],[2024 AUV]]))</f>
        <v>#DIV/0!</v>
      </c>
      <c r="P354" s="6">
        <f>_xlfn.RRI(5,Table1[[#This Row],[2019 U.S. Units]],Table1[[#This Row],[2024 U.S. Units]])</f>
        <v>-1</v>
      </c>
      <c r="Q354" s="5">
        <v>119176</v>
      </c>
      <c r="R354" s="6">
        <f>Table1[[#This Row],[2023 U.S. Sales ($000)]]/SUMIF($E:$E, E354, $Q:$Q)</f>
        <v>2.2930314747315536E-2</v>
      </c>
      <c r="S354" s="8">
        <f>(Table1[[#This Row],[2023 Market share (%)]]-Table1[[#This Row],[2022 Market share (%)]])*10000</f>
        <v>-8.8296046231893524</v>
      </c>
      <c r="T354" s="10">
        <v>0.12968387127352007</v>
      </c>
      <c r="U354" s="5">
        <v>97</v>
      </c>
      <c r="V354" s="5">
        <f t="shared" si="40"/>
        <v>1228.6185567010309</v>
      </c>
      <c r="W354" s="10">
        <v>6.5934065934065936E-2</v>
      </c>
      <c r="X354" s="10">
        <f t="shared" si="41"/>
        <v>6.33915943967851E-2</v>
      </c>
      <c r="Y354" s="8">
        <f>(Table1[[#This Row],[2023 Market share (%)]]-Table1[[#This Row],[2019 Market share (%)]])*10000</f>
        <v>-31.863038006957474</v>
      </c>
      <c r="Z354" s="10">
        <f t="shared" si="42"/>
        <v>1.3381067411806669E-2</v>
      </c>
      <c r="AA354" s="10">
        <f t="shared" si="43"/>
        <v>4.9350169046187276E-2</v>
      </c>
      <c r="AB354" s="5">
        <v>105495</v>
      </c>
      <c r="AC354" s="6">
        <f>Table1[[#This Row],[2022 U.S. Sales ($000)]]/SUMIF($E:$E, E354, $AB:$AB)</f>
        <v>2.3813275209634471E-2</v>
      </c>
      <c r="AD354" s="5">
        <v>91</v>
      </c>
      <c r="AE354" s="5">
        <f t="shared" si="44"/>
        <v>1159.2857142857142</v>
      </c>
      <c r="AF354" s="5">
        <v>89818</v>
      </c>
      <c r="AG354" s="6">
        <f>Table1[[#This Row],[2021 U.S. Sales ($000)]]/SUMIF($E:$E, E354, $AF:$AF)</f>
        <v>2.3806418917486208E-2</v>
      </c>
      <c r="AH354" s="5">
        <v>84</v>
      </c>
      <c r="AI354" s="12">
        <f t="shared" si="45"/>
        <v>1069.2619047619048</v>
      </c>
      <c r="AJ354" s="5">
        <v>74000</v>
      </c>
      <c r="AK354" s="6">
        <f>Table1[[#This Row],[2020 U.S. Sales ($000)]]/SUMIF($E:$E, E354, $AJ:$AJ)</f>
        <v>2.4148519924160596E-2</v>
      </c>
      <c r="AL354" s="5">
        <v>81</v>
      </c>
      <c r="AM354" s="5">
        <f t="shared" si="46"/>
        <v>913.58024691358025</v>
      </c>
      <c r="AN354" s="5">
        <v>93200</v>
      </c>
      <c r="AO354" s="6">
        <f>Table1[[#This Row],[2019 U.S. Sales ($000)]]/SUMIF($E:$E, E354, $AN:$AN)</f>
        <v>2.6116618548011283E-2</v>
      </c>
      <c r="AP354" s="5">
        <v>80</v>
      </c>
      <c r="AQ354" s="5">
        <f t="shared" si="47"/>
        <v>1165</v>
      </c>
    </row>
    <row r="355" spans="1:43" x14ac:dyDescent="0.25">
      <c r="A355" t="s">
        <v>420</v>
      </c>
      <c r="B355">
        <v>5972</v>
      </c>
      <c r="C355" t="s">
        <v>68</v>
      </c>
      <c r="D355" t="s">
        <v>69</v>
      </c>
      <c r="E355" t="s">
        <v>125</v>
      </c>
      <c r="F355" s="5">
        <v>222</v>
      </c>
      <c r="G355" s="5">
        <v>0</v>
      </c>
      <c r="H355" s="6">
        <f>Table1[[#This Row],[2024 U.S. Sales ($000)]]/SUMIF($E:$E, E355, $G:$G)</f>
        <v>0</v>
      </c>
      <c r="I355" s="5">
        <v>0</v>
      </c>
      <c r="J355" s="5" t="e">
        <f>Table1[[#This Row],[2024 U.S. Sales ($000)]]/Table1[[#This Row],[2024 U.S. Units]]</f>
        <v>#DIV/0!</v>
      </c>
      <c r="K355" s="6">
        <f>Table1[[#This Row],[2024 U.S. Units]]/Table1[[#This Row],[2023 U.S. Units]]-1</f>
        <v>-1</v>
      </c>
      <c r="L355" s="8">
        <f>(Table1[[#This Row],[2024 Market share (%)]]-Table1[[#This Row],[2023 Market share (%)]])*10000</f>
        <v>-510.03328905706218</v>
      </c>
      <c r="M355" s="6">
        <f>_xlfn.RRI(5,Table1[[#This Row],[2019 U.S. Sales ($000)]],Table1[[#This Row],[2024 U.S. Sales ($000)]])</f>
        <v>-1</v>
      </c>
      <c r="N355" s="9">
        <f>(Table1[[#This Row],[2024 Market share (%)]]-Table1[[#This Row],[2019 Market share (%)]])*10000</f>
        <v>-534.49568881578136</v>
      </c>
      <c r="O355" s="6" t="e">
        <f>IF(Table1[[#This Row],[2024 AUV]]=0,"",_xlfn.RRI(5,Table1[[#This Row],[2019 AUV]],Table1[[#This Row],[2024 AUV]]))</f>
        <v>#DIV/0!</v>
      </c>
      <c r="P355" s="6">
        <f>_xlfn.RRI(5,Table1[[#This Row],[2019 U.S. Units]],Table1[[#This Row],[2024 U.S. Units]])</f>
        <v>-1</v>
      </c>
      <c r="Q355" s="5">
        <v>180700</v>
      </c>
      <c r="R355" s="6">
        <f>Table1[[#This Row],[2023 U.S. Sales ($000)]]/SUMIF($E:$E, E355, $Q:$Q)</f>
        <v>5.1003328905706219E-2</v>
      </c>
      <c r="S355" s="8">
        <f>(Table1[[#This Row],[2023 Market share (%)]]-Table1[[#This Row],[2022 Market share (%)]])*10000</f>
        <v>-16.296543457606436</v>
      </c>
      <c r="T355" s="10">
        <v>9.0525045262522627E-2</v>
      </c>
      <c r="U355" s="5">
        <v>65</v>
      </c>
      <c r="V355" s="5">
        <f t="shared" si="40"/>
        <v>2780</v>
      </c>
      <c r="W355" s="10">
        <v>0</v>
      </c>
      <c r="X355" s="10">
        <f t="shared" si="41"/>
        <v>6.2292069486545865E-2</v>
      </c>
      <c r="Y355" s="8">
        <f>(Table1[[#This Row],[2023 Market share (%)]]-Table1[[#This Row],[2019 Market share (%)]])*10000</f>
        <v>-24.46239975871914</v>
      </c>
      <c r="Z355" s="10">
        <f t="shared" si="42"/>
        <v>4.1246159815384154E-2</v>
      </c>
      <c r="AA355" s="10">
        <f t="shared" si="43"/>
        <v>2.0212232691348531E-2</v>
      </c>
      <c r="AB355" s="5">
        <v>165700</v>
      </c>
      <c r="AC355" s="6">
        <f>Table1[[#This Row],[2022 U.S. Sales ($000)]]/SUMIF($E:$E, E355, $AB:$AB)</f>
        <v>5.2632983251466862E-2</v>
      </c>
      <c r="AD355" s="5">
        <v>65</v>
      </c>
      <c r="AE355" s="5">
        <f t="shared" si="44"/>
        <v>2549.2307692307691</v>
      </c>
      <c r="AF355" s="5">
        <v>139700</v>
      </c>
      <c r="AG355" s="6">
        <f>Table1[[#This Row],[2021 U.S. Sales ($000)]]/SUMIF($E:$E, E355, $AF:$AF)</f>
        <v>5.2531515148780385E-2</v>
      </c>
      <c r="AH355" s="5">
        <v>62</v>
      </c>
      <c r="AI355" s="12">
        <f t="shared" si="45"/>
        <v>2253.2258064516127</v>
      </c>
      <c r="AJ355" s="5">
        <v>105000</v>
      </c>
      <c r="AK355" s="6">
        <f>Table1[[#This Row],[2020 U.S. Sales ($000)]]/SUMIF($E:$E, E355, $AJ:$AJ)</f>
        <v>5.5409292613308042E-2</v>
      </c>
      <c r="AL355" s="5">
        <v>60</v>
      </c>
      <c r="AM355" s="5">
        <f t="shared" si="46"/>
        <v>1750</v>
      </c>
      <c r="AN355" s="5">
        <v>141900</v>
      </c>
      <c r="AO355" s="6">
        <f>Table1[[#This Row],[2019 U.S. Sales ($000)]]/SUMIF($E:$E, E355, $AN:$AN)</f>
        <v>5.3449568881578133E-2</v>
      </c>
      <c r="AP355" s="5">
        <v>60</v>
      </c>
      <c r="AQ355" s="5">
        <f t="shared" si="47"/>
        <v>2365</v>
      </c>
    </row>
    <row r="356" spans="1:43" x14ac:dyDescent="0.25">
      <c r="A356" t="s">
        <v>421</v>
      </c>
      <c r="B356">
        <v>5374</v>
      </c>
      <c r="C356" t="s">
        <v>44</v>
      </c>
      <c r="D356" t="s">
        <v>45</v>
      </c>
      <c r="E356" t="s">
        <v>59</v>
      </c>
      <c r="F356" s="5">
        <v>401</v>
      </c>
      <c r="G356" s="5">
        <v>0</v>
      </c>
      <c r="H356" s="6">
        <f>Table1[[#This Row],[2024 U.S. Sales ($000)]]/SUMIF($E:$E, E356, $G:$G)</f>
        <v>0</v>
      </c>
      <c r="I356" s="5">
        <v>0</v>
      </c>
      <c r="J356" s="5" t="e">
        <f>Table1[[#This Row],[2024 U.S. Sales ($000)]]/Table1[[#This Row],[2024 U.S. Units]]</f>
        <v>#DIV/0!</v>
      </c>
      <c r="K356" s="6">
        <f>Table1[[#This Row],[2024 U.S. Units]]/Table1[[#This Row],[2023 U.S. Units]]-1</f>
        <v>-1</v>
      </c>
      <c r="L356" s="8">
        <f>(Table1[[#This Row],[2024 Market share (%)]]-Table1[[#This Row],[2023 Market share (%)]])*10000</f>
        <v>-20.862604078713229</v>
      </c>
      <c r="M356" s="6">
        <f>_xlfn.RRI(5,Table1[[#This Row],[2019 U.S. Sales ($000)]],Table1[[#This Row],[2024 U.S. Sales ($000)]])</f>
        <v>-1</v>
      </c>
      <c r="N356" s="9">
        <f>(Table1[[#This Row],[2024 Market share (%)]]-Table1[[#This Row],[2019 Market share (%)]])*10000</f>
        <v>-19.041839145318992</v>
      </c>
      <c r="O356" s="6" t="e">
        <f>IF(Table1[[#This Row],[2024 AUV]]=0,"",_xlfn.RRI(5,Table1[[#This Row],[2019 AUV]],Table1[[#This Row],[2024 AUV]]))</f>
        <v>#DIV/0!</v>
      </c>
      <c r="P356" s="6">
        <f>_xlfn.RRI(5,Table1[[#This Row],[2019 U.S. Units]],Table1[[#This Row],[2024 U.S. Units]])</f>
        <v>-1</v>
      </c>
      <c r="Q356" s="5">
        <v>78800</v>
      </c>
      <c r="R356" s="6">
        <f>Table1[[#This Row],[2023 U.S. Sales ($000)]]/SUMIF($E:$E, E356, $Q:$Q)</f>
        <v>2.086260407871323E-3</v>
      </c>
      <c r="S356" s="8">
        <f>(Table1[[#This Row],[2023 Market share (%)]]-Table1[[#This Row],[2022 Market share (%)]])*10000</f>
        <v>1.2153749682383133</v>
      </c>
      <c r="T356" s="10">
        <v>0.12091038406827881</v>
      </c>
      <c r="U356" s="5">
        <v>80</v>
      </c>
      <c r="V356" s="5">
        <f t="shared" si="40"/>
        <v>985</v>
      </c>
      <c r="W356" s="10">
        <v>9.5890410958904104E-2</v>
      </c>
      <c r="X356" s="10">
        <f t="shared" si="41"/>
        <v>6.0923228443988231E-2</v>
      </c>
      <c r="Y356" s="8">
        <f>(Table1[[#This Row],[2023 Market share (%)]]-Table1[[#This Row],[2019 Market share (%)]])*10000</f>
        <v>1.8207649333942397</v>
      </c>
      <c r="Z356" s="10">
        <f t="shared" si="42"/>
        <v>-5.8330760084834843E-4</v>
      </c>
      <c r="AA356" s="10">
        <f t="shared" si="43"/>
        <v>6.1542434214488795E-2</v>
      </c>
      <c r="AB356" s="5">
        <v>70300</v>
      </c>
      <c r="AC356" s="6">
        <f>Table1[[#This Row],[2022 U.S. Sales ($000)]]/SUMIF($E:$E, E356, $AB:$AB)</f>
        <v>1.9647229110474917E-3</v>
      </c>
      <c r="AD356" s="5">
        <v>73</v>
      </c>
      <c r="AE356" s="5">
        <f t="shared" si="44"/>
        <v>963.01369863013701</v>
      </c>
      <c r="AF356" s="5">
        <v>63500</v>
      </c>
      <c r="AG356" s="6">
        <f>Table1[[#This Row],[2021 U.S. Sales ($000)]]/SUMIF($E:$E, E356, $AF:$AF)</f>
        <v>1.9139099782344731E-3</v>
      </c>
      <c r="AH356" s="5">
        <v>67</v>
      </c>
      <c r="AI356" s="12">
        <f t="shared" si="45"/>
        <v>947.7611940298508</v>
      </c>
      <c r="AJ356" s="5">
        <v>59100</v>
      </c>
      <c r="AK356" s="6">
        <f>Table1[[#This Row],[2020 U.S. Sales ($000)]]/SUMIF($E:$E, E356, $AJ:$AJ)</f>
        <v>2.0751800877095404E-3</v>
      </c>
      <c r="AL356" s="5">
        <v>64</v>
      </c>
      <c r="AM356" s="5">
        <f t="shared" si="46"/>
        <v>923.4375</v>
      </c>
      <c r="AN356" s="5">
        <v>62200</v>
      </c>
      <c r="AO356" s="6">
        <f>Table1[[#This Row],[2019 U.S. Sales ($000)]]/SUMIF($E:$E, E356, $AN:$AN)</f>
        <v>1.904183914531899E-3</v>
      </c>
      <c r="AP356" s="5">
        <v>63</v>
      </c>
      <c r="AQ356" s="5">
        <f t="shared" si="47"/>
        <v>987.30158730158735</v>
      </c>
    </row>
    <row r="357" spans="1:43" x14ac:dyDescent="0.25">
      <c r="A357" t="s">
        <v>422</v>
      </c>
      <c r="B357">
        <v>6085</v>
      </c>
      <c r="C357" t="s">
        <v>68</v>
      </c>
      <c r="D357" t="s">
        <v>69</v>
      </c>
      <c r="E357" t="s">
        <v>87</v>
      </c>
      <c r="F357" s="5">
        <v>291</v>
      </c>
      <c r="G357" s="5">
        <v>0</v>
      </c>
      <c r="H357" s="6">
        <f>Table1[[#This Row],[2024 U.S. Sales ($000)]]/SUMIF($E:$E, E357, $G:$G)</f>
        <v>0</v>
      </c>
      <c r="I357" s="5">
        <v>0</v>
      </c>
      <c r="J357" s="5" t="e">
        <f>Table1[[#This Row],[2024 U.S. Sales ($000)]]/Table1[[#This Row],[2024 U.S. Units]]</f>
        <v>#DIV/0!</v>
      </c>
      <c r="K357" s="6">
        <f>Table1[[#This Row],[2024 U.S. Units]]/Table1[[#This Row],[2023 U.S. Units]]-1</f>
        <v>-1</v>
      </c>
      <c r="L357" s="8">
        <f>(Table1[[#This Row],[2024 Market share (%)]]-Table1[[#This Row],[2023 Market share (%)]])*10000</f>
        <v>-123.16805465749077</v>
      </c>
      <c r="M357" s="6">
        <f>_xlfn.RRI(5,Table1[[#This Row],[2019 U.S. Sales ($000)]],Table1[[#This Row],[2024 U.S. Sales ($000)]])</f>
        <v>-1</v>
      </c>
      <c r="N357" s="9">
        <f>(Table1[[#This Row],[2024 Market share (%)]]-Table1[[#This Row],[2019 Market share (%)]])*10000</f>
        <v>-111.22987054805949</v>
      </c>
      <c r="O357" s="6" t="e">
        <f>IF(Table1[[#This Row],[2024 AUV]]=0,"",_xlfn.RRI(5,Table1[[#This Row],[2019 AUV]],Table1[[#This Row],[2024 AUV]]))</f>
        <v>#DIV/0!</v>
      </c>
      <c r="P357" s="6">
        <f>_xlfn.RRI(5,Table1[[#This Row],[2019 U.S. Units]],Table1[[#This Row],[2024 U.S. Units]])</f>
        <v>-1</v>
      </c>
      <c r="Q357" s="5">
        <v>120100</v>
      </c>
      <c r="R357" s="6">
        <f>Table1[[#This Row],[2023 U.S. Sales ($000)]]/SUMIF($E:$E, E357, $Q:$Q)</f>
        <v>1.2316805465749077E-2</v>
      </c>
      <c r="S357" s="8">
        <f>(Table1[[#This Row],[2023 Market share (%)]]-Table1[[#This Row],[2022 Market share (%)]])*10000</f>
        <v>-0.93704292201126149</v>
      </c>
      <c r="T357" s="10">
        <v>3.3562822719449228E-2</v>
      </c>
      <c r="U357" s="5">
        <v>80</v>
      </c>
      <c r="V357" s="5">
        <f t="shared" si="40"/>
        <v>1501.25</v>
      </c>
      <c r="W357" s="10">
        <v>0</v>
      </c>
      <c r="X357" s="10">
        <f t="shared" si="41"/>
        <v>5.9806343712204502E-2</v>
      </c>
      <c r="Y357" s="8">
        <f>(Table1[[#This Row],[2023 Market share (%)]]-Table1[[#This Row],[2019 Market share (%)]])*10000</f>
        <v>11.938184109431278</v>
      </c>
      <c r="Z357" s="10">
        <f t="shared" si="42"/>
        <v>3.2255349260982946E-2</v>
      </c>
      <c r="AA357" s="10">
        <f t="shared" si="43"/>
        <v>2.6690096080340897E-2</v>
      </c>
      <c r="AB357" s="5">
        <v>116200</v>
      </c>
      <c r="AC357" s="6">
        <f>Table1[[#This Row],[2022 U.S. Sales ($000)]]/SUMIF($E:$E, E357, $AB:$AB)</f>
        <v>1.2410509757950203E-2</v>
      </c>
      <c r="AD357" s="5">
        <v>80</v>
      </c>
      <c r="AE357" s="5">
        <f t="shared" si="44"/>
        <v>1452.5</v>
      </c>
      <c r="AF357" s="5">
        <v>107300</v>
      </c>
      <c r="AG357" s="6">
        <f>Table1[[#This Row],[2021 U.S. Sales ($000)]]/SUMIF($E:$E, E357, $AF:$AF)</f>
        <v>1.2581259340676349E-2</v>
      </c>
      <c r="AH357" s="5">
        <v>77</v>
      </c>
      <c r="AI357" s="12">
        <f t="shared" si="45"/>
        <v>1393.5064935064936</v>
      </c>
      <c r="AJ357" s="5">
        <v>81400</v>
      </c>
      <c r="AK357" s="6">
        <f>Table1[[#This Row],[2020 U.S. Sales ($000)]]/SUMIF($E:$E, E357, $AJ:$AJ)</f>
        <v>1.2285766939001167E-2</v>
      </c>
      <c r="AL357" s="5">
        <v>72</v>
      </c>
      <c r="AM357" s="5">
        <f t="shared" si="46"/>
        <v>1130.5555555555557</v>
      </c>
      <c r="AN357" s="5">
        <v>95200</v>
      </c>
      <c r="AO357" s="6">
        <f>Table1[[#This Row],[2019 U.S. Sales ($000)]]/SUMIF($E:$E, E357, $AN:$AN)</f>
        <v>1.1122987054805949E-2</v>
      </c>
      <c r="AP357" s="5">
        <v>72</v>
      </c>
      <c r="AQ357" s="5">
        <f t="shared" si="47"/>
        <v>1322.2222222222222</v>
      </c>
    </row>
    <row r="358" spans="1:43" x14ac:dyDescent="0.25">
      <c r="A358" t="s">
        <v>423</v>
      </c>
      <c r="B358">
        <v>12090</v>
      </c>
      <c r="C358" t="s">
        <v>68</v>
      </c>
      <c r="D358" t="s">
        <v>69</v>
      </c>
      <c r="E358" t="s">
        <v>79</v>
      </c>
      <c r="F358" s="5">
        <v>314</v>
      </c>
      <c r="G358" s="5">
        <v>0</v>
      </c>
      <c r="H358" s="6">
        <f>Table1[[#This Row],[2024 U.S. Sales ($000)]]/SUMIF($E:$E, E358, $G:$G)</f>
        <v>0</v>
      </c>
      <c r="I358" s="5">
        <v>0</v>
      </c>
      <c r="J358" s="5" t="e">
        <f>Table1[[#This Row],[2024 U.S. Sales ($000)]]/Table1[[#This Row],[2024 U.S. Units]]</f>
        <v>#DIV/0!</v>
      </c>
      <c r="K358" s="6">
        <f>Table1[[#This Row],[2024 U.S. Units]]/Table1[[#This Row],[2023 U.S. Units]]-1</f>
        <v>-1</v>
      </c>
      <c r="L358" s="8">
        <f>(Table1[[#This Row],[2024 Market share (%)]]-Table1[[#This Row],[2023 Market share (%)]])*10000</f>
        <v>-44.688224188633058</v>
      </c>
      <c r="M358" s="6">
        <f>_xlfn.RRI(5,Table1[[#This Row],[2019 U.S. Sales ($000)]],Table1[[#This Row],[2024 U.S. Sales ($000)]])</f>
        <v>-1</v>
      </c>
      <c r="N358" s="9">
        <f>(Table1[[#This Row],[2024 Market share (%)]]-Table1[[#This Row],[2019 Market share (%)]])*10000</f>
        <v>-37.527040706899101</v>
      </c>
      <c r="O358" s="6" t="e">
        <f>IF(Table1[[#This Row],[2024 AUV]]=0,"",_xlfn.RRI(5,Table1[[#This Row],[2019 AUV]],Table1[[#This Row],[2024 AUV]]))</f>
        <v>#DIV/0!</v>
      </c>
      <c r="P358" s="6">
        <f>_xlfn.RRI(5,Table1[[#This Row],[2019 U.S. Units]],Table1[[#This Row],[2024 U.S. Units]])</f>
        <v>-1</v>
      </c>
      <c r="Q358" s="5">
        <v>107800</v>
      </c>
      <c r="R358" s="6">
        <f>Table1[[#This Row],[2023 U.S. Sales ($000)]]/SUMIF($E:$E, E358, $Q:$Q)</f>
        <v>4.4688224188633059E-3</v>
      </c>
      <c r="S358" s="8">
        <f>(Table1[[#This Row],[2023 Market share (%)]]-Table1[[#This Row],[2022 Market share (%)]])*10000</f>
        <v>2.1654482456894431</v>
      </c>
      <c r="T358" s="10">
        <v>7.8E-2</v>
      </c>
      <c r="U358" s="5">
        <v>21</v>
      </c>
      <c r="V358" s="5">
        <f t="shared" si="40"/>
        <v>5133.333333333333</v>
      </c>
      <c r="W358" s="10">
        <v>0.05</v>
      </c>
      <c r="X358" s="10">
        <f t="shared" si="41"/>
        <v>5.9032979466348001E-2</v>
      </c>
      <c r="Y358" s="8">
        <f>(Table1[[#This Row],[2023 Market share (%)]]-Table1[[#This Row],[2019 Market share (%)]])*10000</f>
        <v>7.1611834817339588</v>
      </c>
      <c r="Z358" s="10">
        <f t="shared" si="42"/>
        <v>1.8996722922045128E-2</v>
      </c>
      <c r="AA358" s="10">
        <f t="shared" si="43"/>
        <v>3.9289877625411807E-2</v>
      </c>
      <c r="AB358" s="5">
        <v>100000</v>
      </c>
      <c r="AC358" s="6">
        <f>Table1[[#This Row],[2022 U.S. Sales ($000)]]/SUMIF($E:$E, E358, $AB:$AB)</f>
        <v>4.2522775942943616E-3</v>
      </c>
      <c r="AD358" s="5">
        <v>20</v>
      </c>
      <c r="AE358" s="5">
        <f t="shared" si="44"/>
        <v>5000</v>
      </c>
      <c r="AF358" s="5">
        <v>92400</v>
      </c>
      <c r="AG358" s="6">
        <f>Table1[[#This Row],[2021 U.S. Sales ($000)]]/SUMIF($E:$E, E358, $AF:$AF)</f>
        <v>4.254123080896708E-3</v>
      </c>
      <c r="AH358" s="5">
        <v>20</v>
      </c>
      <c r="AI358" s="12">
        <f t="shared" si="45"/>
        <v>4620</v>
      </c>
      <c r="AJ358" s="5">
        <v>71100</v>
      </c>
      <c r="AK358" s="6">
        <f>Table1[[#This Row],[2020 U.S. Sales ($000)]]/SUMIF($E:$E, E358, $AJ:$AJ)</f>
        <v>4.3602787315844913E-3</v>
      </c>
      <c r="AL358" s="5">
        <v>20</v>
      </c>
      <c r="AM358" s="5">
        <f t="shared" si="46"/>
        <v>3555</v>
      </c>
      <c r="AN358" s="5">
        <v>85700</v>
      </c>
      <c r="AO358" s="6">
        <f>Table1[[#This Row],[2019 U.S. Sales ($000)]]/SUMIF($E:$E, E358, $AN:$AN)</f>
        <v>3.75270407068991E-3</v>
      </c>
      <c r="AP358" s="5">
        <v>18</v>
      </c>
      <c r="AQ358" s="5">
        <f t="shared" si="47"/>
        <v>4761.1111111111113</v>
      </c>
    </row>
    <row r="359" spans="1:43" x14ac:dyDescent="0.25">
      <c r="A359" t="s">
        <v>424</v>
      </c>
      <c r="B359">
        <v>7706</v>
      </c>
      <c r="C359" t="s">
        <v>44</v>
      </c>
      <c r="D359" t="s">
        <v>56</v>
      </c>
      <c r="E359" t="s">
        <v>128</v>
      </c>
      <c r="F359" s="5">
        <v>327</v>
      </c>
      <c r="G359" s="5">
        <v>0</v>
      </c>
      <c r="H359" s="6">
        <f>Table1[[#This Row],[2024 U.S. Sales ($000)]]/SUMIF($E:$E, E359, $G:$G)</f>
        <v>0</v>
      </c>
      <c r="I359" s="5">
        <v>0</v>
      </c>
      <c r="J359" s="5" t="e">
        <f>Table1[[#This Row],[2024 U.S. Sales ($000)]]/Table1[[#This Row],[2024 U.S. Units]]</f>
        <v>#DIV/0!</v>
      </c>
      <c r="K359" s="6">
        <f>Table1[[#This Row],[2024 U.S. Units]]/Table1[[#This Row],[2023 U.S. Units]]-1</f>
        <v>-1</v>
      </c>
      <c r="L359" s="8">
        <f>(Table1[[#This Row],[2024 Market share (%)]]-Table1[[#This Row],[2023 Market share (%)]])*10000</f>
        <v>-197.9869594128657</v>
      </c>
      <c r="M359" s="6">
        <f>_xlfn.RRI(5,Table1[[#This Row],[2019 U.S. Sales ($000)]],Table1[[#This Row],[2024 U.S. Sales ($000)]])</f>
        <v>-1</v>
      </c>
      <c r="N359" s="9">
        <f>(Table1[[#This Row],[2024 Market share (%)]]-Table1[[#This Row],[2019 Market share (%)]])*10000</f>
        <v>-230.62207151301808</v>
      </c>
      <c r="O359" s="6" t="e">
        <f>IF(Table1[[#This Row],[2024 AUV]]=0,"",_xlfn.RRI(5,Table1[[#This Row],[2019 AUV]],Table1[[#This Row],[2024 AUV]]))</f>
        <v>#DIV/0!</v>
      </c>
      <c r="P359" s="6">
        <f>_xlfn.RRI(5,Table1[[#This Row],[2019 U.S. Units]],Table1[[#This Row],[2024 U.S. Units]])</f>
        <v>-1</v>
      </c>
      <c r="Q359" s="5">
        <v>102900</v>
      </c>
      <c r="R359" s="6">
        <f>Table1[[#This Row],[2023 U.S. Sales ($000)]]/SUMIF($E:$E, E359, $Q:$Q)</f>
        <v>1.9798695941286571E-2</v>
      </c>
      <c r="S359" s="8">
        <f>(Table1[[#This Row],[2023 Market share (%)]]-Table1[[#This Row],[2022 Market share (%)]])*10000</f>
        <v>-16.004081856706119</v>
      </c>
      <c r="T359" s="10">
        <v>8.5443037974683542E-2</v>
      </c>
      <c r="U359" s="5">
        <v>50</v>
      </c>
      <c r="V359" s="5">
        <f t="shared" si="40"/>
        <v>2058</v>
      </c>
      <c r="W359" s="10">
        <v>2.0408163265306121E-2</v>
      </c>
      <c r="X359" s="10">
        <f t="shared" si="41"/>
        <v>5.7435496424697918E-2</v>
      </c>
      <c r="Y359" s="8">
        <f>(Table1[[#This Row],[2023 Market share (%)]]-Table1[[#This Row],[2019 Market share (%)]])*10000</f>
        <v>-32.635112100152384</v>
      </c>
      <c r="Z359" s="10">
        <f t="shared" si="42"/>
        <v>2.9946135120749284E-2</v>
      </c>
      <c r="AA359" s="10">
        <f t="shared" si="43"/>
        <v>2.6690096080340897E-2</v>
      </c>
      <c r="AB359" s="5">
        <v>94800</v>
      </c>
      <c r="AC359" s="6">
        <f>Table1[[#This Row],[2022 U.S. Sales ($000)]]/SUMIF($E:$E, E359, $AB:$AB)</f>
        <v>2.1399104126957183E-2</v>
      </c>
      <c r="AD359" s="5">
        <v>49</v>
      </c>
      <c r="AE359" s="5">
        <f t="shared" si="44"/>
        <v>1934.6938775510205</v>
      </c>
      <c r="AF359" s="5">
        <v>86500</v>
      </c>
      <c r="AG359" s="6">
        <f>Table1[[#This Row],[2021 U.S. Sales ($000)]]/SUMIF($E:$E, E359, $AF:$AF)</f>
        <v>2.2926977180103732E-2</v>
      </c>
      <c r="AH359" s="5">
        <v>47</v>
      </c>
      <c r="AI359" s="12">
        <f t="shared" si="45"/>
        <v>1840.4255319148936</v>
      </c>
      <c r="AJ359" s="5">
        <v>67900</v>
      </c>
      <c r="AK359" s="6">
        <f>Table1[[#This Row],[2020 U.S. Sales ($000)]]/SUMIF($E:$E, E359, $AJ:$AJ)</f>
        <v>2.2157898687168977E-2</v>
      </c>
      <c r="AL359" s="5">
        <v>46</v>
      </c>
      <c r="AM359" s="5">
        <f t="shared" si="46"/>
        <v>1476.0869565217392</v>
      </c>
      <c r="AN359" s="5">
        <v>82300</v>
      </c>
      <c r="AO359" s="6">
        <f>Table1[[#This Row],[2019 U.S. Sales ($000)]]/SUMIF($E:$E, E359, $AN:$AN)</f>
        <v>2.3062207151301809E-2</v>
      </c>
      <c r="AP359" s="5">
        <v>45</v>
      </c>
      <c r="AQ359" s="5">
        <f t="shared" si="47"/>
        <v>1828.8888888888889</v>
      </c>
    </row>
    <row r="360" spans="1:43" x14ac:dyDescent="0.25">
      <c r="A360" t="s">
        <v>425</v>
      </c>
      <c r="B360">
        <v>8454</v>
      </c>
      <c r="C360" t="s">
        <v>68</v>
      </c>
      <c r="D360" t="s">
        <v>69</v>
      </c>
      <c r="E360" t="s">
        <v>73</v>
      </c>
      <c r="F360" s="5">
        <v>283</v>
      </c>
      <c r="G360" s="5">
        <v>0</v>
      </c>
      <c r="H360" s="6">
        <f>Table1[[#This Row],[2024 U.S. Sales ($000)]]/SUMIF($E:$E, E360, $G:$G)</f>
        <v>0</v>
      </c>
      <c r="I360" s="5">
        <v>0</v>
      </c>
      <c r="J360" s="5" t="e">
        <f>Table1[[#This Row],[2024 U.S. Sales ($000)]]/Table1[[#This Row],[2024 U.S. Units]]</f>
        <v>#DIV/0!</v>
      </c>
      <c r="K360" s="6">
        <f>Table1[[#This Row],[2024 U.S. Units]]/Table1[[#This Row],[2023 U.S. Units]]-1</f>
        <v>-1</v>
      </c>
      <c r="L360" s="8">
        <f>(Table1[[#This Row],[2024 Market share (%)]]-Table1[[#This Row],[2023 Market share (%)]])*10000</f>
        <v>-130.73877292233936</v>
      </c>
      <c r="M360" s="6">
        <f>_xlfn.RRI(5,Table1[[#This Row],[2019 U.S. Sales ($000)]],Table1[[#This Row],[2024 U.S. Sales ($000)]])</f>
        <v>-1</v>
      </c>
      <c r="N360" s="9">
        <f>(Table1[[#This Row],[2024 Market share (%)]]-Table1[[#This Row],[2019 Market share (%)]])*10000</f>
        <v>-110.30464570558267</v>
      </c>
      <c r="O360" s="6" t="e">
        <f>IF(Table1[[#This Row],[2024 AUV]]=0,"",_xlfn.RRI(5,Table1[[#This Row],[2019 AUV]],Table1[[#This Row],[2024 AUV]]))</f>
        <v>#DIV/0!</v>
      </c>
      <c r="P360" s="6">
        <f>_xlfn.RRI(5,Table1[[#This Row],[2019 U.S. Units]],Table1[[#This Row],[2024 U.S. Units]])</f>
        <v>-1</v>
      </c>
      <c r="Q360" s="5">
        <v>125640</v>
      </c>
      <c r="R360" s="6">
        <f>Table1[[#This Row],[2023 U.S. Sales ($000)]]/SUMIF($E:$E, E360, $Q:$Q)</f>
        <v>1.3073877292233936E-2</v>
      </c>
      <c r="S360" s="8">
        <f>(Table1[[#This Row],[2023 Market share (%)]]-Table1[[#This Row],[2022 Market share (%)]])*10000</f>
        <v>5.200782510582716E-2</v>
      </c>
      <c r="T360" s="10">
        <v>4.6816807058764717E-2</v>
      </c>
      <c r="U360" s="5">
        <v>45</v>
      </c>
      <c r="V360" s="5">
        <f t="shared" si="40"/>
        <v>2792</v>
      </c>
      <c r="W360" s="10">
        <v>7.1428571428571425E-2</v>
      </c>
      <c r="X360" s="10">
        <f t="shared" si="41"/>
        <v>5.710843057907411E-2</v>
      </c>
      <c r="Y360" s="8">
        <f>(Table1[[#This Row],[2023 Market share (%)]]-Table1[[#This Row],[2019 Market share (%)]])*10000</f>
        <v>20.434127216756686</v>
      </c>
      <c r="Z360" s="10">
        <f t="shared" si="42"/>
        <v>3.9031539289674289E-2</v>
      </c>
      <c r="AA360" s="10">
        <f t="shared" si="43"/>
        <v>1.7397827309224789E-2</v>
      </c>
      <c r="AB360" s="5">
        <v>120021</v>
      </c>
      <c r="AC360" s="6">
        <f>Table1[[#This Row],[2022 U.S. Sales ($000)]]/SUMIF($E:$E, E360, $AB:$AB)</f>
        <v>1.3068676509723353E-2</v>
      </c>
      <c r="AD360" s="5">
        <v>42</v>
      </c>
      <c r="AE360" s="5">
        <f t="shared" si="44"/>
        <v>2857.6428571428573</v>
      </c>
      <c r="AF360" s="5">
        <v>109343</v>
      </c>
      <c r="AG360" s="6">
        <f>Table1[[#This Row],[2021 U.S. Sales ($000)]]/SUMIF($E:$E, E360, $AF:$AF)</f>
        <v>1.3058309832444054E-2</v>
      </c>
      <c r="AH360" s="5">
        <v>41</v>
      </c>
      <c r="AI360" s="12">
        <f t="shared" si="45"/>
        <v>2666.9024390243903</v>
      </c>
      <c r="AJ360" s="5">
        <v>90554</v>
      </c>
      <c r="AK360" s="6">
        <f>Table1[[#This Row],[2020 U.S. Sales ($000)]]/SUMIF($E:$E, E360, $AJ:$AJ)</f>
        <v>1.3125900599213293E-2</v>
      </c>
      <c r="AL360" s="5">
        <v>41</v>
      </c>
      <c r="AM360" s="5">
        <f t="shared" si="46"/>
        <v>2208.6341463414633</v>
      </c>
      <c r="AN360" s="5">
        <v>100612</v>
      </c>
      <c r="AO360" s="6">
        <f>Table1[[#This Row],[2019 U.S. Sales ($000)]]/SUMIF($E:$E, E360, $AN:$AN)</f>
        <v>1.1030464570558268E-2</v>
      </c>
      <c r="AP360" s="5">
        <v>42</v>
      </c>
      <c r="AQ360" s="5">
        <f t="shared" si="47"/>
        <v>2395.5238095238096</v>
      </c>
    </row>
    <row r="361" spans="1:43" x14ac:dyDescent="0.25">
      <c r="A361" t="s">
        <v>426</v>
      </c>
      <c r="B361">
        <v>5967</v>
      </c>
      <c r="C361" t="s">
        <v>68</v>
      </c>
      <c r="D361" t="s">
        <v>69</v>
      </c>
      <c r="E361" t="s">
        <v>79</v>
      </c>
      <c r="F361" s="5">
        <v>311</v>
      </c>
      <c r="G361" s="5">
        <v>0</v>
      </c>
      <c r="H361" s="6">
        <f>Table1[[#This Row],[2024 U.S. Sales ($000)]]/SUMIF($E:$E, E361, $G:$G)</f>
        <v>0</v>
      </c>
      <c r="I361" s="5">
        <v>0</v>
      </c>
      <c r="J361" s="5" t="e">
        <f>Table1[[#This Row],[2024 U.S. Sales ($000)]]/Table1[[#This Row],[2024 U.S. Units]]</f>
        <v>#DIV/0!</v>
      </c>
      <c r="K361" s="6">
        <f>Table1[[#This Row],[2024 U.S. Units]]/Table1[[#This Row],[2023 U.S. Units]]-1</f>
        <v>-1</v>
      </c>
      <c r="L361" s="8">
        <f>(Table1[[#This Row],[2024 Market share (%)]]-Table1[[#This Row],[2023 Market share (%)]])*10000</f>
        <v>-45.641683517333014</v>
      </c>
      <c r="M361" s="6">
        <f>_xlfn.RRI(5,Table1[[#This Row],[2019 U.S. Sales ($000)]],Table1[[#This Row],[2024 U.S. Sales ($000)]])</f>
        <v>-1</v>
      </c>
      <c r="N361" s="9">
        <f>(Table1[[#This Row],[2024 Market share (%)]]-Table1[[#This Row],[2019 Market share (%)]])*10000</f>
        <v>-38.665550693339448</v>
      </c>
      <c r="O361" s="6" t="e">
        <f>IF(Table1[[#This Row],[2024 AUV]]=0,"",_xlfn.RRI(5,Table1[[#This Row],[2019 AUV]],Table1[[#This Row],[2024 AUV]]))</f>
        <v>#DIV/0!</v>
      </c>
      <c r="P361" s="6">
        <f>_xlfn.RRI(5,Table1[[#This Row],[2019 U.S. Units]],Table1[[#This Row],[2024 U.S. Units]])</f>
        <v>-1</v>
      </c>
      <c r="Q361" s="5">
        <v>110100</v>
      </c>
      <c r="R361" s="6">
        <f>Table1[[#This Row],[2023 U.S. Sales ($000)]]/SUMIF($E:$E, E361, $Q:$Q)</f>
        <v>4.5641683517333017E-3</v>
      </c>
      <c r="S361" s="8">
        <f>(Table1[[#This Row],[2023 Market share (%)]]-Table1[[#This Row],[2022 Market share (%)]])*10000</f>
        <v>3.5016125578758892</v>
      </c>
      <c r="T361" s="10">
        <v>0.11099899091826437</v>
      </c>
      <c r="U361" s="5">
        <v>19</v>
      </c>
      <c r="V361" s="5">
        <f t="shared" si="40"/>
        <v>5794.7368421052633</v>
      </c>
      <c r="W361" s="10">
        <v>5.5555555555555552E-2</v>
      </c>
      <c r="X361" s="10">
        <f t="shared" si="41"/>
        <v>5.6712035421696783E-2</v>
      </c>
      <c r="Y361" s="8">
        <f>(Table1[[#This Row],[2023 Market share (%)]]-Table1[[#This Row],[2019 Market share (%)]])*10000</f>
        <v>6.9761328239935709</v>
      </c>
      <c r="Z361" s="10">
        <f t="shared" si="42"/>
        <v>1.2274389311578648E-2</v>
      </c>
      <c r="AA361" s="10">
        <f t="shared" si="43"/>
        <v>4.3898814964921984E-2</v>
      </c>
      <c r="AB361" s="5">
        <v>99100</v>
      </c>
      <c r="AC361" s="6">
        <f>Table1[[#This Row],[2022 U.S. Sales ($000)]]/SUMIF($E:$E, E361, $AB:$AB)</f>
        <v>4.2140070959457128E-3</v>
      </c>
      <c r="AD361" s="5">
        <v>18</v>
      </c>
      <c r="AE361" s="5">
        <f t="shared" si="44"/>
        <v>5505.5555555555557</v>
      </c>
      <c r="AF361" s="5">
        <v>87700</v>
      </c>
      <c r="AG361" s="6">
        <f>Table1[[#This Row],[2021 U.S. Sales ($000)]]/SUMIF($E:$E, E361, $AF:$AF)</f>
        <v>4.037733703405209E-3</v>
      </c>
      <c r="AH361" s="5">
        <v>17</v>
      </c>
      <c r="AI361" s="12">
        <f t="shared" si="45"/>
        <v>5158.8235294117649</v>
      </c>
      <c r="AJ361" s="5">
        <v>72200</v>
      </c>
      <c r="AK361" s="6">
        <f>Table1[[#This Row],[2020 U.S. Sales ($000)]]/SUMIF($E:$E, E361, $AJ:$AJ)</f>
        <v>4.4277373336202575E-3</v>
      </c>
      <c r="AL361" s="5">
        <v>16</v>
      </c>
      <c r="AM361" s="5">
        <f t="shared" si="46"/>
        <v>4512.5</v>
      </c>
      <c r="AN361" s="5">
        <v>88300</v>
      </c>
      <c r="AO361" s="6">
        <f>Table1[[#This Row],[2019 U.S. Sales ($000)]]/SUMIF($E:$E, E361, $AN:$AN)</f>
        <v>3.8665550693339447E-3</v>
      </c>
      <c r="AP361" s="5">
        <v>16</v>
      </c>
      <c r="AQ361" s="5">
        <f t="shared" si="47"/>
        <v>5518.75</v>
      </c>
    </row>
    <row r="362" spans="1:43" x14ac:dyDescent="0.25">
      <c r="A362" t="s">
        <v>427</v>
      </c>
      <c r="B362">
        <v>31291</v>
      </c>
      <c r="C362" t="s">
        <v>68</v>
      </c>
      <c r="D362" t="s">
        <v>69</v>
      </c>
      <c r="E362" t="s">
        <v>79</v>
      </c>
      <c r="F362" s="5">
        <v>313</v>
      </c>
      <c r="G362" s="5">
        <v>0</v>
      </c>
      <c r="H362" s="6">
        <f>Table1[[#This Row],[2024 U.S. Sales ($000)]]/SUMIF($E:$E, E362, $G:$G)</f>
        <v>0</v>
      </c>
      <c r="I362" s="5">
        <v>0</v>
      </c>
      <c r="J362" s="5" t="e">
        <f>Table1[[#This Row],[2024 U.S. Sales ($000)]]/Table1[[#This Row],[2024 U.S. Units]]</f>
        <v>#DIV/0!</v>
      </c>
      <c r="K362" s="6">
        <f>Table1[[#This Row],[2024 U.S. Units]]/Table1[[#This Row],[2023 U.S. Units]]-1</f>
        <v>-1</v>
      </c>
      <c r="L362" s="8">
        <f>(Table1[[#This Row],[2024 Market share (%)]]-Table1[[#This Row],[2023 Market share (%)]])*10000</f>
        <v>-45.231696005992035</v>
      </c>
      <c r="M362" s="6">
        <f>_xlfn.RRI(5,Table1[[#This Row],[2019 U.S. Sales ($000)]],Table1[[#This Row],[2024 U.S. Sales ($000)]])</f>
        <v>-1</v>
      </c>
      <c r="N362" s="9">
        <f>(Table1[[#This Row],[2024 Market share (%)]]-Table1[[#This Row],[2019 Market share (%)]])*10000</f>
        <v>-38.338448016466003</v>
      </c>
      <c r="O362" s="6" t="e">
        <f>IF(Table1[[#This Row],[2024 AUV]]=0,"",_xlfn.RRI(5,Table1[[#This Row],[2019 AUV]],Table1[[#This Row],[2024 AUV]]))</f>
        <v>#DIV/0!</v>
      </c>
      <c r="P362" s="6">
        <f>_xlfn.RRI(5,Table1[[#This Row],[2019 U.S. Units]],Table1[[#This Row],[2024 U.S. Units]])</f>
        <v>-1</v>
      </c>
      <c r="Q362" s="5">
        <v>109111</v>
      </c>
      <c r="R362" s="6">
        <f>Table1[[#This Row],[2023 U.S. Sales ($000)]]/SUMIF($E:$E, E362, $Q:$Q)</f>
        <v>4.5231696005992037E-3</v>
      </c>
      <c r="S362" s="8">
        <f>(Table1[[#This Row],[2023 Market share (%)]]-Table1[[#This Row],[2022 Market share (%)]])*10000</f>
        <v>-1.3907007656107762</v>
      </c>
      <c r="T362" s="10">
        <v>-4.8339580996160196E-3</v>
      </c>
      <c r="U362" s="5">
        <v>41</v>
      </c>
      <c r="V362" s="5">
        <f t="shared" si="40"/>
        <v>2661.2439024390242</v>
      </c>
      <c r="W362" s="10">
        <v>0</v>
      </c>
      <c r="X362" s="10">
        <f t="shared" si="41"/>
        <v>5.6572678108168128E-2</v>
      </c>
      <c r="Y362" s="8">
        <f>(Table1[[#This Row],[2023 Market share (%)]]-Table1[[#This Row],[2019 Market share (%)]])*10000</f>
        <v>6.8932479895260315</v>
      </c>
      <c r="Z362" s="10">
        <f t="shared" si="42"/>
        <v>4.3445003180313524E-2</v>
      </c>
      <c r="AA362" s="10">
        <f t="shared" si="43"/>
        <v>1.2581089456409122E-2</v>
      </c>
      <c r="AB362" s="5">
        <v>109641</v>
      </c>
      <c r="AC362" s="6">
        <f>Table1[[#This Row],[2022 U.S. Sales ($000)]]/SUMIF($E:$E, E362, $AB:$AB)</f>
        <v>4.6622396771602813E-3</v>
      </c>
      <c r="AD362" s="5">
        <v>41</v>
      </c>
      <c r="AE362" s="5">
        <f t="shared" si="44"/>
        <v>2674.1707317073169</v>
      </c>
      <c r="AF362" s="5">
        <v>94895</v>
      </c>
      <c r="AG362" s="6">
        <f>Table1[[#This Row],[2021 U.S. Sales ($000)]]/SUMIF($E:$E, E362, $AF:$AF)</f>
        <v>4.3689936121395359E-3</v>
      </c>
      <c r="AH362" s="5">
        <v>41</v>
      </c>
      <c r="AI362" s="12">
        <f t="shared" si="45"/>
        <v>2314.5121951219512</v>
      </c>
      <c r="AJ362" s="5">
        <v>81815</v>
      </c>
      <c r="AK362" s="6">
        <f>Table1[[#This Row],[2020 U.S. Sales ($000)]]/SUMIF($E:$E, E362, $AJ:$AJ)</f>
        <v>5.0173868414147005E-3</v>
      </c>
      <c r="AL362" s="5">
        <v>39</v>
      </c>
      <c r="AM362" s="5">
        <f t="shared" si="46"/>
        <v>2097.8205128205127</v>
      </c>
      <c r="AN362" s="5">
        <v>87553</v>
      </c>
      <c r="AO362" s="6">
        <f>Table1[[#This Row],[2019 U.S. Sales ($000)]]/SUMIF($E:$E, E362, $AN:$AN)</f>
        <v>3.8338448016466005E-3</v>
      </c>
      <c r="AP362" s="5">
        <v>39</v>
      </c>
      <c r="AQ362" s="5">
        <f t="shared" si="47"/>
        <v>2244.9487179487178</v>
      </c>
    </row>
    <row r="363" spans="1:43" x14ac:dyDescent="0.25">
      <c r="A363" t="s">
        <v>428</v>
      </c>
      <c r="B363">
        <v>2517</v>
      </c>
      <c r="C363" t="s">
        <v>44</v>
      </c>
      <c r="D363" t="s">
        <v>45</v>
      </c>
      <c r="E363" t="s">
        <v>112</v>
      </c>
      <c r="F363" s="5">
        <v>470</v>
      </c>
      <c r="G363" s="5">
        <v>0</v>
      </c>
      <c r="H363" s="6">
        <f>Table1[[#This Row],[2024 U.S. Sales ($000)]]/SUMIF($E:$E, E363, $G:$G)</f>
        <v>0</v>
      </c>
      <c r="I363" s="5">
        <v>0</v>
      </c>
      <c r="J363" s="5" t="e">
        <f>Table1[[#This Row],[2024 U.S. Sales ($000)]]/Table1[[#This Row],[2024 U.S. Units]]</f>
        <v>#DIV/0!</v>
      </c>
      <c r="K363" s="6">
        <f>Table1[[#This Row],[2024 U.S. Units]]/Table1[[#This Row],[2023 U.S. Units]]-1</f>
        <v>-1</v>
      </c>
      <c r="L363" s="8">
        <f>(Table1[[#This Row],[2024 Market share (%)]]-Table1[[#This Row],[2023 Market share (%)]])*10000</f>
        <v>-76.854931845022278</v>
      </c>
      <c r="M363" s="6">
        <f>_xlfn.RRI(5,Table1[[#This Row],[2019 U.S. Sales ($000)]],Table1[[#This Row],[2024 U.S. Sales ($000)]])</f>
        <v>-1</v>
      </c>
      <c r="N363" s="9">
        <f>(Table1[[#This Row],[2024 Market share (%)]]-Table1[[#This Row],[2019 Market share (%)]])*10000</f>
        <v>-105.42035646493424</v>
      </c>
      <c r="O363" s="6" t="e">
        <f>IF(Table1[[#This Row],[2024 AUV]]=0,"",_xlfn.RRI(5,Table1[[#This Row],[2019 AUV]],Table1[[#This Row],[2024 AUV]]))</f>
        <v>#DIV/0!</v>
      </c>
      <c r="P363" s="6">
        <f>_xlfn.RRI(5,Table1[[#This Row],[2019 U.S. Units]],Table1[[#This Row],[2024 U.S. Units]])</f>
        <v>-1</v>
      </c>
      <c r="Q363" s="5">
        <v>63600</v>
      </c>
      <c r="R363" s="6">
        <f>Table1[[#This Row],[2023 U.S. Sales ($000)]]/SUMIF($E:$E, E363, $Q:$Q)</f>
        <v>7.6854931845022276E-3</v>
      </c>
      <c r="S363" s="8">
        <f>(Table1[[#This Row],[2023 Market share (%)]]-Table1[[#This Row],[2022 Market share (%)]])*10000</f>
        <v>-5.7961573947137159</v>
      </c>
      <c r="T363" s="10">
        <v>4.2622950819672129E-2</v>
      </c>
      <c r="U363" s="5">
        <v>155</v>
      </c>
      <c r="V363" s="5">
        <f t="shared" si="40"/>
        <v>410.32258064516128</v>
      </c>
      <c r="W363" s="10">
        <v>0</v>
      </c>
      <c r="X363" s="10">
        <f t="shared" si="41"/>
        <v>5.5715234453845408E-2</v>
      </c>
      <c r="Y363" s="8">
        <f>(Table1[[#This Row],[2023 Market share (%)]]-Table1[[#This Row],[2019 Market share (%)]])*10000</f>
        <v>-28.565424619911973</v>
      </c>
      <c r="Z363" s="10">
        <f t="shared" si="42"/>
        <v>4.7096429979500254E-2</v>
      </c>
      <c r="AA363" s="10">
        <f t="shared" si="43"/>
        <v>8.2311468433848844E-3</v>
      </c>
      <c r="AB363" s="5">
        <v>61000</v>
      </c>
      <c r="AC363" s="6">
        <f>Table1[[#This Row],[2022 U.S. Sales ($000)]]/SUMIF($E:$E, E363, $AB:$AB)</f>
        <v>8.2651089239735992E-3</v>
      </c>
      <c r="AD363" s="5">
        <v>155</v>
      </c>
      <c r="AE363" s="5">
        <f t="shared" si="44"/>
        <v>393.54838709677421</v>
      </c>
      <c r="AF363" s="5">
        <v>57700</v>
      </c>
      <c r="AG363" s="6">
        <f>Table1[[#This Row],[2021 U.S. Sales ($000)]]/SUMIF($E:$E, E363, $AF:$AF)</f>
        <v>9.2233226980057165E-3</v>
      </c>
      <c r="AH363" s="5">
        <v>154</v>
      </c>
      <c r="AI363" s="12">
        <f t="shared" si="45"/>
        <v>374.6753246753247</v>
      </c>
      <c r="AJ363" s="5">
        <v>47900</v>
      </c>
      <c r="AK363" s="6">
        <f>Table1[[#This Row],[2020 U.S. Sales ($000)]]/SUMIF($E:$E, E363, $AJ:$AJ)</f>
        <v>1.0378429160829252E-2</v>
      </c>
      <c r="AL363" s="5">
        <v>153</v>
      </c>
      <c r="AM363" s="5">
        <f t="shared" si="46"/>
        <v>313.07189542483661</v>
      </c>
      <c r="AN363" s="5">
        <v>51200</v>
      </c>
      <c r="AO363" s="6">
        <f>Table1[[#This Row],[2019 U.S. Sales ($000)]]/SUMIF($E:$E, E363, $AN:$AN)</f>
        <v>1.0542035646493425E-2</v>
      </c>
      <c r="AP363" s="5">
        <v>150</v>
      </c>
      <c r="AQ363" s="5">
        <f t="shared" si="47"/>
        <v>341.33333333333331</v>
      </c>
    </row>
    <row r="364" spans="1:43" x14ac:dyDescent="0.25">
      <c r="A364" t="s">
        <v>429</v>
      </c>
      <c r="B364">
        <v>31298</v>
      </c>
      <c r="C364" t="s">
        <v>68</v>
      </c>
      <c r="D364" t="s">
        <v>92</v>
      </c>
      <c r="E364" t="s">
        <v>93</v>
      </c>
      <c r="F364" s="5">
        <v>332</v>
      </c>
      <c r="G364" s="5">
        <v>0</v>
      </c>
      <c r="H364" s="6">
        <f>Table1[[#This Row],[2024 U.S. Sales ($000)]]/SUMIF($E:$E, E364, $G:$G)</f>
        <v>0</v>
      </c>
      <c r="I364" s="5">
        <v>0</v>
      </c>
      <c r="J364" s="5" t="e">
        <f>Table1[[#This Row],[2024 U.S. Sales ($000)]]/Table1[[#This Row],[2024 U.S. Units]]</f>
        <v>#DIV/0!</v>
      </c>
      <c r="K364" s="6">
        <f>Table1[[#This Row],[2024 U.S. Units]]/Table1[[#This Row],[2023 U.S. Units]]-1</f>
        <v>-1</v>
      </c>
      <c r="L364" s="8">
        <f>(Table1[[#This Row],[2024 Market share (%)]]-Table1[[#This Row],[2023 Market share (%)]])*10000</f>
        <v>-57.881716046169373</v>
      </c>
      <c r="M364" s="6">
        <f>_xlfn.RRI(5,Table1[[#This Row],[2019 U.S. Sales ($000)]],Table1[[#This Row],[2024 U.S. Sales ($000)]])</f>
        <v>-1</v>
      </c>
      <c r="N364" s="9">
        <f>(Table1[[#This Row],[2024 Market share (%)]]-Table1[[#This Row],[2019 Market share (%)]])*10000</f>
        <v>-48.216477228632563</v>
      </c>
      <c r="O364" s="6" t="e">
        <f>IF(Table1[[#This Row],[2024 AUV]]=0,"",_xlfn.RRI(5,Table1[[#This Row],[2019 AUV]],Table1[[#This Row],[2024 AUV]]))</f>
        <v>#DIV/0!</v>
      </c>
      <c r="P364" s="6">
        <f>_xlfn.RRI(5,Table1[[#This Row],[2019 U.S. Units]],Table1[[#This Row],[2024 U.S. Units]])</f>
        <v>-1</v>
      </c>
      <c r="Q364" s="5">
        <v>101295</v>
      </c>
      <c r="R364" s="6">
        <f>Table1[[#This Row],[2023 U.S. Sales ($000)]]/SUMIF($E:$E, E364, $Q:$Q)</f>
        <v>5.7881716046169372E-3</v>
      </c>
      <c r="S364" s="8">
        <f>(Table1[[#This Row],[2023 Market share (%)]]-Table1[[#This Row],[2022 Market share (%)]])*10000</f>
        <v>-1.187010623166975</v>
      </c>
      <c r="T364" s="10">
        <v>3.8284132841328415E-2</v>
      </c>
      <c r="U364" s="5">
        <v>58</v>
      </c>
      <c r="V364" s="5">
        <f t="shared" si="40"/>
        <v>1746.4655172413793</v>
      </c>
      <c r="W364" s="10">
        <v>7.407407407407407E-2</v>
      </c>
      <c r="X364" s="10">
        <f t="shared" si="41"/>
        <v>5.5216292452051619E-2</v>
      </c>
      <c r="Y364" s="8">
        <f>(Table1[[#This Row],[2023 Market share (%)]]-Table1[[#This Row],[2019 Market share (%)]])*10000</f>
        <v>9.6652388175368085</v>
      </c>
      <c r="Z364" s="10">
        <f t="shared" si="42"/>
        <v>-4.1958139298496899E-3</v>
      </c>
      <c r="AA364" s="10">
        <f t="shared" si="43"/>
        <v>5.9662438874017676E-2</v>
      </c>
      <c r="AB364" s="5">
        <v>97560</v>
      </c>
      <c r="AC364" s="6">
        <f>Table1[[#This Row],[2022 U.S. Sales ($000)]]/SUMIF($E:$E, E364, $AB:$AB)</f>
        <v>5.9068726669336347E-3</v>
      </c>
      <c r="AD364" s="5">
        <v>54</v>
      </c>
      <c r="AE364" s="5">
        <f t="shared" si="44"/>
        <v>1806.6666666666667</v>
      </c>
      <c r="AF364" s="5">
        <v>90768</v>
      </c>
      <c r="AG364" s="6">
        <f>Table1[[#This Row],[2021 U.S. Sales ($000)]]/SUMIF($E:$E, E364, $AF:$AF)</f>
        <v>6.0120881600717151E-3</v>
      </c>
      <c r="AH364" s="5">
        <v>51</v>
      </c>
      <c r="AI364" s="12">
        <f t="shared" si="45"/>
        <v>1779.7647058823529</v>
      </c>
      <c r="AJ364" s="5">
        <v>64100</v>
      </c>
      <c r="AK364" s="6">
        <f>Table1[[#This Row],[2020 U.S. Sales ($000)]]/SUMIF($E:$E, E364, $AJ:$AJ)</f>
        <v>6.0064219051302057E-3</v>
      </c>
      <c r="AL364" s="5">
        <v>50</v>
      </c>
      <c r="AM364" s="5">
        <f t="shared" si="46"/>
        <v>1282</v>
      </c>
      <c r="AN364" s="5">
        <v>81700</v>
      </c>
      <c r="AO364" s="6">
        <f>Table1[[#This Row],[2019 U.S. Sales ($000)]]/SUMIF($E:$E, E364, $AN:$AN)</f>
        <v>4.8216477228632563E-3</v>
      </c>
      <c r="AP364" s="5">
        <v>46</v>
      </c>
      <c r="AQ364" s="5">
        <f t="shared" si="47"/>
        <v>1776.0869565217392</v>
      </c>
    </row>
    <row r="365" spans="1:43" x14ac:dyDescent="0.25">
      <c r="A365" t="s">
        <v>430</v>
      </c>
      <c r="B365">
        <v>29885</v>
      </c>
      <c r="C365" t="s">
        <v>68</v>
      </c>
      <c r="D365" t="s">
        <v>69</v>
      </c>
      <c r="E365" t="s">
        <v>87</v>
      </c>
      <c r="F365" s="5">
        <v>453</v>
      </c>
      <c r="G365" s="5">
        <v>0</v>
      </c>
      <c r="H365" s="6">
        <f>Table1[[#This Row],[2024 U.S. Sales ($000)]]/SUMIF($E:$E, E365, $G:$G)</f>
        <v>0</v>
      </c>
      <c r="I365" s="5">
        <v>0</v>
      </c>
      <c r="J365" s="5" t="e">
        <f>Table1[[#This Row],[2024 U.S. Sales ($000)]]/Table1[[#This Row],[2024 U.S. Units]]</f>
        <v>#DIV/0!</v>
      </c>
      <c r="K365" s="6">
        <f>Table1[[#This Row],[2024 U.S. Units]]/Table1[[#This Row],[2023 U.S. Units]]-1</f>
        <v>-1</v>
      </c>
      <c r="L365" s="8">
        <f>(Table1[[#This Row],[2024 Market share (%)]]-Table1[[#This Row],[2023 Market share (%)]])*10000</f>
        <v>-68.711570874703426</v>
      </c>
      <c r="M365" s="6">
        <f>_xlfn.RRI(5,Table1[[#This Row],[2019 U.S. Sales ($000)]],Table1[[#This Row],[2024 U.S. Sales ($000)]])</f>
        <v>-1</v>
      </c>
      <c r="N365" s="9">
        <f>(Table1[[#This Row],[2024 Market share (%)]]-Table1[[#This Row],[2019 Market share (%)]])*10000</f>
        <v>-63.209411729517001</v>
      </c>
      <c r="O365" s="6" t="e">
        <f>IF(Table1[[#This Row],[2024 AUV]]=0,"",_xlfn.RRI(5,Table1[[#This Row],[2019 AUV]],Table1[[#This Row],[2024 AUV]]))</f>
        <v>#DIV/0!</v>
      </c>
      <c r="P365" s="6">
        <f>_xlfn.RRI(5,Table1[[#This Row],[2019 U.S. Units]],Table1[[#This Row],[2024 U.S. Units]])</f>
        <v>-1</v>
      </c>
      <c r="Q365" s="5">
        <v>67000</v>
      </c>
      <c r="R365" s="6">
        <f>Table1[[#This Row],[2023 U.S. Sales ($000)]]/SUMIF($E:$E, E365, $Q:$Q)</f>
        <v>6.8711570874703427E-3</v>
      </c>
      <c r="S365" s="8">
        <f>(Table1[[#This Row],[2023 Market share (%)]]-Table1[[#This Row],[2022 Market share (%)]])*10000</f>
        <v>2.4937046963116432</v>
      </c>
      <c r="T365" s="10">
        <v>8.0645161290322578E-2</v>
      </c>
      <c r="U365" s="5">
        <v>29</v>
      </c>
      <c r="V365" s="5">
        <f t="shared" si="40"/>
        <v>2310.344827586207</v>
      </c>
      <c r="W365" s="10">
        <v>3.5714285714285712E-2</v>
      </c>
      <c r="X365" s="10">
        <f t="shared" si="41"/>
        <v>5.4919655796203504E-2</v>
      </c>
      <c r="Y365" s="8">
        <f>(Table1[[#This Row],[2023 Market share (%)]]-Table1[[#This Row],[2019 Market share (%)]])*10000</f>
        <v>5.502159145186428</v>
      </c>
      <c r="Z365" s="10">
        <f t="shared" si="42"/>
        <v>1.649415821039657E-2</v>
      </c>
      <c r="AA365" s="10">
        <f t="shared" si="43"/>
        <v>3.7801985653766579E-2</v>
      </c>
      <c r="AB365" s="5">
        <v>62000</v>
      </c>
      <c r="AC365" s="6">
        <f>Table1[[#This Row],[2022 U.S. Sales ($000)]]/SUMIF($E:$E, E365, $AB:$AB)</f>
        <v>6.6217866178391784E-3</v>
      </c>
      <c r="AD365" s="5">
        <v>28</v>
      </c>
      <c r="AE365" s="5">
        <f t="shared" si="44"/>
        <v>2214.2857142857142</v>
      </c>
      <c r="AF365" s="5">
        <v>57200</v>
      </c>
      <c r="AG365" s="6">
        <f>Table1[[#This Row],[2021 U.S. Sales ($000)]]/SUMIF($E:$E, E365, $AF:$AF)</f>
        <v>6.7068782319355744E-3</v>
      </c>
      <c r="AH365" s="5">
        <v>27</v>
      </c>
      <c r="AI365" s="12">
        <f t="shared" si="45"/>
        <v>2118.5185185185187</v>
      </c>
      <c r="AJ365" s="5">
        <v>44100</v>
      </c>
      <c r="AK365" s="6">
        <f>Table1[[#This Row],[2020 U.S. Sales ($000)]]/SUMIF($E:$E, E365, $AJ:$AJ)</f>
        <v>6.6560481819404362E-3</v>
      </c>
      <c r="AL365" s="5">
        <v>26</v>
      </c>
      <c r="AM365" s="5">
        <f t="shared" si="46"/>
        <v>1696.1538461538462</v>
      </c>
      <c r="AN365" s="5">
        <v>54100</v>
      </c>
      <c r="AO365" s="6">
        <f>Table1[[#This Row],[2019 U.S. Sales ($000)]]/SUMIF($E:$E, E365, $AN:$AN)</f>
        <v>6.3209411729516999E-3</v>
      </c>
      <c r="AP365" s="5">
        <v>25</v>
      </c>
      <c r="AQ365" s="5">
        <f t="shared" si="47"/>
        <v>2164</v>
      </c>
    </row>
    <row r="366" spans="1:43" x14ac:dyDescent="0.25">
      <c r="A366" t="s">
        <v>431</v>
      </c>
      <c r="B366">
        <v>2631</v>
      </c>
      <c r="C366" t="s">
        <v>44</v>
      </c>
      <c r="D366" t="s">
        <v>45</v>
      </c>
      <c r="E366" t="s">
        <v>61</v>
      </c>
      <c r="F366" s="5">
        <v>264</v>
      </c>
      <c r="G366" s="5">
        <v>0</v>
      </c>
      <c r="H366" s="6">
        <f>Table1[[#This Row],[2024 U.S. Sales ($000)]]/SUMIF($E:$E, E366, $G:$G)</f>
        <v>0</v>
      </c>
      <c r="I366" s="5">
        <v>0</v>
      </c>
      <c r="J366" s="5" t="e">
        <f>Table1[[#This Row],[2024 U.S. Sales ($000)]]/Table1[[#This Row],[2024 U.S. Units]]</f>
        <v>#DIV/0!</v>
      </c>
      <c r="K366" s="6">
        <f>Table1[[#This Row],[2024 U.S. Units]]/Table1[[#This Row],[2023 U.S. Units]]-1</f>
        <v>-1</v>
      </c>
      <c r="L366" s="8">
        <f>(Table1[[#This Row],[2024 Market share (%)]]-Table1[[#This Row],[2023 Market share (%)]])*10000</f>
        <v>-45.012932133560284</v>
      </c>
      <c r="M366" s="6">
        <f>_xlfn.RRI(5,Table1[[#This Row],[2019 U.S. Sales ($000)]],Table1[[#This Row],[2024 U.S. Sales ($000)]])</f>
        <v>-1</v>
      </c>
      <c r="N366" s="9">
        <f>(Table1[[#This Row],[2024 Market share (%)]]-Table1[[#This Row],[2019 Market share (%)]])*10000</f>
        <v>-43.78375829474583</v>
      </c>
      <c r="O366" s="6" t="e">
        <f>IF(Table1[[#This Row],[2024 AUV]]=0,"",_xlfn.RRI(5,Table1[[#This Row],[2019 AUV]],Table1[[#This Row],[2024 AUV]]))</f>
        <v>#DIV/0!</v>
      </c>
      <c r="P366" s="6">
        <f>_xlfn.RRI(5,Table1[[#This Row],[2019 U.S. Units]],Table1[[#This Row],[2024 U.S. Units]])</f>
        <v>-1</v>
      </c>
      <c r="Q366" s="5">
        <v>137500</v>
      </c>
      <c r="R366" s="6">
        <f>Table1[[#This Row],[2023 U.S. Sales ($000)]]/SUMIF($E:$E, E366, $Q:$Q)</f>
        <v>4.5012932133560281E-3</v>
      </c>
      <c r="S366" s="8">
        <f>(Table1[[#This Row],[2023 Market share (%)]]-Table1[[#This Row],[2022 Market share (%)]])*10000</f>
        <v>1.8755049579513918</v>
      </c>
      <c r="T366" s="10">
        <v>7.3816068974134702E-2</v>
      </c>
      <c r="U366" s="5">
        <v>120</v>
      </c>
      <c r="V366" s="5">
        <f t="shared" si="40"/>
        <v>1145.8333333333333</v>
      </c>
      <c r="W366" s="10">
        <v>3.4482758620689655E-2</v>
      </c>
      <c r="X366" s="10">
        <f t="shared" si="41"/>
        <v>5.0282341404111142E-2</v>
      </c>
      <c r="Y366" s="8">
        <f>(Table1[[#This Row],[2023 Market share (%)]]-Table1[[#This Row],[2019 Market share (%)]])*10000</f>
        <v>1.2291738388144502</v>
      </c>
      <c r="Z366" s="10">
        <f t="shared" si="42"/>
        <v>2.0602661596411442E-2</v>
      </c>
      <c r="AA366" s="10">
        <f t="shared" si="43"/>
        <v>2.9080543216764676E-2</v>
      </c>
      <c r="AB366" s="5">
        <v>128048</v>
      </c>
      <c r="AC366" s="6">
        <f>Table1[[#This Row],[2022 U.S. Sales ($000)]]/SUMIF($E:$E, E366, $AB:$AB)</f>
        <v>4.3137427175608889E-3</v>
      </c>
      <c r="AD366" s="5">
        <v>116</v>
      </c>
      <c r="AE366" s="5">
        <f t="shared" si="44"/>
        <v>1103.8620689655172</v>
      </c>
      <c r="AF366" s="5">
        <v>113647</v>
      </c>
      <c r="AG366" s="6">
        <f>Table1[[#This Row],[2021 U.S. Sales ($000)]]/SUMIF($E:$E, E366, $AF:$AF)</f>
        <v>3.9096191899426732E-3</v>
      </c>
      <c r="AH366" s="5">
        <v>110</v>
      </c>
      <c r="AI366" s="12">
        <f t="shared" si="45"/>
        <v>1033.1545454545455</v>
      </c>
      <c r="AJ366" s="5">
        <v>114000</v>
      </c>
      <c r="AK366" s="6">
        <f>Table1[[#This Row],[2020 U.S. Sales ($000)]]/SUMIF($E:$E, E366, $AJ:$AJ)</f>
        <v>4.211783395073521E-3</v>
      </c>
      <c r="AL366" s="5">
        <v>104</v>
      </c>
      <c r="AM366" s="5">
        <f t="shared" si="46"/>
        <v>1096.1538461538462</v>
      </c>
      <c r="AN366" s="5">
        <v>113000</v>
      </c>
      <c r="AO366" s="6">
        <f>Table1[[#This Row],[2019 U.S. Sales ($000)]]/SUMIF($E:$E, E366, $AN:$AN)</f>
        <v>4.3783758294745831E-3</v>
      </c>
      <c r="AP366" s="5">
        <v>107</v>
      </c>
      <c r="AQ366" s="5">
        <f t="shared" si="47"/>
        <v>1056.0747663551401</v>
      </c>
    </row>
    <row r="367" spans="1:43" x14ac:dyDescent="0.25">
      <c r="A367" t="s">
        <v>432</v>
      </c>
      <c r="B367">
        <v>29823</v>
      </c>
      <c r="C367" t="s">
        <v>68</v>
      </c>
      <c r="D367" t="s">
        <v>69</v>
      </c>
      <c r="E367" t="s">
        <v>52</v>
      </c>
      <c r="F367" s="5">
        <v>315</v>
      </c>
      <c r="G367" s="5">
        <v>0</v>
      </c>
      <c r="H367" s="6">
        <f>Table1[[#This Row],[2024 U.S. Sales ($000)]]/SUMIF($E:$E, E367, $G:$G)</f>
        <v>0</v>
      </c>
      <c r="I367" s="5">
        <v>0</v>
      </c>
      <c r="J367" s="5" t="e">
        <f>Table1[[#This Row],[2024 U.S. Sales ($000)]]/Table1[[#This Row],[2024 U.S. Units]]</f>
        <v>#DIV/0!</v>
      </c>
      <c r="K367" s="6">
        <f>Table1[[#This Row],[2024 U.S. Units]]/Table1[[#This Row],[2023 U.S. Units]]-1</f>
        <v>-1</v>
      </c>
      <c r="L367" s="8">
        <f>(Table1[[#This Row],[2024 Market share (%)]]-Table1[[#This Row],[2023 Market share (%)]])*10000</f>
        <v>-32.367404554840292</v>
      </c>
      <c r="M367" s="6">
        <f>_xlfn.RRI(5,Table1[[#This Row],[2019 U.S. Sales ($000)]],Table1[[#This Row],[2024 U.S. Sales ($000)]])</f>
        <v>-1</v>
      </c>
      <c r="N367" s="9">
        <f>(Table1[[#This Row],[2024 Market share (%)]]-Table1[[#This Row],[2019 Market share (%)]])*10000</f>
        <v>-36.46443480126058</v>
      </c>
      <c r="O367" s="6" t="e">
        <f>IF(Table1[[#This Row],[2024 AUV]]=0,"",_xlfn.RRI(5,Table1[[#This Row],[2019 AUV]],Table1[[#This Row],[2024 AUV]]))</f>
        <v>#DIV/0!</v>
      </c>
      <c r="P367" s="6">
        <f>_xlfn.RRI(5,Table1[[#This Row],[2019 U.S. Units]],Table1[[#This Row],[2024 U.S. Units]])</f>
        <v>-1</v>
      </c>
      <c r="Q367" s="5">
        <v>107100</v>
      </c>
      <c r="R367" s="6">
        <f>Table1[[#This Row],[2023 U.S. Sales ($000)]]/SUMIF($E:$E, E367, $Q:$Q)</f>
        <v>3.2367404554840295E-3</v>
      </c>
      <c r="S367" s="8">
        <f>(Table1[[#This Row],[2023 Market share (%)]]-Table1[[#This Row],[2022 Market share (%)]])*10000</f>
        <v>-0.219245477117401</v>
      </c>
      <c r="T367" s="10">
        <v>8.5106382978723402E-2</v>
      </c>
      <c r="U367" s="5">
        <v>50</v>
      </c>
      <c r="V367" s="5">
        <f t="shared" si="40"/>
        <v>2142</v>
      </c>
      <c r="W367" s="10">
        <v>4.1666666666666664E-2</v>
      </c>
      <c r="X367" s="10">
        <f t="shared" si="41"/>
        <v>4.9142067862124161E-2</v>
      </c>
      <c r="Y367" s="8">
        <f>(Table1[[#This Row],[2023 Market share (%)]]-Table1[[#This Row],[2019 Market share (%)]])*10000</f>
        <v>-4.0970302464202843</v>
      </c>
      <c r="Z367" s="10">
        <f t="shared" si="42"/>
        <v>1.6143326986074014E-2</v>
      </c>
      <c r="AA367" s="10">
        <f t="shared" si="43"/>
        <v>3.247449449274642E-2</v>
      </c>
      <c r="AB367" s="5">
        <v>98700</v>
      </c>
      <c r="AC367" s="6">
        <f>Table1[[#This Row],[2022 U.S. Sales ($000)]]/SUMIF($E:$E, E367, $AB:$AB)</f>
        <v>3.2586650031957696E-3</v>
      </c>
      <c r="AD367" s="5">
        <v>48</v>
      </c>
      <c r="AE367" s="5">
        <f t="shared" si="44"/>
        <v>2056.25</v>
      </c>
      <c r="AF367" s="5">
        <v>86000</v>
      </c>
      <c r="AG367" s="6">
        <f>Table1[[#This Row],[2021 U.S. Sales ($000)]]/SUMIF($E:$E, E367, $AF:$AF)</f>
        <v>3.1376262091900634E-3</v>
      </c>
      <c r="AH367" s="5">
        <v>46</v>
      </c>
      <c r="AI367" s="12">
        <f t="shared" si="45"/>
        <v>1869.5652173913043</v>
      </c>
      <c r="AJ367" s="5">
        <v>67200</v>
      </c>
      <c r="AK367" s="6">
        <f>Table1[[#This Row],[2020 U.S. Sales ($000)]]/SUMIF($E:$E, E367, $AJ:$AJ)</f>
        <v>2.8508838821843388E-3</v>
      </c>
      <c r="AL367" s="5">
        <v>45</v>
      </c>
      <c r="AM367" s="5">
        <f t="shared" si="46"/>
        <v>1493.3333333333333</v>
      </c>
      <c r="AN367" s="5">
        <v>88400</v>
      </c>
      <c r="AO367" s="6">
        <f>Table1[[#This Row],[2019 U.S. Sales ($000)]]/SUMIF($E:$E, E367, $AN:$AN)</f>
        <v>3.6464434801260579E-3</v>
      </c>
      <c r="AP367" s="5">
        <v>44</v>
      </c>
      <c r="AQ367" s="5">
        <f t="shared" si="47"/>
        <v>2009.090909090909</v>
      </c>
    </row>
    <row r="368" spans="1:43" x14ac:dyDescent="0.25">
      <c r="A368" t="s">
        <v>433</v>
      </c>
      <c r="B368">
        <v>2650</v>
      </c>
      <c r="C368" t="s">
        <v>44</v>
      </c>
      <c r="D368" t="s">
        <v>45</v>
      </c>
      <c r="E368" t="s">
        <v>61</v>
      </c>
      <c r="F368" s="5">
        <v>383</v>
      </c>
      <c r="G368" s="5">
        <v>0</v>
      </c>
      <c r="H368" s="6">
        <f>Table1[[#This Row],[2024 U.S. Sales ($000)]]/SUMIF($E:$E, E368, $G:$G)</f>
        <v>0</v>
      </c>
      <c r="I368" s="5">
        <v>0</v>
      </c>
      <c r="J368" s="5" t="e">
        <f>Table1[[#This Row],[2024 U.S. Sales ($000)]]/Table1[[#This Row],[2024 U.S. Units]]</f>
        <v>#DIV/0!</v>
      </c>
      <c r="K368" s="6">
        <f>Table1[[#This Row],[2024 U.S. Units]]/Table1[[#This Row],[2023 U.S. Units]]-1</f>
        <v>-1</v>
      </c>
      <c r="L368" s="8">
        <f>(Table1[[#This Row],[2024 Market share (%)]]-Table1[[#This Row],[2023 Market share (%)]])*10000</f>
        <v>-26.582182467237054</v>
      </c>
      <c r="M368" s="6">
        <f>_xlfn.RRI(5,Table1[[#This Row],[2019 U.S. Sales ($000)]],Table1[[#This Row],[2024 U.S. Sales ($000)]])</f>
        <v>-1</v>
      </c>
      <c r="N368" s="9">
        <f>(Table1[[#This Row],[2024 Market share (%)]]-Table1[[#This Row],[2019 Market share (%)]])*10000</f>
        <v>-26.154014910578262</v>
      </c>
      <c r="O368" s="6" t="e">
        <f>IF(Table1[[#This Row],[2024 AUV]]=0,"",_xlfn.RRI(5,Table1[[#This Row],[2019 AUV]],Table1[[#This Row],[2024 AUV]]))</f>
        <v>#DIV/0!</v>
      </c>
      <c r="P368" s="6">
        <f>_xlfn.RRI(5,Table1[[#This Row],[2019 U.S. Units]],Table1[[#This Row],[2024 U.S. Units]])</f>
        <v>-1</v>
      </c>
      <c r="Q368" s="5">
        <v>81200</v>
      </c>
      <c r="R368" s="6">
        <f>Table1[[#This Row],[2023 U.S. Sales ($000)]]/SUMIF($E:$E, E368, $Q:$Q)</f>
        <v>2.6582182467237052E-3</v>
      </c>
      <c r="S368" s="8">
        <f>(Table1[[#This Row],[2023 Market share (%)]]-Table1[[#This Row],[2022 Market share (%)]])*10000</f>
        <v>0.91155933543181011</v>
      </c>
      <c r="T368" s="10">
        <v>6.5616797900262466E-2</v>
      </c>
      <c r="U368" s="5">
        <v>216</v>
      </c>
      <c r="V368" s="5">
        <f t="shared" si="40"/>
        <v>375.92592592592592</v>
      </c>
      <c r="W368" s="10">
        <v>4.8543689320388349E-2</v>
      </c>
      <c r="X368" s="10">
        <f t="shared" si="41"/>
        <v>4.7280613112012482E-2</v>
      </c>
      <c r="Y368" s="8">
        <f>(Table1[[#This Row],[2023 Market share (%)]]-Table1[[#This Row],[2019 Market share (%)]])*10000</f>
        <v>0.42816755665879036</v>
      </c>
      <c r="Z368" s="10">
        <f t="shared" si="42"/>
        <v>7.4942087375116095E-3</v>
      </c>
      <c r="AA368" s="10">
        <f t="shared" si="43"/>
        <v>3.9490454664108832E-2</v>
      </c>
      <c r="AB368" s="5">
        <v>76200</v>
      </c>
      <c r="AC368" s="6">
        <f>Table1[[#This Row],[2022 U.S. Sales ($000)]]/SUMIF($E:$E, E368, $AB:$AB)</f>
        <v>2.5670623131805242E-3</v>
      </c>
      <c r="AD368" s="5">
        <v>206</v>
      </c>
      <c r="AE368" s="5">
        <f t="shared" si="44"/>
        <v>369.90291262135923</v>
      </c>
      <c r="AF368" s="5">
        <v>71200</v>
      </c>
      <c r="AG368" s="6">
        <f>Table1[[#This Row],[2021 U.S. Sales ($000)]]/SUMIF($E:$E, E368, $AF:$AF)</f>
        <v>2.4493817375198495E-3</v>
      </c>
      <c r="AH368" s="5">
        <v>195</v>
      </c>
      <c r="AI368" s="12">
        <f t="shared" si="45"/>
        <v>365.12820512820514</v>
      </c>
      <c r="AJ368" s="5">
        <v>63700</v>
      </c>
      <c r="AK368" s="6">
        <f>Table1[[#This Row],[2020 U.S. Sales ($000)]]/SUMIF($E:$E, E368, $AJ:$AJ)</f>
        <v>2.3534263356682745E-3</v>
      </c>
      <c r="AL368" s="5">
        <v>190</v>
      </c>
      <c r="AM368" s="5">
        <f t="shared" si="46"/>
        <v>335.26315789473682</v>
      </c>
      <c r="AN368" s="5">
        <v>67500</v>
      </c>
      <c r="AO368" s="6">
        <f>Table1[[#This Row],[2019 U.S. Sales ($000)]]/SUMIF($E:$E, E368, $AN:$AN)</f>
        <v>2.6154014910578262E-3</v>
      </c>
      <c r="AP368" s="5">
        <v>185</v>
      </c>
      <c r="AQ368" s="5">
        <f t="shared" si="47"/>
        <v>364.86486486486484</v>
      </c>
    </row>
    <row r="369" spans="1:43" x14ac:dyDescent="0.25">
      <c r="A369" t="s">
        <v>434</v>
      </c>
      <c r="B369">
        <v>9045</v>
      </c>
      <c r="C369" t="s">
        <v>68</v>
      </c>
      <c r="D369" t="s">
        <v>69</v>
      </c>
      <c r="E369" t="s">
        <v>87</v>
      </c>
      <c r="F369" s="5">
        <v>464</v>
      </c>
      <c r="G369" s="5">
        <v>0</v>
      </c>
      <c r="H369" s="6">
        <f>Table1[[#This Row],[2024 U.S. Sales ($000)]]/SUMIF($E:$E, E369, $G:$G)</f>
        <v>0</v>
      </c>
      <c r="I369" s="5">
        <v>0</v>
      </c>
      <c r="J369" s="5" t="e">
        <f>Table1[[#This Row],[2024 U.S. Sales ($000)]]/Table1[[#This Row],[2024 U.S. Units]]</f>
        <v>#DIV/0!</v>
      </c>
      <c r="K369" s="6">
        <f>Table1[[#This Row],[2024 U.S. Units]]/Table1[[#This Row],[2023 U.S. Units]]-1</f>
        <v>-1</v>
      </c>
      <c r="L369" s="8">
        <f>(Table1[[#This Row],[2024 Market share (%)]]-Table1[[#This Row],[2023 Market share (%)]])*10000</f>
        <v>-66.250260873221507</v>
      </c>
      <c r="M369" s="6">
        <f>_xlfn.RRI(5,Table1[[#This Row],[2019 U.S. Sales ($000)]],Table1[[#This Row],[2024 U.S. Sales ($000)]])</f>
        <v>-1</v>
      </c>
      <c r="N369" s="9">
        <f>(Table1[[#This Row],[2024 Market share (%)]]-Table1[[#This Row],[2019 Market share (%)]])*10000</f>
        <v>-62.858897431571428</v>
      </c>
      <c r="O369" s="6" t="e">
        <f>IF(Table1[[#This Row],[2024 AUV]]=0,"",_xlfn.RRI(5,Table1[[#This Row],[2019 AUV]],Table1[[#This Row],[2024 AUV]]))</f>
        <v>#DIV/0!</v>
      </c>
      <c r="P369" s="6">
        <f>_xlfn.RRI(5,Table1[[#This Row],[2019 U.S. Units]],Table1[[#This Row],[2024 U.S. Units]])</f>
        <v>-1</v>
      </c>
      <c r="Q369" s="5">
        <v>64600</v>
      </c>
      <c r="R369" s="6">
        <f>Table1[[#This Row],[2023 U.S. Sales ($000)]]/SUMIF($E:$E, E369, $Q:$Q)</f>
        <v>6.6250260873221513E-3</v>
      </c>
      <c r="S369" s="8">
        <f>(Table1[[#This Row],[2023 Market share (%)]]-Table1[[#This Row],[2022 Market share (%)]])*10000</f>
        <v>3.6636970336447612</v>
      </c>
      <c r="T369" s="10">
        <v>0.10238907849829351</v>
      </c>
      <c r="U369" s="5">
        <v>36</v>
      </c>
      <c r="V369" s="5">
        <f t="shared" si="40"/>
        <v>1794.4444444444443</v>
      </c>
      <c r="W369" s="10">
        <v>5.8823529411764705E-2</v>
      </c>
      <c r="X369" s="10">
        <f t="shared" si="41"/>
        <v>4.6797219945069468E-2</v>
      </c>
      <c r="Y369" s="8">
        <f>(Table1[[#This Row],[2023 Market share (%)]]-Table1[[#This Row],[2019 Market share (%)]])*10000</f>
        <v>3.3913634416500842</v>
      </c>
      <c r="Z369" s="10">
        <f t="shared" si="42"/>
        <v>-1.6948108350833269E-2</v>
      </c>
      <c r="AA369" s="10">
        <f t="shared" si="43"/>
        <v>6.4844316803015944E-2</v>
      </c>
      <c r="AB369" s="5">
        <v>58600</v>
      </c>
      <c r="AC369" s="6">
        <f>Table1[[#This Row],[2022 U.S. Sales ($000)]]/SUMIF($E:$E, E369, $AB:$AB)</f>
        <v>6.2586563839576751E-3</v>
      </c>
      <c r="AD369" s="5">
        <v>34</v>
      </c>
      <c r="AE369" s="5">
        <f t="shared" si="44"/>
        <v>1723.5294117647059</v>
      </c>
      <c r="AF369" s="5">
        <v>52700</v>
      </c>
      <c r="AG369" s="6">
        <f>Table1[[#This Row],[2021 U.S. Sales ($000)]]/SUMIF($E:$E, E369, $AF:$AF)</f>
        <v>6.1792392101923908E-3</v>
      </c>
      <c r="AH369" s="5">
        <v>32</v>
      </c>
      <c r="AI369" s="12">
        <f t="shared" si="45"/>
        <v>1646.875</v>
      </c>
      <c r="AJ369" s="5">
        <v>43500</v>
      </c>
      <c r="AK369" s="6">
        <f>Table1[[#This Row],[2020 U.S. Sales ($000)]]/SUMIF($E:$E, E369, $AJ:$AJ)</f>
        <v>6.5654897032745791E-3</v>
      </c>
      <c r="AL369" s="5">
        <v>30</v>
      </c>
      <c r="AM369" s="5">
        <f t="shared" si="46"/>
        <v>1450</v>
      </c>
      <c r="AN369" s="5">
        <v>53800</v>
      </c>
      <c r="AO369" s="6">
        <f>Table1[[#This Row],[2019 U.S. Sales ($000)]]/SUMIF($E:$E, E369, $AN:$AN)</f>
        <v>6.2858897431571428E-3</v>
      </c>
      <c r="AP369" s="5">
        <v>28</v>
      </c>
      <c r="AQ369" s="5">
        <f t="shared" si="47"/>
        <v>1921.4285714285713</v>
      </c>
    </row>
    <row r="370" spans="1:43" x14ac:dyDescent="0.25">
      <c r="A370" t="s">
        <v>435</v>
      </c>
      <c r="B370">
        <v>2265</v>
      </c>
      <c r="C370" t="s">
        <v>68</v>
      </c>
      <c r="D370" t="s">
        <v>69</v>
      </c>
      <c r="E370" t="s">
        <v>70</v>
      </c>
      <c r="F370" s="5">
        <v>439</v>
      </c>
      <c r="G370" s="5">
        <v>0</v>
      </c>
      <c r="H370" s="6">
        <f>Table1[[#This Row],[2024 U.S. Sales ($000)]]/SUMIF($E:$E, E370, $G:$G)</f>
        <v>0</v>
      </c>
      <c r="I370" s="5">
        <v>0</v>
      </c>
      <c r="J370" s="5" t="e">
        <f>Table1[[#This Row],[2024 U.S. Sales ($000)]]/Table1[[#This Row],[2024 U.S. Units]]</f>
        <v>#DIV/0!</v>
      </c>
      <c r="K370" s="6">
        <f>Table1[[#This Row],[2024 U.S. Units]]/Table1[[#This Row],[2023 U.S. Units]]-1</f>
        <v>-1</v>
      </c>
      <c r="L370" s="8">
        <f>(Table1[[#This Row],[2024 Market share (%)]]-Table1[[#This Row],[2023 Market share (%)]])*10000</f>
        <v>-44.483718836138699</v>
      </c>
      <c r="M370" s="6">
        <f>_xlfn.RRI(5,Table1[[#This Row],[2019 U.S. Sales ($000)]],Table1[[#This Row],[2024 U.S. Sales ($000)]])</f>
        <v>-1</v>
      </c>
      <c r="N370" s="9">
        <f>(Table1[[#This Row],[2024 Market share (%)]]-Table1[[#This Row],[2019 Market share (%)]])*10000</f>
        <v>-47.292798327637335</v>
      </c>
      <c r="O370" s="6" t="e">
        <f>IF(Table1[[#This Row],[2024 AUV]]=0,"",_xlfn.RRI(5,Table1[[#This Row],[2019 AUV]],Table1[[#This Row],[2024 AUV]]))</f>
        <v>#DIV/0!</v>
      </c>
      <c r="P370" s="6">
        <f>_xlfn.RRI(5,Table1[[#This Row],[2019 U.S. Units]],Table1[[#This Row],[2024 U.S. Units]])</f>
        <v>-1</v>
      </c>
      <c r="Q370" s="5">
        <v>71019</v>
      </c>
      <c r="R370" s="6">
        <f>Table1[[#This Row],[2023 U.S. Sales ($000)]]/SUMIF($E:$E, E370, $Q:$Q)</f>
        <v>4.44837188361387E-3</v>
      </c>
      <c r="S370" s="8">
        <f>(Table1[[#This Row],[2023 Market share (%)]]-Table1[[#This Row],[2022 Market share (%)]])*10000</f>
        <v>0.8942566901057325</v>
      </c>
      <c r="T370" s="10">
        <v>0.11353444761516511</v>
      </c>
      <c r="U370" s="5">
        <v>21</v>
      </c>
      <c r="V370" s="5">
        <f t="shared" si="40"/>
        <v>3381.8571428571427</v>
      </c>
      <c r="W370" s="10">
        <v>0.05</v>
      </c>
      <c r="X370" s="10">
        <f t="shared" si="41"/>
        <v>4.6116289839410296E-2</v>
      </c>
      <c r="Y370" s="8">
        <f>(Table1[[#This Row],[2023 Market share (%)]]-Table1[[#This Row],[2019 Market share (%)]])*10000</f>
        <v>-2.8090794914986326</v>
      </c>
      <c r="Z370" s="10">
        <f t="shared" si="42"/>
        <v>2.0266298904340507E-2</v>
      </c>
      <c r="AA370" s="10">
        <f t="shared" si="43"/>
        <v>2.5336513577710162E-2</v>
      </c>
      <c r="AB370" s="5">
        <v>63778</v>
      </c>
      <c r="AC370" s="6">
        <f>Table1[[#This Row],[2022 U.S. Sales ($000)]]/SUMIF($E:$E, E370, $AB:$AB)</f>
        <v>4.3589462146032968E-3</v>
      </c>
      <c r="AD370" s="5">
        <v>20</v>
      </c>
      <c r="AE370" s="5">
        <f t="shared" si="44"/>
        <v>3188.9</v>
      </c>
      <c r="AF370" s="5">
        <v>51825</v>
      </c>
      <c r="AG370" s="6">
        <f>Table1[[#This Row],[2021 U.S. Sales ($000)]]/SUMIF($E:$E, E370, $AF:$AF)</f>
        <v>3.987319055922871E-3</v>
      </c>
      <c r="AH370" s="5">
        <v>19</v>
      </c>
      <c r="AI370" s="12">
        <f t="shared" si="45"/>
        <v>2727.6315789473683</v>
      </c>
      <c r="AJ370" s="5">
        <v>40300</v>
      </c>
      <c r="AK370" s="6">
        <f>Table1[[#This Row],[2020 U.S. Sales ($000)]]/SUMIF($E:$E, E370, $AJ:$AJ)</f>
        <v>4.2911133916598218E-3</v>
      </c>
      <c r="AL370" s="5">
        <v>19</v>
      </c>
      <c r="AM370" s="5">
        <f t="shared" si="46"/>
        <v>2121.0526315789475</v>
      </c>
      <c r="AN370" s="5">
        <v>59300</v>
      </c>
      <c r="AO370" s="6">
        <f>Table1[[#This Row],[2019 U.S. Sales ($000)]]/SUMIF($E:$E, E370, $AN:$AN)</f>
        <v>4.7292798327637333E-3</v>
      </c>
      <c r="AP370" s="5">
        <v>19</v>
      </c>
      <c r="AQ370" s="5">
        <f t="shared" si="47"/>
        <v>3121.0526315789475</v>
      </c>
    </row>
    <row r="371" spans="1:43" x14ac:dyDescent="0.25">
      <c r="A371" t="s">
        <v>436</v>
      </c>
      <c r="B371">
        <v>9034</v>
      </c>
      <c r="C371" t="s">
        <v>68</v>
      </c>
      <c r="D371" t="s">
        <v>69</v>
      </c>
      <c r="E371" t="s">
        <v>79</v>
      </c>
      <c r="F371" s="5">
        <v>287</v>
      </c>
      <c r="G371" s="5">
        <v>0</v>
      </c>
      <c r="H371" s="6">
        <f>Table1[[#This Row],[2024 U.S. Sales ($000)]]/SUMIF($E:$E, E371, $G:$G)</f>
        <v>0</v>
      </c>
      <c r="I371" s="5">
        <v>0</v>
      </c>
      <c r="J371" s="5" t="e">
        <f>Table1[[#This Row],[2024 U.S. Sales ($000)]]/Table1[[#This Row],[2024 U.S. Units]]</f>
        <v>#DIV/0!</v>
      </c>
      <c r="K371" s="6">
        <f>Table1[[#This Row],[2024 U.S. Units]]/Table1[[#This Row],[2023 U.S. Units]]-1</f>
        <v>-1</v>
      </c>
      <c r="L371" s="8">
        <f>(Table1[[#This Row],[2024 Market share (%)]]-Table1[[#This Row],[2023 Market share (%)]])*10000</f>
        <v>-50.367525407411101</v>
      </c>
      <c r="M371" s="6">
        <f>_xlfn.RRI(5,Table1[[#This Row],[2019 U.S. Sales ($000)]],Table1[[#This Row],[2024 U.S. Sales ($000)]])</f>
        <v>-1</v>
      </c>
      <c r="N371" s="9">
        <f>(Table1[[#This Row],[2024 Market share (%)]]-Table1[[#This Row],[2019 Market share (%)]])*10000</f>
        <v>-44.445678316805818</v>
      </c>
      <c r="O371" s="6" t="e">
        <f>IF(Table1[[#This Row],[2024 AUV]]=0,"",_xlfn.RRI(5,Table1[[#This Row],[2019 AUV]],Table1[[#This Row],[2024 AUV]]))</f>
        <v>#DIV/0!</v>
      </c>
      <c r="P371" s="6">
        <f>_xlfn.RRI(5,Table1[[#This Row],[2019 U.S. Units]],Table1[[#This Row],[2024 U.S. Units]])</f>
        <v>-1</v>
      </c>
      <c r="Q371" s="5">
        <v>121500</v>
      </c>
      <c r="R371" s="6">
        <f>Table1[[#This Row],[2023 U.S. Sales ($000)]]/SUMIF($E:$E, E371, $Q:$Q)</f>
        <v>5.0367525407411101E-3</v>
      </c>
      <c r="S371" s="8">
        <f>(Table1[[#This Row],[2023 Market share (%)]]-Table1[[#This Row],[2022 Market share (%)]])*10000</f>
        <v>3.5924718701731226</v>
      </c>
      <c r="T371" s="10">
        <v>0.10454545454545454</v>
      </c>
      <c r="U371" s="5">
        <v>41</v>
      </c>
      <c r="V371" s="5">
        <f t="shared" si="40"/>
        <v>2963.4146341463415</v>
      </c>
      <c r="W371" s="10">
        <v>7.8947368421052627E-2</v>
      </c>
      <c r="X371" s="10">
        <f t="shared" si="41"/>
        <v>4.5990063499025569E-2</v>
      </c>
      <c r="Y371" s="8">
        <f>(Table1[[#This Row],[2023 Market share (%)]]-Table1[[#This Row],[2019 Market share (%)]])*10000</f>
        <v>5.9218470906052811</v>
      </c>
      <c r="Z371" s="10">
        <f t="shared" si="42"/>
        <v>1.2528415212980315E-2</v>
      </c>
      <c r="AA371" s="10">
        <f t="shared" si="43"/>
        <v>3.3047614055361274E-2</v>
      </c>
      <c r="AB371" s="5">
        <v>110000</v>
      </c>
      <c r="AC371" s="6">
        <f>Table1[[#This Row],[2022 U.S. Sales ($000)]]/SUMIF($E:$E, E371, $AB:$AB)</f>
        <v>4.6775053537237979E-3</v>
      </c>
      <c r="AD371" s="5">
        <v>38</v>
      </c>
      <c r="AE371" s="5">
        <f t="shared" si="44"/>
        <v>2894.7368421052633</v>
      </c>
      <c r="AF371" s="5">
        <v>94000</v>
      </c>
      <c r="AG371" s="6">
        <f>Table1[[#This Row],[2021 U.S. Sales ($000)]]/SUMIF($E:$E, E371, $AF:$AF)</f>
        <v>4.327787549829985E-3</v>
      </c>
      <c r="AH371" s="5">
        <v>36</v>
      </c>
      <c r="AI371" s="12">
        <f t="shared" si="45"/>
        <v>2611.1111111111113</v>
      </c>
      <c r="AJ371" s="5">
        <v>77600</v>
      </c>
      <c r="AK371" s="6">
        <f>Table1[[#This Row],[2020 U.S. Sales ($000)]]/SUMIF($E:$E, E371, $AJ:$AJ)</f>
        <v>4.7588977436140165E-3</v>
      </c>
      <c r="AL371" s="5">
        <v>36</v>
      </c>
      <c r="AM371" s="5">
        <f t="shared" si="46"/>
        <v>2155.5555555555557</v>
      </c>
      <c r="AN371" s="5">
        <v>101500</v>
      </c>
      <c r="AO371" s="6">
        <f>Table1[[#This Row],[2019 U.S. Sales ($000)]]/SUMIF($E:$E, E371, $AN:$AN)</f>
        <v>4.444567831680582E-3</v>
      </c>
      <c r="AP371" s="5">
        <v>36</v>
      </c>
      <c r="AQ371" s="5">
        <f t="shared" si="47"/>
        <v>2819.4444444444443</v>
      </c>
    </row>
    <row r="372" spans="1:43" x14ac:dyDescent="0.25">
      <c r="A372" t="s">
        <v>437</v>
      </c>
      <c r="B372">
        <v>2545</v>
      </c>
      <c r="C372" t="s">
        <v>68</v>
      </c>
      <c r="D372" t="s">
        <v>92</v>
      </c>
      <c r="E372" t="s">
        <v>93</v>
      </c>
      <c r="F372" s="5">
        <v>441</v>
      </c>
      <c r="G372" s="5">
        <v>0</v>
      </c>
      <c r="H372" s="6">
        <f>Table1[[#This Row],[2024 U.S. Sales ($000)]]/SUMIF($E:$E, E372, $G:$G)</f>
        <v>0</v>
      </c>
      <c r="I372" s="5">
        <v>0</v>
      </c>
      <c r="J372" s="5" t="e">
        <f>Table1[[#This Row],[2024 U.S. Sales ($000)]]/Table1[[#This Row],[2024 U.S. Units]]</f>
        <v>#DIV/0!</v>
      </c>
      <c r="K372" s="6">
        <f>Table1[[#This Row],[2024 U.S. Units]]/Table1[[#This Row],[2023 U.S. Units]]-1</f>
        <v>-1</v>
      </c>
      <c r="L372" s="8">
        <f>(Table1[[#This Row],[2024 Market share (%)]]-Table1[[#This Row],[2023 Market share (%)]])*10000</f>
        <v>-40.342061827923963</v>
      </c>
      <c r="M372" s="6">
        <f>_xlfn.RRI(5,Table1[[#This Row],[2019 U.S. Sales ($000)]],Table1[[#This Row],[2024 U.S. Sales ($000)]])</f>
        <v>-1</v>
      </c>
      <c r="N372" s="9">
        <f>(Table1[[#This Row],[2024 Market share (%)]]-Table1[[#This Row],[2019 Market share (%)]])*10000</f>
        <v>-34.892913092603081</v>
      </c>
      <c r="O372" s="6" t="e">
        <f>IF(Table1[[#This Row],[2024 AUV]]=0,"",_xlfn.RRI(5,Table1[[#This Row],[2019 AUV]],Table1[[#This Row],[2024 AUV]]))</f>
        <v>#DIV/0!</v>
      </c>
      <c r="P372" s="6">
        <f>_xlfn.RRI(5,Table1[[#This Row],[2019 U.S. Units]],Table1[[#This Row],[2024 U.S. Units]])</f>
        <v>-1</v>
      </c>
      <c r="Q372" s="5">
        <v>70600</v>
      </c>
      <c r="R372" s="6">
        <f>Table1[[#This Row],[2023 U.S. Sales ($000)]]/SUMIF($E:$E, E372, $Q:$Q)</f>
        <v>4.0342061827923961E-3</v>
      </c>
      <c r="S372" s="8">
        <f>(Table1[[#This Row],[2023 Market share (%)]]-Table1[[#This Row],[2022 Market share (%)]])*10000</f>
        <v>9.1653051265379662E-2</v>
      </c>
      <c r="T372" s="10">
        <v>6.1989500443749151E-2</v>
      </c>
      <c r="U372" s="5">
        <v>25</v>
      </c>
      <c r="V372" s="5">
        <f t="shared" si="40"/>
        <v>2824</v>
      </c>
      <c r="W372" s="10">
        <v>0</v>
      </c>
      <c r="X372" s="10">
        <f t="shared" si="41"/>
        <v>4.534638854866424E-2</v>
      </c>
      <c r="Y372" s="8">
        <f>(Table1[[#This Row],[2023 Market share (%)]]-Table1[[#This Row],[2019 Market share (%)]])*10000</f>
        <v>5.4491487353208834</v>
      </c>
      <c r="Z372" s="10">
        <f t="shared" si="42"/>
        <v>5.5646611499530652E-2</v>
      </c>
      <c r="AA372" s="10">
        <f t="shared" si="43"/>
        <v>-9.7572642574346169E-3</v>
      </c>
      <c r="AB372" s="5">
        <v>66479</v>
      </c>
      <c r="AC372" s="6">
        <f>Table1[[#This Row],[2022 U.S. Sales ($000)]]/SUMIF($E:$E, E372, $AB:$AB)</f>
        <v>4.0250408776658581E-3</v>
      </c>
      <c r="AD372" s="5">
        <v>25</v>
      </c>
      <c r="AE372" s="5">
        <f t="shared" si="44"/>
        <v>2659.16</v>
      </c>
      <c r="AF372" s="5">
        <v>51721</v>
      </c>
      <c r="AG372" s="6">
        <f>Table1[[#This Row],[2021 U.S. Sales ($000)]]/SUMIF($E:$E, E372, $AF:$AF)</f>
        <v>3.4257801397746912E-3</v>
      </c>
      <c r="AH372" s="5">
        <v>25</v>
      </c>
      <c r="AI372" s="12">
        <f t="shared" si="45"/>
        <v>2068.84</v>
      </c>
      <c r="AJ372" s="5">
        <v>33205</v>
      </c>
      <c r="AK372" s="6">
        <f>Table1[[#This Row],[2020 U.S. Sales ($000)]]/SUMIF($E:$E, E372, $AJ:$AJ)</f>
        <v>3.1114389915732994E-3</v>
      </c>
      <c r="AL372" s="5">
        <v>26</v>
      </c>
      <c r="AM372" s="5">
        <f t="shared" si="46"/>
        <v>1277.1153846153845</v>
      </c>
      <c r="AN372" s="5">
        <v>59124</v>
      </c>
      <c r="AO372" s="6">
        <f>Table1[[#This Row],[2019 U.S. Sales ($000)]]/SUMIF($E:$E, E372, $AN:$AN)</f>
        <v>3.4892913092603077E-3</v>
      </c>
      <c r="AP372" s="5">
        <v>26</v>
      </c>
      <c r="AQ372" s="5">
        <f t="shared" si="47"/>
        <v>2274</v>
      </c>
    </row>
    <row r="373" spans="1:43" x14ac:dyDescent="0.25">
      <c r="A373" t="s">
        <v>438</v>
      </c>
      <c r="B373">
        <v>2821</v>
      </c>
      <c r="C373" t="s">
        <v>68</v>
      </c>
      <c r="D373" t="s">
        <v>133</v>
      </c>
      <c r="E373" t="s">
        <v>70</v>
      </c>
      <c r="F373" s="5">
        <v>476</v>
      </c>
      <c r="G373" s="5">
        <v>0</v>
      </c>
      <c r="H373" s="6">
        <f>Table1[[#This Row],[2024 U.S. Sales ($000)]]/SUMIF($E:$E, E373, $G:$G)</f>
        <v>0</v>
      </c>
      <c r="I373" s="5">
        <v>0</v>
      </c>
      <c r="J373" s="5" t="e">
        <f>Table1[[#This Row],[2024 U.S. Sales ($000)]]/Table1[[#This Row],[2024 U.S. Units]]</f>
        <v>#DIV/0!</v>
      </c>
      <c r="K373" s="6">
        <f>Table1[[#This Row],[2024 U.S. Units]]/Table1[[#This Row],[2023 U.S. Units]]-1</f>
        <v>-1</v>
      </c>
      <c r="L373" s="8">
        <f>(Table1[[#This Row],[2024 Market share (%)]]-Table1[[#This Row],[2023 Market share (%)]])*10000</f>
        <v>-39.022454321962307</v>
      </c>
      <c r="M373" s="6">
        <f>_xlfn.RRI(5,Table1[[#This Row],[2019 U.S. Sales ($000)]],Table1[[#This Row],[2024 U.S. Sales ($000)]])</f>
        <v>-1</v>
      </c>
      <c r="N373" s="9">
        <f>(Table1[[#This Row],[2024 Market share (%)]]-Table1[[#This Row],[2019 Market share (%)]])*10000</f>
        <v>-41.869678114687346</v>
      </c>
      <c r="O373" s="6" t="e">
        <f>IF(Table1[[#This Row],[2024 AUV]]=0,"",_xlfn.RRI(5,Table1[[#This Row],[2019 AUV]],Table1[[#This Row],[2024 AUV]]))</f>
        <v>#DIV/0!</v>
      </c>
      <c r="P373" s="6">
        <f>_xlfn.RRI(5,Table1[[#This Row],[2019 U.S. Units]],Table1[[#This Row],[2024 U.S. Units]])</f>
        <v>-1</v>
      </c>
      <c r="Q373" s="5">
        <v>62300</v>
      </c>
      <c r="R373" s="6">
        <f>Table1[[#This Row],[2023 U.S. Sales ($000)]]/SUMIF($E:$E, E373, $Q:$Q)</f>
        <v>3.9022454321962306E-3</v>
      </c>
      <c r="S373" s="8">
        <f>(Table1[[#This Row],[2023 Market share (%)]]-Table1[[#This Row],[2022 Market share (%)]])*10000</f>
        <v>2.5258994190465596</v>
      </c>
      <c r="T373" s="10">
        <v>0.16666666666666666</v>
      </c>
      <c r="U373" s="5">
        <v>15</v>
      </c>
      <c r="V373" s="5">
        <f t="shared" si="40"/>
        <v>4153.333333333333</v>
      </c>
      <c r="W373" s="10">
        <v>7.1428571428571425E-2</v>
      </c>
      <c r="X373" s="10">
        <f t="shared" si="41"/>
        <v>4.3715626607432778E-2</v>
      </c>
      <c r="Y373" s="8">
        <f>(Table1[[#This Row],[2023 Market share (%)]]-Table1[[#This Row],[2019 Market share (%)]])*10000</f>
        <v>-2.847223792725043</v>
      </c>
      <c r="Z373" s="10">
        <f t="shared" si="42"/>
        <v>7.0364937394320481E-3</v>
      </c>
      <c r="AA373" s="10">
        <f t="shared" si="43"/>
        <v>3.6422843755939738E-2</v>
      </c>
      <c r="AB373" s="5">
        <v>53400</v>
      </c>
      <c r="AC373" s="6">
        <f>Table1[[#This Row],[2022 U.S. Sales ($000)]]/SUMIF($E:$E, E373, $AB:$AB)</f>
        <v>3.6496554902915746E-3</v>
      </c>
      <c r="AD373" s="5">
        <v>14</v>
      </c>
      <c r="AE373" s="5">
        <f t="shared" si="44"/>
        <v>3814.2857142857142</v>
      </c>
      <c r="AF373" s="5">
        <v>45500</v>
      </c>
      <c r="AG373" s="6">
        <f>Table1[[#This Row],[2021 U.S. Sales ($000)]]/SUMIF($E:$E, E373, $AF:$AF)</f>
        <v>3.5006853264735287E-3</v>
      </c>
      <c r="AH373" s="5">
        <v>13</v>
      </c>
      <c r="AI373" s="12">
        <f t="shared" si="45"/>
        <v>3500</v>
      </c>
      <c r="AJ373" s="5">
        <v>26000</v>
      </c>
      <c r="AK373" s="6">
        <f>Table1[[#This Row],[2020 U.S. Sales ($000)]]/SUMIF($E:$E, E373, $AJ:$AJ)</f>
        <v>2.7684602526837562E-3</v>
      </c>
      <c r="AL373" s="5">
        <v>13</v>
      </c>
      <c r="AM373" s="5">
        <f t="shared" si="46"/>
        <v>2000</v>
      </c>
      <c r="AN373" s="5">
        <v>52500</v>
      </c>
      <c r="AO373" s="6">
        <f>Table1[[#This Row],[2019 U.S. Sales ($000)]]/SUMIF($E:$E, E373, $AN:$AN)</f>
        <v>4.1869678114687349E-3</v>
      </c>
      <c r="AP373" s="5">
        <v>13</v>
      </c>
      <c r="AQ373" s="5">
        <f t="shared" si="47"/>
        <v>4038.4615384615386</v>
      </c>
    </row>
    <row r="374" spans="1:43" x14ac:dyDescent="0.25">
      <c r="A374" t="s">
        <v>439</v>
      </c>
      <c r="B374">
        <v>5442</v>
      </c>
      <c r="C374" t="s">
        <v>44</v>
      </c>
      <c r="D374" t="s">
        <v>45</v>
      </c>
      <c r="E374" t="s">
        <v>46</v>
      </c>
      <c r="F374" s="5">
        <v>388</v>
      </c>
      <c r="G374" s="5">
        <v>0</v>
      </c>
      <c r="H374" s="6">
        <f>Table1[[#This Row],[2024 U.S. Sales ($000)]]/SUMIF($E:$E, E374, $G:$G)</f>
        <v>0</v>
      </c>
      <c r="I374" s="5">
        <v>0</v>
      </c>
      <c r="J374" s="7" t="e">
        <f>Table1[[#This Row],[2024 U.S. Sales ($000)]]/Table1[[#This Row],[2024 U.S. Units]]</f>
        <v>#DIV/0!</v>
      </c>
      <c r="K374" s="6">
        <f>Table1[[#This Row],[2024 U.S. Units]]/Table1[[#This Row],[2023 U.S. Units]]-1</f>
        <v>-1</v>
      </c>
      <c r="L374" s="8">
        <f>(Table1[[#This Row],[2024 Market share (%)]]-Table1[[#This Row],[2023 Market share (%)]])*10000</f>
        <v>-7.3618695655918787</v>
      </c>
      <c r="M374" s="6">
        <f>_xlfn.RRI(5,Table1[[#This Row],[2019 U.S. Sales ($000)]],Table1[[#This Row],[2024 U.S. Sales ($000)]])</f>
        <v>-1</v>
      </c>
      <c r="N374" s="9">
        <f>(Table1[[#This Row],[2024 Market share (%)]]-Table1[[#This Row],[2019 Market share (%)]])*10000</f>
        <v>-7.872067004814908</v>
      </c>
      <c r="O374" s="6" t="e">
        <f>IF(Table1[[#This Row],[2024 AUV]]=0,"",_xlfn.RRI(5,Table1[[#This Row],[2019 AUV]],Table1[[#This Row],[2024 AUV]]))</f>
        <v>#DIV/0!</v>
      </c>
      <c r="P374" s="6">
        <f>_xlfn.RRI(5,Table1[[#This Row],[2019 U.S. Units]],Table1[[#This Row],[2024 U.S. Units]])</f>
        <v>-1</v>
      </c>
      <c r="Q374" s="5">
        <v>80600</v>
      </c>
      <c r="R374" s="6">
        <f>Table1[[#This Row],[2023 U.S. Sales ($000)]]/SUMIF($E:$E, E374, $Q:$Q)</f>
        <v>7.3618695655918787E-4</v>
      </c>
      <c r="S374" s="8">
        <f>(Table1[[#This Row],[2023 Market share (%)]]-Table1[[#This Row],[2022 Market share (%)]])*10000</f>
        <v>-0.1158182472059681</v>
      </c>
      <c r="T374" s="10">
        <v>5.4973821989528798E-2</v>
      </c>
      <c r="U374" s="5">
        <v>31</v>
      </c>
      <c r="V374" s="5">
        <f t="shared" si="40"/>
        <v>2600</v>
      </c>
      <c r="W374" s="10">
        <v>0</v>
      </c>
      <c r="X374" s="10">
        <f t="shared" si="41"/>
        <v>4.3030438386821857E-2</v>
      </c>
      <c r="Y374" s="8">
        <f>(Table1[[#This Row],[2023 Market share (%)]]-Table1[[#This Row],[2019 Market share (%)]])*10000</f>
        <v>-0.51019743922302907</v>
      </c>
      <c r="Z374" s="10">
        <f t="shared" si="42"/>
        <v>2.5784325374221151E-2</v>
      </c>
      <c r="AA374" s="10">
        <f t="shared" si="43"/>
        <v>1.6812611175657466E-2</v>
      </c>
      <c r="AB374" s="5">
        <v>76400</v>
      </c>
      <c r="AC374" s="6">
        <f>Table1[[#This Row],[2022 U.S. Sales ($000)]]/SUMIF($E:$E, E374, $AB:$AB)</f>
        <v>7.4776878127978468E-4</v>
      </c>
      <c r="AD374" s="5">
        <v>31</v>
      </c>
      <c r="AE374" s="5">
        <f t="shared" si="44"/>
        <v>2464.516129032258</v>
      </c>
      <c r="AF374" s="5">
        <v>71400</v>
      </c>
      <c r="AG374" s="6">
        <f>Table1[[#This Row],[2021 U.S. Sales ($000)]]/SUMIF($E:$E, E374, $AF:$AF)</f>
        <v>7.3386456905560752E-4</v>
      </c>
      <c r="AH374" s="5">
        <v>30</v>
      </c>
      <c r="AI374" s="12">
        <f t="shared" si="45"/>
        <v>2380</v>
      </c>
      <c r="AJ374" s="5">
        <v>65700</v>
      </c>
      <c r="AK374" s="6">
        <f>Table1[[#This Row],[2020 U.S. Sales ($000)]]/SUMIF($E:$E, E374, $AJ:$AJ)</f>
        <v>7.5185943593033253E-4</v>
      </c>
      <c r="AL374" s="5">
        <v>29</v>
      </c>
      <c r="AM374" s="5">
        <f t="shared" si="46"/>
        <v>2265.5172413793102</v>
      </c>
      <c r="AN374" s="5">
        <v>68100</v>
      </c>
      <c r="AO374" s="6">
        <f>Table1[[#This Row],[2019 U.S. Sales ($000)]]/SUMIF($E:$E, E374, $AN:$AN)</f>
        <v>7.8720670048149078E-4</v>
      </c>
      <c r="AP374" s="5">
        <v>29</v>
      </c>
      <c r="AQ374" s="5">
        <f t="shared" si="47"/>
        <v>2348.2758620689656</v>
      </c>
    </row>
    <row r="375" spans="1:43" x14ac:dyDescent="0.25">
      <c r="A375" t="s">
        <v>440</v>
      </c>
      <c r="B375">
        <v>31432</v>
      </c>
      <c r="C375" t="s">
        <v>68</v>
      </c>
      <c r="D375" t="s">
        <v>69</v>
      </c>
      <c r="E375" t="s">
        <v>79</v>
      </c>
      <c r="F375" s="5">
        <v>341</v>
      </c>
      <c r="G375" s="5">
        <v>0</v>
      </c>
      <c r="H375" s="6">
        <f>Table1[[#This Row],[2024 U.S. Sales ($000)]]/SUMIF($E:$E, E375, $G:$G)</f>
        <v>0</v>
      </c>
      <c r="I375" s="5">
        <v>0</v>
      </c>
      <c r="J375" s="5" t="e">
        <f>Table1[[#This Row],[2024 U.S. Sales ($000)]]/Table1[[#This Row],[2024 U.S. Units]]</f>
        <v>#DIV/0!</v>
      </c>
      <c r="K375" s="6">
        <f>Table1[[#This Row],[2024 U.S. Units]]/Table1[[#This Row],[2023 U.S. Units]]-1</f>
        <v>-1</v>
      </c>
      <c r="L375" s="8">
        <f>(Table1[[#This Row],[2024 Market share (%)]]-Table1[[#This Row],[2023 Market share (%)]])*10000</f>
        <v>-40.376929832772355</v>
      </c>
      <c r="M375" s="6">
        <f>_xlfn.RRI(5,Table1[[#This Row],[2019 U.S. Sales ($000)]],Table1[[#This Row],[2024 U.S. Sales ($000)]])</f>
        <v>-1</v>
      </c>
      <c r="N375" s="9">
        <f>(Table1[[#This Row],[2024 Market share (%)]]-Table1[[#This Row],[2019 Market share (%)]])*10000</f>
        <v>-36.038219955400187</v>
      </c>
      <c r="O375" s="6" t="e">
        <f>IF(Table1[[#This Row],[2024 AUV]]=0,"",_xlfn.RRI(5,Table1[[#This Row],[2019 AUV]],Table1[[#This Row],[2024 AUV]]))</f>
        <v>#DIV/0!</v>
      </c>
      <c r="P375" s="6">
        <f>_xlfn.RRI(5,Table1[[#This Row],[2019 U.S. Units]],Table1[[#This Row],[2024 U.S. Units]])</f>
        <v>-1</v>
      </c>
      <c r="Q375" s="5">
        <v>97400</v>
      </c>
      <c r="R375" s="6">
        <f>Table1[[#This Row],[2023 U.S. Sales ($000)]]/SUMIF($E:$E, E375, $Q:$Q)</f>
        <v>4.0376929832772355E-3</v>
      </c>
      <c r="S375" s="8">
        <f>(Table1[[#This Row],[2023 Market share (%)]]-Table1[[#This Row],[2022 Market share (%)]])*10000</f>
        <v>4.1050019534414481</v>
      </c>
      <c r="T375" s="10">
        <v>0.141852286049238</v>
      </c>
      <c r="U375" s="5">
        <v>29</v>
      </c>
      <c r="V375" s="5">
        <f t="shared" si="40"/>
        <v>3358.6206896551726</v>
      </c>
      <c r="W375" s="10">
        <v>7.407407407407407E-2</v>
      </c>
      <c r="X375" s="10">
        <f t="shared" si="41"/>
        <v>4.301314159359837E-2</v>
      </c>
      <c r="Y375" s="8">
        <f>(Table1[[#This Row],[2023 Market share (%)]]-Table1[[#This Row],[2019 Market share (%)]])*10000</f>
        <v>4.3387098773721693</v>
      </c>
      <c r="Z375" s="10">
        <f t="shared" si="42"/>
        <v>5.0213393420606156E-3</v>
      </c>
      <c r="AA375" s="10">
        <f t="shared" si="43"/>
        <v>3.7801985653766579E-2</v>
      </c>
      <c r="AB375" s="5">
        <v>85300</v>
      </c>
      <c r="AC375" s="6">
        <f>Table1[[#This Row],[2022 U.S. Sales ($000)]]/SUMIF($E:$E, E375, $AB:$AB)</f>
        <v>3.6271927879330907E-3</v>
      </c>
      <c r="AD375" s="5">
        <v>27</v>
      </c>
      <c r="AE375" s="5">
        <f t="shared" si="44"/>
        <v>3159.2592592592591</v>
      </c>
      <c r="AF375" s="5">
        <v>73900</v>
      </c>
      <c r="AG375" s="6">
        <f>Table1[[#This Row],[2021 U.S. Sales ($000)]]/SUMIF($E:$E, E375, $AF:$AF)</f>
        <v>3.4023776588557007E-3</v>
      </c>
      <c r="AH375" s="5">
        <v>25</v>
      </c>
      <c r="AI375" s="12">
        <f t="shared" si="45"/>
        <v>2956</v>
      </c>
      <c r="AJ375" s="5">
        <v>57500</v>
      </c>
      <c r="AK375" s="6">
        <f>Table1[[#This Row],[2020 U.S. Sales ($000)]]/SUMIF($E:$E, E375, $AJ:$AJ)</f>
        <v>3.5262451064150247E-3</v>
      </c>
      <c r="AL375" s="5">
        <v>25</v>
      </c>
      <c r="AM375" s="5">
        <f t="shared" si="46"/>
        <v>2300</v>
      </c>
      <c r="AN375" s="5">
        <v>82300</v>
      </c>
      <c r="AO375" s="6">
        <f>Table1[[#This Row],[2019 U.S. Sales ($000)]]/SUMIF($E:$E, E375, $AN:$AN)</f>
        <v>3.6038219955400186E-3</v>
      </c>
      <c r="AP375" s="5">
        <v>25</v>
      </c>
      <c r="AQ375" s="5">
        <f t="shared" si="47"/>
        <v>3292</v>
      </c>
    </row>
    <row r="376" spans="1:43" x14ac:dyDescent="0.25">
      <c r="A376" t="s">
        <v>441</v>
      </c>
      <c r="B376">
        <v>9249</v>
      </c>
      <c r="C376" t="s">
        <v>44</v>
      </c>
      <c r="D376" t="s">
        <v>56</v>
      </c>
      <c r="E376" t="s">
        <v>52</v>
      </c>
      <c r="F376" s="5">
        <v>457</v>
      </c>
      <c r="G376" s="5">
        <v>0</v>
      </c>
      <c r="H376" s="6">
        <f>Table1[[#This Row],[2024 U.S. Sales ($000)]]/SUMIF($E:$E, E376, $G:$G)</f>
        <v>0</v>
      </c>
      <c r="I376" s="5">
        <v>0</v>
      </c>
      <c r="J376" s="5" t="e">
        <f>Table1[[#This Row],[2024 U.S. Sales ($000)]]/Table1[[#This Row],[2024 U.S. Units]]</f>
        <v>#DIV/0!</v>
      </c>
      <c r="K376" s="6">
        <f>Table1[[#This Row],[2024 U.S. Units]]/Table1[[#This Row],[2023 U.S. Units]]-1</f>
        <v>-1</v>
      </c>
      <c r="L376" s="8">
        <f>(Table1[[#This Row],[2024 Market share (%)]]-Table1[[#This Row],[2023 Market share (%)]])*10000</f>
        <v>-20.117656573315166</v>
      </c>
      <c r="M376" s="6">
        <f>_xlfn.RRI(5,Table1[[#This Row],[2019 U.S. Sales ($000)]],Table1[[#This Row],[2024 U.S. Sales ($000)]])</f>
        <v>-1</v>
      </c>
      <c r="N376" s="9">
        <f>(Table1[[#This Row],[2024 Market share (%)]]-Table1[[#This Row],[2019 Market share (%)]])*10000</f>
        <v>-23.223390037454418</v>
      </c>
      <c r="O376" s="6" t="e">
        <f>IF(Table1[[#This Row],[2024 AUV]]=0,"",_xlfn.RRI(5,Table1[[#This Row],[2019 AUV]],Table1[[#This Row],[2024 AUV]]))</f>
        <v>#DIV/0!</v>
      </c>
      <c r="P376" s="6">
        <f>_xlfn.RRI(5,Table1[[#This Row],[2019 U.S. Units]],Table1[[#This Row],[2024 U.S. Units]])</f>
        <v>-1</v>
      </c>
      <c r="Q376" s="5">
        <v>66567</v>
      </c>
      <c r="R376" s="6">
        <f>Table1[[#This Row],[2023 U.S. Sales ($000)]]/SUMIF($E:$E, E376, $Q:$Q)</f>
        <v>2.0117656573315165E-3</v>
      </c>
      <c r="S376" s="8">
        <f>(Table1[[#This Row],[2023 Market share (%)]]-Table1[[#This Row],[2022 Market share (%)]])*10000</f>
        <v>-1.4757038323599032</v>
      </c>
      <c r="T376" s="10">
        <v>1.7797348745470391E-2</v>
      </c>
      <c r="U376" s="5">
        <v>81</v>
      </c>
      <c r="V376" s="5">
        <f t="shared" si="40"/>
        <v>821.81481481481478</v>
      </c>
      <c r="W376" s="10">
        <v>0</v>
      </c>
      <c r="X376" s="10">
        <f t="shared" si="41"/>
        <v>4.2767885330235123E-2</v>
      </c>
      <c r="Y376" s="8">
        <f>(Table1[[#This Row],[2023 Market share (%)]]-Table1[[#This Row],[2019 Market share (%)]])*10000</f>
        <v>-3.1057334641392549</v>
      </c>
      <c r="Z376" s="10">
        <f t="shared" si="42"/>
        <v>2.6289276001660866E-2</v>
      </c>
      <c r="AA376" s="10">
        <f t="shared" si="43"/>
        <v>1.6056495681971317E-2</v>
      </c>
      <c r="AB376" s="5">
        <v>65403</v>
      </c>
      <c r="AC376" s="6">
        <f>Table1[[#This Row],[2022 U.S. Sales ($000)]]/SUMIF($E:$E, E376, $AB:$AB)</f>
        <v>2.1593360405675068E-3</v>
      </c>
      <c r="AD376" s="5">
        <v>81</v>
      </c>
      <c r="AE376" s="5">
        <f t="shared" si="44"/>
        <v>807.44444444444446</v>
      </c>
      <c r="AF376" s="5">
        <v>60400</v>
      </c>
      <c r="AG376" s="6">
        <f>Table1[[#This Row],[2021 U.S. Sales ($000)]]/SUMIF($E:$E, E376, $AF:$AF)</f>
        <v>2.2036351515706959E-3</v>
      </c>
      <c r="AH376" s="5">
        <v>82</v>
      </c>
      <c r="AI376" s="12">
        <f t="shared" si="45"/>
        <v>736.58536585365857</v>
      </c>
      <c r="AJ376" s="5">
        <v>52000</v>
      </c>
      <c r="AK376" s="6">
        <f>Table1[[#This Row],[2020 U.S. Sales ($000)]]/SUMIF($E:$E, E376, $AJ:$AJ)</f>
        <v>2.2060410993093096E-3</v>
      </c>
      <c r="AL376" s="5">
        <v>78</v>
      </c>
      <c r="AM376" s="5">
        <f t="shared" si="46"/>
        <v>666.66666666666663</v>
      </c>
      <c r="AN376" s="5">
        <v>56300</v>
      </c>
      <c r="AO376" s="6">
        <f>Table1[[#This Row],[2019 U.S. Sales ($000)]]/SUMIF($E:$E, E376, $AN:$AN)</f>
        <v>2.322339003745442E-3</v>
      </c>
      <c r="AP376" s="5">
        <v>76</v>
      </c>
      <c r="AQ376" s="5">
        <f t="shared" si="47"/>
        <v>740.78947368421052</v>
      </c>
    </row>
    <row r="377" spans="1:43" x14ac:dyDescent="0.25">
      <c r="A377" t="s">
        <v>442</v>
      </c>
      <c r="B377">
        <v>2665</v>
      </c>
      <c r="C377" t="s">
        <v>68</v>
      </c>
      <c r="D377" t="s">
        <v>69</v>
      </c>
      <c r="E377" t="s">
        <v>125</v>
      </c>
      <c r="F377" s="5">
        <v>273</v>
      </c>
      <c r="G377" s="5">
        <v>0</v>
      </c>
      <c r="H377" s="6">
        <f>Table1[[#This Row],[2024 U.S. Sales ($000)]]/SUMIF($E:$E, E377, $G:$G)</f>
        <v>0</v>
      </c>
      <c r="I377" s="5">
        <v>0</v>
      </c>
      <c r="J377" s="5" t="e">
        <f>Table1[[#This Row],[2024 U.S. Sales ($000)]]/Table1[[#This Row],[2024 U.S. Units]]</f>
        <v>#DIV/0!</v>
      </c>
      <c r="K377" s="6">
        <f>Table1[[#This Row],[2024 U.S. Units]]/Table1[[#This Row],[2023 U.S. Units]]-1</f>
        <v>-1</v>
      </c>
      <c r="L377" s="8">
        <f>(Table1[[#This Row],[2024 Market share (%)]]-Table1[[#This Row],[2023 Market share (%)]])*10000</f>
        <v>-371.77390537598234</v>
      </c>
      <c r="M377" s="6">
        <f>_xlfn.RRI(5,Table1[[#This Row],[2019 U.S. Sales ($000)]],Table1[[#This Row],[2024 U.S. Sales ($000)]])</f>
        <v>-1</v>
      </c>
      <c r="N377" s="9">
        <f>(Table1[[#This Row],[2024 Market share (%)]]-Table1[[#This Row],[2019 Market share (%)]])*10000</f>
        <v>-426.39120489039067</v>
      </c>
      <c r="O377" s="6" t="e">
        <f>IF(Table1[[#This Row],[2024 AUV]]=0,"",_xlfn.RRI(5,Table1[[#This Row],[2019 AUV]],Table1[[#This Row],[2024 AUV]]))</f>
        <v>#DIV/0!</v>
      </c>
      <c r="P377" s="6">
        <f>_xlfn.RRI(5,Table1[[#This Row],[2019 U.S. Units]],Table1[[#This Row],[2024 U.S. Units]])</f>
        <v>-1</v>
      </c>
      <c r="Q377" s="5">
        <v>131716</v>
      </c>
      <c r="R377" s="6">
        <f>Table1[[#This Row],[2023 U.S. Sales ($000)]]/SUMIF($E:$E, E377, $Q:$Q)</f>
        <v>3.7177390537598234E-2</v>
      </c>
      <c r="S377" s="8">
        <f>(Table1[[#This Row],[2023 Market share (%)]]-Table1[[#This Row],[2022 Market share (%)]])*10000</f>
        <v>-29.535915805283462</v>
      </c>
      <c r="T377" s="10">
        <v>4.2543592341361867E-2</v>
      </c>
      <c r="U377" s="5">
        <v>27</v>
      </c>
      <c r="V377" s="5">
        <f t="shared" si="40"/>
        <v>4878.3703703703704</v>
      </c>
      <c r="W377" s="10">
        <v>0.08</v>
      </c>
      <c r="X377" s="10">
        <f t="shared" si="41"/>
        <v>3.8599302611377118E-2</v>
      </c>
      <c r="Y377" s="8">
        <f>(Table1[[#This Row],[2023 Market share (%)]]-Table1[[#This Row],[2019 Market share (%)]])*10000</f>
        <v>-54.617299514408344</v>
      </c>
      <c r="Z377" s="10">
        <f t="shared" si="42"/>
        <v>8.4628310375760574E-3</v>
      </c>
      <c r="AA377" s="10">
        <f t="shared" si="43"/>
        <v>2.9883571953558841E-2</v>
      </c>
      <c r="AB377" s="5">
        <v>126341</v>
      </c>
      <c r="AC377" s="6">
        <f>Table1[[#This Row],[2022 U.S. Sales ($000)]]/SUMIF($E:$E, E377, $AB:$AB)</f>
        <v>4.0130982118126581E-2</v>
      </c>
      <c r="AD377" s="5">
        <v>25</v>
      </c>
      <c r="AE377" s="5">
        <f t="shared" si="44"/>
        <v>5053.6400000000003</v>
      </c>
      <c r="AF377" s="5">
        <v>123181</v>
      </c>
      <c r="AG377" s="6">
        <f>Table1[[#This Row],[2021 U.S. Sales ($000)]]/SUMIF($E:$E, E377, $AF:$AF)</f>
        <v>4.6319860898653656E-2</v>
      </c>
      <c r="AH377" s="5">
        <v>24</v>
      </c>
      <c r="AI377" s="12">
        <f t="shared" si="45"/>
        <v>5132.541666666667</v>
      </c>
      <c r="AJ377" s="5">
        <v>78591</v>
      </c>
      <c r="AK377" s="6">
        <f>Table1[[#This Row],[2020 U.S. Sales ($000)]]/SUMIF($E:$E, E377, $AJ:$AJ)</f>
        <v>4.1473063959738023E-2</v>
      </c>
      <c r="AL377" s="5">
        <v>24</v>
      </c>
      <c r="AM377" s="5">
        <f t="shared" si="46"/>
        <v>3274.625</v>
      </c>
      <c r="AN377" s="5">
        <v>113200</v>
      </c>
      <c r="AO377" s="6">
        <f>Table1[[#This Row],[2019 U.S. Sales ($000)]]/SUMIF($E:$E, E377, $AN:$AN)</f>
        <v>4.2639120489039069E-2</v>
      </c>
      <c r="AP377" s="5">
        <v>24</v>
      </c>
      <c r="AQ377" s="5">
        <f t="shared" si="47"/>
        <v>4716.666666666667</v>
      </c>
    </row>
    <row r="378" spans="1:43" x14ac:dyDescent="0.25">
      <c r="A378" t="s">
        <v>443</v>
      </c>
      <c r="B378">
        <v>5995</v>
      </c>
      <c r="C378" t="s">
        <v>44</v>
      </c>
      <c r="D378" t="s">
        <v>45</v>
      </c>
      <c r="E378" t="s">
        <v>52</v>
      </c>
      <c r="F378" s="5">
        <v>474</v>
      </c>
      <c r="G378" s="5">
        <v>0</v>
      </c>
      <c r="H378" s="6">
        <f>Table1[[#This Row],[2024 U.S. Sales ($000)]]/SUMIF($E:$E, E378, $G:$G)</f>
        <v>0</v>
      </c>
      <c r="I378" s="5">
        <v>0</v>
      </c>
      <c r="J378" s="5" t="e">
        <f>Table1[[#This Row],[2024 U.S. Sales ($000)]]/Table1[[#This Row],[2024 U.S. Units]]</f>
        <v>#DIV/0!</v>
      </c>
      <c r="K378" s="6">
        <f>Table1[[#This Row],[2024 U.S. Units]]/Table1[[#This Row],[2023 U.S. Units]]-1</f>
        <v>-1</v>
      </c>
      <c r="L378" s="8">
        <f>(Table1[[#This Row],[2024 Market share (%)]]-Table1[[#This Row],[2023 Market share (%)]])*10000</f>
        <v>-18.918763073137278</v>
      </c>
      <c r="M378" s="6">
        <f>_xlfn.RRI(5,Table1[[#This Row],[2019 U.S. Sales ($000)]],Table1[[#This Row],[2024 U.S. Sales ($000)]])</f>
        <v>-1</v>
      </c>
      <c r="N378" s="9">
        <f>(Table1[[#This Row],[2024 Market share (%)]]-Table1[[#This Row],[2019 Market share (%)]])*10000</f>
        <v>-22.315904103486396</v>
      </c>
      <c r="O378" s="6" t="e">
        <f>IF(Table1[[#This Row],[2024 AUV]]=0,"",_xlfn.RRI(5,Table1[[#This Row],[2019 AUV]],Table1[[#This Row],[2024 AUV]]))</f>
        <v>#DIV/0!</v>
      </c>
      <c r="P378" s="6">
        <f>_xlfn.RRI(5,Table1[[#This Row],[2019 U.S. Units]],Table1[[#This Row],[2024 U.S. Units]])</f>
        <v>-1</v>
      </c>
      <c r="Q378" s="5">
        <v>62600</v>
      </c>
      <c r="R378" s="6">
        <f>Table1[[#This Row],[2023 U.S. Sales ($000)]]/SUMIF($E:$E, E378, $Q:$Q)</f>
        <v>1.8918763073137279E-3</v>
      </c>
      <c r="S378" s="8">
        <f>(Table1[[#This Row],[2023 Market share (%)]]-Table1[[#This Row],[2022 Market share (%)]])*10000</f>
        <v>-0.72567134329112226</v>
      </c>
      <c r="T378" s="10">
        <v>5.2100840336134456E-2</v>
      </c>
      <c r="U378" s="5">
        <v>102</v>
      </c>
      <c r="V378" s="5">
        <f t="shared" si="40"/>
        <v>613.72549019607845</v>
      </c>
      <c r="W378" s="10">
        <v>0.02</v>
      </c>
      <c r="X378" s="10">
        <f t="shared" si="41"/>
        <v>3.7156436835674489E-2</v>
      </c>
      <c r="Y378" s="8">
        <f>(Table1[[#This Row],[2023 Market share (%)]]-Table1[[#This Row],[2019 Market share (%)]])*10000</f>
        <v>-3.3971410303491161</v>
      </c>
      <c r="Z378" s="10">
        <f t="shared" si="42"/>
        <v>-4.2613581644235232E-4</v>
      </c>
      <c r="AA378" s="10">
        <f t="shared" si="43"/>
        <v>3.7598594759991943E-2</v>
      </c>
      <c r="AB378" s="5">
        <v>59500</v>
      </c>
      <c r="AC378" s="6">
        <f>Table1[[#This Row],[2022 U.S. Sales ($000)]]/SUMIF($E:$E, E378, $AB:$AB)</f>
        <v>1.9644434416428401E-3</v>
      </c>
      <c r="AD378" s="5">
        <v>100</v>
      </c>
      <c r="AE378" s="5">
        <f t="shared" si="44"/>
        <v>595</v>
      </c>
      <c r="AF378" s="5">
        <v>54900</v>
      </c>
      <c r="AG378" s="6">
        <f>Table1[[#This Row],[2021 U.S. Sales ($000)]]/SUMIF($E:$E, E378, $AF:$AF)</f>
        <v>2.0029730102852847E-3</v>
      </c>
      <c r="AH378" s="5">
        <v>95</v>
      </c>
      <c r="AI378" s="12">
        <f t="shared" si="45"/>
        <v>577.89473684210532</v>
      </c>
      <c r="AJ378" s="5">
        <v>49200</v>
      </c>
      <c r="AK378" s="6">
        <f>Table1[[#This Row],[2020 U.S. Sales ($000)]]/SUMIF($E:$E, E378, $AJ:$AJ)</f>
        <v>2.0872542708849622E-3</v>
      </c>
      <c r="AL378" s="5">
        <v>91</v>
      </c>
      <c r="AM378" s="5">
        <f t="shared" si="46"/>
        <v>540.65934065934061</v>
      </c>
      <c r="AN378" s="5">
        <v>54100</v>
      </c>
      <c r="AO378" s="6">
        <f>Table1[[#This Row],[2019 U.S. Sales ($000)]]/SUMIF($E:$E, E378, $AN:$AN)</f>
        <v>2.2315904103486395E-3</v>
      </c>
      <c r="AP378" s="5">
        <v>88</v>
      </c>
      <c r="AQ378" s="5">
        <f t="shared" si="47"/>
        <v>614.77272727272725</v>
      </c>
    </row>
    <row r="379" spans="1:43" x14ac:dyDescent="0.25">
      <c r="A379" t="s">
        <v>444</v>
      </c>
      <c r="B379">
        <v>2567</v>
      </c>
      <c r="C379" t="s">
        <v>44</v>
      </c>
      <c r="D379" t="s">
        <v>45</v>
      </c>
      <c r="E379" t="s">
        <v>61</v>
      </c>
      <c r="F379" s="5">
        <v>355</v>
      </c>
      <c r="G379" s="5">
        <v>0</v>
      </c>
      <c r="H379" s="6">
        <f>Table1[[#This Row],[2024 U.S. Sales ($000)]]/SUMIF($E:$E, E379, $G:$G)</f>
        <v>0</v>
      </c>
      <c r="I379" s="5">
        <v>0</v>
      </c>
      <c r="J379" s="5" t="e">
        <f>Table1[[#This Row],[2024 U.S. Sales ($000)]]/Table1[[#This Row],[2024 U.S. Units]]</f>
        <v>#DIV/0!</v>
      </c>
      <c r="K379" s="6">
        <f>Table1[[#This Row],[2024 U.S. Units]]/Table1[[#This Row],[2023 U.S. Units]]-1</f>
        <v>-1</v>
      </c>
      <c r="L379" s="8">
        <f>(Table1[[#This Row],[2024 Market share (%)]]-Table1[[#This Row],[2023 Market share (%)]])*10000</f>
        <v>-30.805213918312887</v>
      </c>
      <c r="M379" s="6">
        <f>_xlfn.RRI(5,Table1[[#This Row],[2019 U.S. Sales ($000)]],Table1[[#This Row],[2024 U.S. Sales ($000)]])</f>
        <v>-1</v>
      </c>
      <c r="N379" s="9">
        <f>(Table1[[#This Row],[2024 Market share (%)]]-Table1[[#This Row],[2019 Market share (%)]])*10000</f>
        <v>-31.578551336475975</v>
      </c>
      <c r="O379" s="6" t="e">
        <f>IF(Table1[[#This Row],[2024 AUV]]=0,"",_xlfn.RRI(5,Table1[[#This Row],[2019 AUV]],Table1[[#This Row],[2024 AUV]]))</f>
        <v>#DIV/0!</v>
      </c>
      <c r="P379" s="6">
        <f>_xlfn.RRI(5,Table1[[#This Row],[2019 U.S. Units]],Table1[[#This Row],[2024 U.S. Units]])</f>
        <v>-1</v>
      </c>
      <c r="Q379" s="5">
        <v>94100</v>
      </c>
      <c r="R379" s="6">
        <f>Table1[[#This Row],[2023 U.S. Sales ($000)]]/SUMIF($E:$E, E379, $Q:$Q)</f>
        <v>3.0805213918312889E-3</v>
      </c>
      <c r="S379" s="8">
        <f>(Table1[[#This Row],[2023 Market share (%)]]-Table1[[#This Row],[2022 Market share (%)]])*10000</f>
        <v>1.6168395169235223</v>
      </c>
      <c r="T379" s="10">
        <v>8.6078345375222173E-2</v>
      </c>
      <c r="U379" s="5">
        <v>110</v>
      </c>
      <c r="V379" s="5">
        <f t="shared" si="40"/>
        <v>855.4545454545455</v>
      </c>
      <c r="W379" s="10">
        <v>4.7619047619047616E-2</v>
      </c>
      <c r="X379" s="10">
        <f t="shared" si="41"/>
        <v>3.6592360091957321E-2</v>
      </c>
      <c r="Y379" s="8">
        <f>(Table1[[#This Row],[2023 Market share (%)]]-Table1[[#This Row],[2019 Market share (%)]])*10000</f>
        <v>-0.77333741816308643</v>
      </c>
      <c r="Z379" s="10">
        <f t="shared" si="42"/>
        <v>1.2184849339010428E-2</v>
      </c>
      <c r="AA379" s="10">
        <f t="shared" si="43"/>
        <v>2.4113689084445111E-2</v>
      </c>
      <c r="AB379" s="5">
        <v>86642</v>
      </c>
      <c r="AC379" s="6">
        <f>Table1[[#This Row],[2022 U.S. Sales ($000)]]/SUMIF($E:$E, E379, $AB:$AB)</f>
        <v>2.9188374401389367E-3</v>
      </c>
      <c r="AD379" s="5">
        <v>105</v>
      </c>
      <c r="AE379" s="5">
        <f t="shared" si="44"/>
        <v>825.16190476190479</v>
      </c>
      <c r="AF379" s="5">
        <v>81738</v>
      </c>
      <c r="AG379" s="6">
        <f>Table1[[#This Row],[2021 U.S. Sales ($000)]]/SUMIF($E:$E, E379, $AF:$AF)</f>
        <v>2.8119039952443463E-3</v>
      </c>
      <c r="AH379" s="5">
        <v>101</v>
      </c>
      <c r="AI379" s="12">
        <f t="shared" si="45"/>
        <v>809.28712871287132</v>
      </c>
      <c r="AJ379" s="5">
        <v>71160</v>
      </c>
      <c r="AK379" s="6">
        <f>Table1[[#This Row],[2020 U.S. Sales ($000)]]/SUMIF($E:$E, E379, $AJ:$AJ)</f>
        <v>2.6290395297669453E-3</v>
      </c>
      <c r="AL379" s="5">
        <v>97</v>
      </c>
      <c r="AM379" s="5">
        <f t="shared" si="46"/>
        <v>733.60824742268039</v>
      </c>
      <c r="AN379" s="5">
        <v>81500</v>
      </c>
      <c r="AO379" s="6">
        <f>Table1[[#This Row],[2019 U.S. Sales ($000)]]/SUMIF($E:$E, E379, $AN:$AN)</f>
        <v>3.1578551336475975E-3</v>
      </c>
      <c r="AP379" s="5">
        <v>100</v>
      </c>
      <c r="AQ379" s="5">
        <f t="shared" si="47"/>
        <v>815</v>
      </c>
    </row>
    <row r="380" spans="1:43" x14ac:dyDescent="0.25">
      <c r="A380" t="s">
        <v>445</v>
      </c>
      <c r="B380">
        <v>7702</v>
      </c>
      <c r="C380" t="s">
        <v>44</v>
      </c>
      <c r="D380" t="s">
        <v>56</v>
      </c>
      <c r="E380" t="s">
        <v>52</v>
      </c>
      <c r="F380" s="5">
        <v>338</v>
      </c>
      <c r="G380" s="5">
        <v>0</v>
      </c>
      <c r="H380" s="6">
        <f>Table1[[#This Row],[2024 U.S. Sales ($000)]]/SUMIF($E:$E, E380, $G:$G)</f>
        <v>0</v>
      </c>
      <c r="I380" s="5">
        <v>0</v>
      </c>
      <c r="J380" s="5" t="e">
        <f>Table1[[#This Row],[2024 U.S. Sales ($000)]]/Table1[[#This Row],[2024 U.S. Units]]</f>
        <v>#DIV/0!</v>
      </c>
      <c r="K380" s="6">
        <f>Table1[[#This Row],[2024 U.S. Units]]/Table1[[#This Row],[2023 U.S. Units]]-1</f>
        <v>-1</v>
      </c>
      <c r="L380" s="8">
        <f>(Table1[[#This Row],[2024 Market share (%)]]-Table1[[#This Row],[2023 Market share (%)]])*10000</f>
        <v>-29.949671254758854</v>
      </c>
      <c r="M380" s="6">
        <f>_xlfn.RRI(5,Table1[[#This Row],[2019 U.S. Sales ($000)]],Table1[[#This Row],[2024 U.S. Sales ($000)]])</f>
        <v>-1</v>
      </c>
      <c r="N380" s="9">
        <f>(Table1[[#This Row],[2024 Market share (%)]]-Table1[[#This Row],[2019 Market share (%)]])*10000</f>
        <v>-35.639447588562376</v>
      </c>
      <c r="O380" s="6" t="e">
        <f>IF(Table1[[#This Row],[2024 AUV]]=0,"",_xlfn.RRI(5,Table1[[#This Row],[2019 AUV]],Table1[[#This Row],[2024 AUV]]))</f>
        <v>#DIV/0!</v>
      </c>
      <c r="P380" s="6">
        <f>_xlfn.RRI(5,Table1[[#This Row],[2019 U.S. Units]],Table1[[#This Row],[2024 U.S. Units]])</f>
        <v>-1</v>
      </c>
      <c r="Q380" s="5">
        <v>99100</v>
      </c>
      <c r="R380" s="6">
        <f>Table1[[#This Row],[2023 U.S. Sales ($000)]]/SUMIF($E:$E, E380, $Q:$Q)</f>
        <v>2.9949671254758856E-3</v>
      </c>
      <c r="S380" s="8">
        <f>(Table1[[#This Row],[2023 Market share (%)]]-Table1[[#This Row],[2022 Market share (%)]])*10000</f>
        <v>-0.78809083212322883</v>
      </c>
      <c r="T380" s="10">
        <v>6.4446831364124602E-2</v>
      </c>
      <c r="U380" s="5">
        <v>52</v>
      </c>
      <c r="V380" s="5">
        <f t="shared" si="40"/>
        <v>1905.7692307692307</v>
      </c>
      <c r="W380" s="10">
        <v>1.9607843137254902E-2</v>
      </c>
      <c r="X380" s="10">
        <f t="shared" si="41"/>
        <v>3.4879962138846254E-2</v>
      </c>
      <c r="Y380" s="8">
        <f>(Table1[[#This Row],[2023 Market share (%)]]-Table1[[#This Row],[2019 Market share (%)]])*10000</f>
        <v>-5.689776333803521</v>
      </c>
      <c r="Z380" s="10">
        <f t="shared" si="42"/>
        <v>2.4782364873533691E-2</v>
      </c>
      <c r="AA380" s="10">
        <f t="shared" si="43"/>
        <v>9.8534065489688238E-3</v>
      </c>
      <c r="AB380" s="5">
        <v>93100</v>
      </c>
      <c r="AC380" s="6">
        <f>Table1[[#This Row],[2022 U.S. Sales ($000)]]/SUMIF($E:$E, E380, $AB:$AB)</f>
        <v>3.0737762086882085E-3</v>
      </c>
      <c r="AD380" s="5">
        <v>51</v>
      </c>
      <c r="AE380" s="5">
        <f t="shared" si="44"/>
        <v>1825.4901960784314</v>
      </c>
      <c r="AF380" s="5">
        <v>88500</v>
      </c>
      <c r="AG380" s="6">
        <f>Table1[[#This Row],[2021 U.S. Sales ($000)]]/SUMIF($E:$E, E380, $AF:$AF)</f>
        <v>3.2288362734107048E-3</v>
      </c>
      <c r="AH380" s="5">
        <v>51</v>
      </c>
      <c r="AI380" s="12">
        <f t="shared" si="45"/>
        <v>1735.2941176470588</v>
      </c>
      <c r="AJ380" s="5">
        <v>76500</v>
      </c>
      <c r="AK380" s="6">
        <f>Table1[[#This Row],[2020 U.S. Sales ($000)]]/SUMIF($E:$E, E380, $AJ:$AJ)</f>
        <v>3.24542584802235E-3</v>
      </c>
      <c r="AL380" s="5">
        <v>51</v>
      </c>
      <c r="AM380" s="5">
        <f t="shared" si="46"/>
        <v>1500</v>
      </c>
      <c r="AN380" s="5">
        <v>86400</v>
      </c>
      <c r="AO380" s="6">
        <f>Table1[[#This Row],[2019 U.S. Sales ($000)]]/SUMIF($E:$E, E380, $AN:$AN)</f>
        <v>3.5639447588562377E-3</v>
      </c>
      <c r="AP380" s="5">
        <v>50</v>
      </c>
      <c r="AQ380" s="5">
        <f t="shared" si="47"/>
        <v>1728</v>
      </c>
    </row>
    <row r="381" spans="1:43" x14ac:dyDescent="0.25">
      <c r="A381" t="s">
        <v>446</v>
      </c>
      <c r="B381">
        <v>5338</v>
      </c>
      <c r="C381" t="s">
        <v>68</v>
      </c>
      <c r="D381" t="s">
        <v>69</v>
      </c>
      <c r="E381" t="s">
        <v>79</v>
      </c>
      <c r="F381" s="5">
        <v>300</v>
      </c>
      <c r="G381" s="5">
        <v>0</v>
      </c>
      <c r="H381" s="6">
        <f>Table1[[#This Row],[2024 U.S. Sales ($000)]]/SUMIF($E:$E, E381, $G:$G)</f>
        <v>0</v>
      </c>
      <c r="I381" s="5">
        <v>0</v>
      </c>
      <c r="J381" s="5" t="e">
        <f>Table1[[#This Row],[2024 U.S. Sales ($000)]]/Table1[[#This Row],[2024 U.S. Units]]</f>
        <v>#DIV/0!</v>
      </c>
      <c r="K381" s="6">
        <f>Table1[[#This Row],[2024 U.S. Units]]/Table1[[#This Row],[2023 U.S. Units]]-1</f>
        <v>-1</v>
      </c>
      <c r="L381" s="8">
        <f>(Table1[[#This Row],[2024 Market share (%)]]-Table1[[#This Row],[2023 Market share (%)]])*10000</f>
        <v>-48.419151996589434</v>
      </c>
      <c r="M381" s="6">
        <f>_xlfn.RRI(5,Table1[[#This Row],[2019 U.S. Sales ($000)]],Table1[[#This Row],[2024 U.S. Sales ($000)]])</f>
        <v>-1</v>
      </c>
      <c r="N381" s="9">
        <f>(Table1[[#This Row],[2024 Market share (%)]]-Table1[[#This Row],[2019 Market share (%)]])*10000</f>
        <v>-44.883566773129026</v>
      </c>
      <c r="O381" s="6" t="e">
        <f>IF(Table1[[#This Row],[2024 AUV]]=0,"",_xlfn.RRI(5,Table1[[#This Row],[2019 AUV]],Table1[[#This Row],[2024 AUV]]))</f>
        <v>#DIV/0!</v>
      </c>
      <c r="P381" s="6">
        <f>_xlfn.RRI(5,Table1[[#This Row],[2019 U.S. Units]],Table1[[#This Row],[2024 U.S. Units]])</f>
        <v>-1</v>
      </c>
      <c r="Q381" s="5">
        <v>116800</v>
      </c>
      <c r="R381" s="6">
        <f>Table1[[#This Row],[2023 U.S. Sales ($000)]]/SUMIF($E:$E, E381, $Q:$Q)</f>
        <v>4.8419151996589435E-3</v>
      </c>
      <c r="S381" s="8">
        <f>(Table1[[#This Row],[2023 Market share (%)]]-Table1[[#This Row],[2022 Market share (%)]])*10000</f>
        <v>4.6632155513004481</v>
      </c>
      <c r="T381" s="10">
        <v>0.13508260447035958</v>
      </c>
      <c r="U381" s="5">
        <v>47</v>
      </c>
      <c r="V381" s="5">
        <f t="shared" si="40"/>
        <v>2485.1063829787236</v>
      </c>
      <c r="W381" s="10">
        <v>9.3023255813953487E-2</v>
      </c>
      <c r="X381" s="10">
        <f t="shared" si="41"/>
        <v>3.3188930059387944E-2</v>
      </c>
      <c r="Y381" s="8">
        <f>(Table1[[#This Row],[2023 Market share (%)]]-Table1[[#This Row],[2019 Market share (%)]])*10000</f>
        <v>3.535585223460409</v>
      </c>
      <c r="Z381" s="10">
        <f t="shared" si="42"/>
        <v>-1.4927006100672324E-3</v>
      </c>
      <c r="AA381" s="10">
        <f t="shared" si="43"/>
        <v>3.4733477352288711E-2</v>
      </c>
      <c r="AB381" s="5">
        <v>102900</v>
      </c>
      <c r="AC381" s="6">
        <f>Table1[[#This Row],[2022 U.S. Sales ($000)]]/SUMIF($E:$E, E381, $AB:$AB)</f>
        <v>4.3755936445288987E-3</v>
      </c>
      <c r="AD381" s="5">
        <v>43</v>
      </c>
      <c r="AE381" s="5">
        <f t="shared" si="44"/>
        <v>2393.0232558139537</v>
      </c>
      <c r="AF381" s="5">
        <v>91200</v>
      </c>
      <c r="AG381" s="6">
        <f>Table1[[#This Row],[2021 U.S. Sales ($000)]]/SUMIF($E:$E, E381, $AF:$AF)</f>
        <v>4.1988747291967507E-3</v>
      </c>
      <c r="AH381" s="5">
        <v>40</v>
      </c>
      <c r="AI381" s="12">
        <f t="shared" si="45"/>
        <v>2280</v>
      </c>
      <c r="AJ381" s="5">
        <v>76600</v>
      </c>
      <c r="AK381" s="6">
        <f>Table1[[#This Row],[2020 U.S. Sales ($000)]]/SUMIF($E:$E, E381, $AJ:$AJ)</f>
        <v>4.6975717417633202E-3</v>
      </c>
      <c r="AL381" s="5">
        <v>40</v>
      </c>
      <c r="AM381" s="5">
        <f t="shared" si="46"/>
        <v>1915</v>
      </c>
      <c r="AN381" s="5">
        <v>102500</v>
      </c>
      <c r="AO381" s="6">
        <f>Table1[[#This Row],[2019 U.S. Sales ($000)]]/SUMIF($E:$E, E381, $AN:$AN)</f>
        <v>4.4883566773129026E-3</v>
      </c>
      <c r="AP381" s="5">
        <v>41</v>
      </c>
      <c r="AQ381" s="5">
        <f t="shared" si="47"/>
        <v>2500</v>
      </c>
    </row>
    <row r="382" spans="1:43" x14ac:dyDescent="0.25">
      <c r="A382" t="s">
        <v>447</v>
      </c>
      <c r="B382">
        <v>2774</v>
      </c>
      <c r="C382" t="s">
        <v>44</v>
      </c>
      <c r="D382" t="s">
        <v>45</v>
      </c>
      <c r="E382" t="s">
        <v>76</v>
      </c>
      <c r="F382" s="5">
        <v>411</v>
      </c>
      <c r="G382" s="5">
        <v>0</v>
      </c>
      <c r="H382" s="6">
        <f>Table1[[#This Row],[2024 U.S. Sales ($000)]]/SUMIF($E:$E, E382, $G:$G)</f>
        <v>0</v>
      </c>
      <c r="I382" s="5">
        <v>0</v>
      </c>
      <c r="J382" s="5" t="e">
        <f>Table1[[#This Row],[2024 U.S. Sales ($000)]]/Table1[[#This Row],[2024 U.S. Units]]</f>
        <v>#DIV/0!</v>
      </c>
      <c r="K382" s="6">
        <f>Table1[[#This Row],[2024 U.S. Units]]/Table1[[#This Row],[2023 U.S. Units]]-1</f>
        <v>-1</v>
      </c>
      <c r="L382" s="8">
        <f>(Table1[[#This Row],[2024 Market share (%)]]-Table1[[#This Row],[2023 Market share (%)]])*10000</f>
        <v>-94.980531856469156</v>
      </c>
      <c r="M382" s="6">
        <f>_xlfn.RRI(5,Table1[[#This Row],[2019 U.S. Sales ($000)]],Table1[[#This Row],[2024 U.S. Sales ($000)]])</f>
        <v>-1</v>
      </c>
      <c r="N382" s="9">
        <f>(Table1[[#This Row],[2024 Market share (%)]]-Table1[[#This Row],[2019 Market share (%)]])*10000</f>
        <v>-106.62831197459569</v>
      </c>
      <c r="O382" s="6" t="e">
        <f>IF(Table1[[#This Row],[2024 AUV]]=0,"",_xlfn.RRI(5,Table1[[#This Row],[2019 AUV]],Table1[[#This Row],[2024 AUV]]))</f>
        <v>#DIV/0!</v>
      </c>
      <c r="P382" s="6">
        <f>_xlfn.RRI(5,Table1[[#This Row],[2019 U.S. Units]],Table1[[#This Row],[2024 U.S. Units]])</f>
        <v>-1</v>
      </c>
      <c r="Q382" s="5">
        <v>77065</v>
      </c>
      <c r="R382" s="6">
        <f>Table1[[#This Row],[2023 U.S. Sales ($000)]]/SUMIF($E:$E, E382, $Q:$Q)</f>
        <v>9.4980531856469156E-3</v>
      </c>
      <c r="S382" s="8">
        <f>(Table1[[#This Row],[2023 Market share (%)]]-Table1[[#This Row],[2022 Market share (%)]])*10000</f>
        <v>-3.647318664911515</v>
      </c>
      <c r="T382" s="10">
        <v>3.7716794139825489E-2</v>
      </c>
      <c r="U382" s="5">
        <v>249</v>
      </c>
      <c r="V382" s="5">
        <f t="shared" si="40"/>
        <v>309.49799196787149</v>
      </c>
      <c r="W382" s="10">
        <v>-4.0000000000000001E-3</v>
      </c>
      <c r="X382" s="10">
        <f t="shared" si="41"/>
        <v>3.2921051118996791E-2</v>
      </c>
      <c r="Y382" s="8">
        <f>(Table1[[#This Row],[2023 Market share (%)]]-Table1[[#This Row],[2019 Market share (%)]])*10000</f>
        <v>-11.647780118126533</v>
      </c>
      <c r="Z382" s="10">
        <f t="shared" si="42"/>
        <v>2.4522622213547063E-2</v>
      </c>
      <c r="AA382" s="10">
        <f t="shared" si="43"/>
        <v>8.1974069906867175E-3</v>
      </c>
      <c r="AB382" s="5">
        <v>74264</v>
      </c>
      <c r="AC382" s="6">
        <f>Table1[[#This Row],[2022 U.S. Sales ($000)]]/SUMIF($E:$E, E382, $AB:$AB)</f>
        <v>9.8627850521380671E-3</v>
      </c>
      <c r="AD382" s="5">
        <v>250</v>
      </c>
      <c r="AE382" s="5">
        <f t="shared" si="44"/>
        <v>297.05599999999998</v>
      </c>
      <c r="AF382" s="5">
        <v>72286</v>
      </c>
      <c r="AG382" s="6">
        <f>Table1[[#This Row],[2021 U.S. Sales ($000)]]/SUMIF($E:$E, E382, $AF:$AF)</f>
        <v>9.9007649856486437E-3</v>
      </c>
      <c r="AH382" s="5">
        <v>253</v>
      </c>
      <c r="AI382" s="12">
        <f t="shared" si="45"/>
        <v>285.71541501976287</v>
      </c>
      <c r="AJ382" s="5">
        <v>60800</v>
      </c>
      <c r="AK382" s="6">
        <f>Table1[[#This Row],[2020 U.S. Sales ($000)]]/SUMIF($E:$E, E382, $AJ:$AJ)</f>
        <v>9.5145483390697092E-3</v>
      </c>
      <c r="AL382" s="5">
        <v>255</v>
      </c>
      <c r="AM382" s="5">
        <f t="shared" si="46"/>
        <v>238.43137254901961</v>
      </c>
      <c r="AN382" s="5">
        <v>67700</v>
      </c>
      <c r="AO382" s="6">
        <f>Table1[[#This Row],[2019 U.S. Sales ($000)]]/SUMIF($E:$E, E382, $AN:$AN)</f>
        <v>1.0662831197459569E-2</v>
      </c>
      <c r="AP382" s="5">
        <v>241</v>
      </c>
      <c r="AQ382" s="5">
        <f t="shared" si="47"/>
        <v>280.9128630705394</v>
      </c>
    </row>
    <row r="383" spans="1:43" x14ac:dyDescent="0.25">
      <c r="A383" t="s">
        <v>448</v>
      </c>
      <c r="B383">
        <v>835</v>
      </c>
      <c r="C383" t="s">
        <v>44</v>
      </c>
      <c r="D383" t="s">
        <v>45</v>
      </c>
      <c r="E383" t="s">
        <v>61</v>
      </c>
      <c r="F383" s="5">
        <v>329</v>
      </c>
      <c r="G383" s="5">
        <v>0</v>
      </c>
      <c r="H383" s="6">
        <f>Table1[[#This Row],[2024 U.S. Sales ($000)]]/SUMIF($E:$E, E383, $G:$G)</f>
        <v>0</v>
      </c>
      <c r="I383" s="5">
        <v>0</v>
      </c>
      <c r="J383" s="5" t="e">
        <f>Table1[[#This Row],[2024 U.S. Sales ($000)]]/Table1[[#This Row],[2024 U.S. Units]]</f>
        <v>#DIV/0!</v>
      </c>
      <c r="K383" s="6">
        <f>Table1[[#This Row],[2024 U.S. Units]]/Table1[[#This Row],[2023 U.S. Units]]-1</f>
        <v>-1</v>
      </c>
      <c r="L383" s="8">
        <f>(Table1[[#This Row],[2024 Market share (%)]]-Table1[[#This Row],[2023 Market share (%)]])*10000</f>
        <v>-33.554440129641172</v>
      </c>
      <c r="M383" s="6">
        <f>_xlfn.RRI(5,Table1[[#This Row],[2019 U.S. Sales ($000)]],Table1[[#This Row],[2024 U.S. Sales ($000)]])</f>
        <v>-1</v>
      </c>
      <c r="N383" s="9">
        <f>(Table1[[#This Row],[2024 Market share (%)]]-Table1[[#This Row],[2019 Market share (%)]])*10000</f>
        <v>-34.924327910592169</v>
      </c>
      <c r="O383" s="6" t="e">
        <f>IF(Table1[[#This Row],[2024 AUV]]=0,"",_xlfn.RRI(5,Table1[[#This Row],[2019 AUV]],Table1[[#This Row],[2024 AUV]]))</f>
        <v>#DIV/0!</v>
      </c>
      <c r="P383" s="6">
        <f>_xlfn.RRI(5,Table1[[#This Row],[2019 U.S. Units]],Table1[[#This Row],[2024 U.S. Units]])</f>
        <v>-1</v>
      </c>
      <c r="Q383" s="5">
        <v>102498</v>
      </c>
      <c r="R383" s="6">
        <f>Table1[[#This Row],[2023 U.S. Sales ($000)]]/SUMIF($E:$E, E383, $Q:$Q)</f>
        <v>3.3554440129641172E-3</v>
      </c>
      <c r="S383" s="8">
        <f>(Table1[[#This Row],[2023 Market share (%)]]-Table1[[#This Row],[2022 Market share (%)]])*10000</f>
        <v>3.9163244962182095</v>
      </c>
      <c r="T383" s="10">
        <v>0.16505450288143492</v>
      </c>
      <c r="U383" s="5">
        <v>123</v>
      </c>
      <c r="V383" s="5">
        <f t="shared" si="40"/>
        <v>833.31707317073176</v>
      </c>
      <c r="W383" s="10">
        <v>-3.90625E-2</v>
      </c>
      <c r="X383" s="10">
        <f t="shared" si="41"/>
        <v>3.2655546567249782E-2</v>
      </c>
      <c r="Y383" s="8">
        <f>(Table1[[#This Row],[2023 Market share (%)]]-Table1[[#This Row],[2019 Market share (%)]])*10000</f>
        <v>-1.3698877809509984</v>
      </c>
      <c r="Z383" s="10">
        <f t="shared" si="42"/>
        <v>9.4112875248541839E-2</v>
      </c>
      <c r="AA383" s="10">
        <f t="shared" si="43"/>
        <v>-5.6170921731755641E-2</v>
      </c>
      <c r="AB383" s="5">
        <v>87977</v>
      </c>
      <c r="AC383" s="6">
        <f>Table1[[#This Row],[2022 U.S. Sales ($000)]]/SUMIF($E:$E, E383, $AB:$AB)</f>
        <v>2.9638115633422962E-3</v>
      </c>
      <c r="AD383" s="5">
        <v>128</v>
      </c>
      <c r="AE383" s="5">
        <f t="shared" si="44"/>
        <v>687.3203125</v>
      </c>
      <c r="AF383" s="5">
        <v>70073</v>
      </c>
      <c r="AG383" s="6">
        <f>Table1[[#This Row],[2021 U.S. Sales ($000)]]/SUMIF($E:$E, E383, $AF:$AF)</f>
        <v>2.4106113271520845E-3</v>
      </c>
      <c r="AH383" s="5">
        <v>135</v>
      </c>
      <c r="AI383" s="12">
        <f t="shared" si="45"/>
        <v>519.05925925925931</v>
      </c>
      <c r="AJ383" s="5">
        <v>77756</v>
      </c>
      <c r="AK383" s="6">
        <f>Table1[[#This Row],[2020 U.S. Sales ($000)]]/SUMIF($E:$E, E383, $AJ:$AJ)</f>
        <v>2.8727318391871641E-3</v>
      </c>
      <c r="AL383" s="5">
        <v>151</v>
      </c>
      <c r="AM383" s="5">
        <f t="shared" si="46"/>
        <v>514.94039735099341</v>
      </c>
      <c r="AN383" s="5">
        <v>90135</v>
      </c>
      <c r="AO383" s="6">
        <f>Table1[[#This Row],[2019 U.S. Sales ($000)]]/SUMIF($E:$E, E383, $AN:$AN)</f>
        <v>3.492432791059217E-3</v>
      </c>
      <c r="AP383" s="5">
        <v>155</v>
      </c>
      <c r="AQ383" s="5">
        <f t="shared" si="47"/>
        <v>581.51612903225805</v>
      </c>
    </row>
    <row r="384" spans="1:43" x14ac:dyDescent="0.25">
      <c r="A384" t="s">
        <v>449</v>
      </c>
      <c r="B384">
        <v>2645</v>
      </c>
      <c r="C384" t="s">
        <v>44</v>
      </c>
      <c r="D384" t="s">
        <v>45</v>
      </c>
      <c r="E384" t="s">
        <v>61</v>
      </c>
      <c r="F384" s="5">
        <v>281</v>
      </c>
      <c r="G384" s="5">
        <v>0</v>
      </c>
      <c r="H384" s="6">
        <f>Table1[[#This Row],[2024 U.S. Sales ($000)]]/SUMIF($E:$E, E384, $G:$G)</f>
        <v>0</v>
      </c>
      <c r="I384" s="5">
        <v>0</v>
      </c>
      <c r="J384" s="5" t="e">
        <f>Table1[[#This Row],[2024 U.S. Sales ($000)]]/Table1[[#This Row],[2024 U.S. Units]]</f>
        <v>#DIV/0!</v>
      </c>
      <c r="K384" s="6">
        <f>Table1[[#This Row],[2024 U.S. Units]]/Table1[[#This Row],[2023 U.S. Units]]-1</f>
        <v>-1</v>
      </c>
      <c r="L384" s="8">
        <f>(Table1[[#This Row],[2024 Market share (%)]]-Table1[[#This Row],[2023 Market share (%)]])*10000</f>
        <v>-41.411897562875453</v>
      </c>
      <c r="M384" s="6">
        <f>_xlfn.RRI(5,Table1[[#This Row],[2019 U.S. Sales ($000)]],Table1[[#This Row],[2024 U.S. Sales ($000)]])</f>
        <v>-1</v>
      </c>
      <c r="N384" s="9">
        <f>(Table1[[#This Row],[2024 Market share (%)]]-Table1[[#This Row],[2019 Market share (%)]])*10000</f>
        <v>-43.16381127464323</v>
      </c>
      <c r="O384" s="6" t="e">
        <f>IF(Table1[[#This Row],[2024 AUV]]=0,"",_xlfn.RRI(5,Table1[[#This Row],[2019 AUV]],Table1[[#This Row],[2024 AUV]]))</f>
        <v>#DIV/0!</v>
      </c>
      <c r="P384" s="6">
        <f>_xlfn.RRI(5,Table1[[#This Row],[2019 U.S. Units]],Table1[[#This Row],[2024 U.S. Units]])</f>
        <v>-1</v>
      </c>
      <c r="Q384" s="5">
        <v>126500</v>
      </c>
      <c r="R384" s="6">
        <f>Table1[[#This Row],[2023 U.S. Sales ($000)]]/SUMIF($E:$E, E384, $Q:$Q)</f>
        <v>4.1411897562875456E-3</v>
      </c>
      <c r="S384" s="8">
        <f>(Table1[[#This Row],[2023 Market share (%)]]-Table1[[#This Row],[2022 Market share (%)]])*10000</f>
        <v>-5.8623533256106641E-2</v>
      </c>
      <c r="T384" s="10">
        <v>2.761982128350934E-2</v>
      </c>
      <c r="U384" s="5">
        <v>170</v>
      </c>
      <c r="V384" s="5">
        <f t="shared" si="40"/>
        <v>744.11764705882354</v>
      </c>
      <c r="W384" s="10">
        <v>3.0303030303030304E-2</v>
      </c>
      <c r="X384" s="10">
        <f t="shared" si="41"/>
        <v>3.2289081089474925E-2</v>
      </c>
      <c r="Y384" s="8">
        <f>(Table1[[#This Row],[2023 Market share (%)]]-Table1[[#This Row],[2019 Market share (%)]])*10000</f>
        <v>-1.7519137117677757</v>
      </c>
      <c r="Z384" s="10">
        <f t="shared" si="42"/>
        <v>4.8807850166565636E-4</v>
      </c>
      <c r="AA384" s="10">
        <f t="shared" si="43"/>
        <v>3.1785488774073611E-2</v>
      </c>
      <c r="AB384" s="5">
        <v>123100</v>
      </c>
      <c r="AC384" s="6">
        <f>Table1[[#This Row],[2022 U.S. Sales ($000)]]/SUMIF($E:$E, E384, $AB:$AB)</f>
        <v>4.1470521096131563E-3</v>
      </c>
      <c r="AD384" s="5">
        <v>165</v>
      </c>
      <c r="AE384" s="5">
        <f t="shared" si="44"/>
        <v>746.06060606060601</v>
      </c>
      <c r="AF384" s="5">
        <v>112700</v>
      </c>
      <c r="AG384" s="6">
        <f>Table1[[#This Row],[2021 U.S. Sales ($000)]]/SUMIF($E:$E, E384, $AF:$AF)</f>
        <v>3.8770410367765036E-3</v>
      </c>
      <c r="AH384" s="5">
        <v>159</v>
      </c>
      <c r="AI384" s="12">
        <f t="shared" si="45"/>
        <v>708.80503144654085</v>
      </c>
      <c r="AJ384" s="5">
        <v>101200</v>
      </c>
      <c r="AK384" s="6">
        <f>Table1[[#This Row],[2020 U.S. Sales ($000)]]/SUMIF($E:$E, E384, $AJ:$AJ)</f>
        <v>3.7388813998371962E-3</v>
      </c>
      <c r="AL384" s="5">
        <v>152</v>
      </c>
      <c r="AM384" s="5">
        <f t="shared" si="46"/>
        <v>665.78947368421052</v>
      </c>
      <c r="AN384" s="5">
        <v>111400</v>
      </c>
      <c r="AO384" s="6">
        <f>Table1[[#This Row],[2019 U.S. Sales ($000)]]/SUMIF($E:$E, E384, $AN:$AN)</f>
        <v>4.3163811274643232E-3</v>
      </c>
      <c r="AP384" s="5">
        <v>150</v>
      </c>
      <c r="AQ384" s="5">
        <f t="shared" si="47"/>
        <v>742.66666666666663</v>
      </c>
    </row>
    <row r="385" spans="1:43" x14ac:dyDescent="0.25">
      <c r="A385" t="s">
        <v>450</v>
      </c>
      <c r="B385">
        <v>946</v>
      </c>
      <c r="C385" t="s">
        <v>44</v>
      </c>
      <c r="D385" t="s">
        <v>56</v>
      </c>
      <c r="E385" t="s">
        <v>46</v>
      </c>
      <c r="F385" s="5">
        <v>335</v>
      </c>
      <c r="G385" s="5">
        <v>0</v>
      </c>
      <c r="H385" s="6">
        <f>Table1[[#This Row],[2024 U.S. Sales ($000)]]/SUMIF($E:$E, E385, $G:$G)</f>
        <v>0</v>
      </c>
      <c r="I385" s="5">
        <v>0</v>
      </c>
      <c r="J385" s="7" t="e">
        <f>Table1[[#This Row],[2024 U.S. Sales ($000)]]/Table1[[#This Row],[2024 U.S. Units]]</f>
        <v>#DIV/0!</v>
      </c>
      <c r="K385" s="6">
        <f>Table1[[#This Row],[2024 U.S. Units]]/Table1[[#This Row],[2023 U.S. Units]]-1</f>
        <v>-1</v>
      </c>
      <c r="L385" s="8">
        <f>(Table1[[#This Row],[2024 Market share (%)]]-Table1[[#This Row],[2023 Market share (%)]])*10000</f>
        <v>-9.1558457459614822</v>
      </c>
      <c r="M385" s="6">
        <f>_xlfn.RRI(5,Table1[[#This Row],[2019 U.S. Sales ($000)]],Table1[[#This Row],[2024 U.S. Sales ($000)]])</f>
        <v>-1</v>
      </c>
      <c r="N385" s="9">
        <f>(Table1[[#This Row],[2024 Market share (%)]]-Table1[[#This Row],[2019 Market share (%)]])*10000</f>
        <v>-10.207100095817273</v>
      </c>
      <c r="O385" s="6" t="e">
        <f>IF(Table1[[#This Row],[2024 AUV]]=0,"",_xlfn.RRI(5,Table1[[#This Row],[2019 AUV]],Table1[[#This Row],[2024 AUV]]))</f>
        <v>#DIV/0!</v>
      </c>
      <c r="P385" s="6">
        <f>_xlfn.RRI(5,Table1[[#This Row],[2019 U.S. Units]],Table1[[#This Row],[2024 U.S. Units]])</f>
        <v>-1</v>
      </c>
      <c r="Q385" s="5">
        <v>100241</v>
      </c>
      <c r="R385" s="6">
        <f>Table1[[#This Row],[2023 U.S. Sales ($000)]]/SUMIF($E:$E, E385, $Q:$Q)</f>
        <v>9.1558457459614822E-4</v>
      </c>
      <c r="S385" s="8">
        <f>(Table1[[#This Row],[2023 Market share (%)]]-Table1[[#This Row],[2022 Market share (%)]])*10000</f>
        <v>-0.31448926815510081</v>
      </c>
      <c r="T385" s="10">
        <v>3.5986316518360047E-2</v>
      </c>
      <c r="U385" s="5">
        <v>101</v>
      </c>
      <c r="V385" s="5">
        <f t="shared" si="40"/>
        <v>992.48514851485152</v>
      </c>
      <c r="W385" s="10">
        <v>-7.3394495412844041E-2</v>
      </c>
      <c r="X385" s="10">
        <f t="shared" si="41"/>
        <v>3.2217390666456902E-2</v>
      </c>
      <c r="Y385" s="8">
        <f>(Table1[[#This Row],[2023 Market share (%)]]-Table1[[#This Row],[2019 Market share (%)]])*10000</f>
        <v>-1.0512543498557909</v>
      </c>
      <c r="Z385" s="10">
        <f t="shared" si="42"/>
        <v>1.3847866731311553E-2</v>
      </c>
      <c r="AA385" s="10">
        <f t="shared" si="43"/>
        <v>1.8118619704127426E-2</v>
      </c>
      <c r="AB385" s="5">
        <v>96759</v>
      </c>
      <c r="AC385" s="6">
        <f>Table1[[#This Row],[2022 U.S. Sales ($000)]]/SUMIF($E:$E, E385, $AB:$AB)</f>
        <v>9.470335014116583E-4</v>
      </c>
      <c r="AD385" s="5">
        <v>109</v>
      </c>
      <c r="AE385" s="5">
        <f t="shared" si="44"/>
        <v>887.69724770642199</v>
      </c>
      <c r="AF385" s="5">
        <v>91953</v>
      </c>
      <c r="AG385" s="6">
        <f>Table1[[#This Row],[2021 U.S. Sales ($000)]]/SUMIF($E:$E, E385, $AF:$AF)</f>
        <v>9.4511272714804318E-4</v>
      </c>
      <c r="AH385" s="5">
        <v>101</v>
      </c>
      <c r="AI385" s="12">
        <f t="shared" si="45"/>
        <v>910.42574257425747</v>
      </c>
      <c r="AJ385" s="5">
        <v>81200</v>
      </c>
      <c r="AK385" s="6">
        <f>Table1[[#This Row],[2020 U.S. Sales ($000)]]/SUMIF($E:$E, E385, $AJ:$AJ)</f>
        <v>9.2923875490933023E-4</v>
      </c>
      <c r="AL385" s="5">
        <v>96</v>
      </c>
      <c r="AM385" s="5">
        <f t="shared" si="46"/>
        <v>845.83333333333337</v>
      </c>
      <c r="AN385" s="5">
        <v>88300</v>
      </c>
      <c r="AO385" s="6">
        <f>Table1[[#This Row],[2019 U.S. Sales ($000)]]/SUMIF($E:$E, E385, $AN:$AN)</f>
        <v>1.0207100095817273E-3</v>
      </c>
      <c r="AP385" s="5">
        <v>94</v>
      </c>
      <c r="AQ385" s="5">
        <f t="shared" si="47"/>
        <v>939.36170212765956</v>
      </c>
    </row>
    <row r="386" spans="1:43" x14ac:dyDescent="0.25">
      <c r="A386" t="s">
        <v>451</v>
      </c>
      <c r="B386">
        <v>2800</v>
      </c>
      <c r="C386" t="s">
        <v>44</v>
      </c>
      <c r="D386" t="s">
        <v>45</v>
      </c>
      <c r="E386" t="s">
        <v>59</v>
      </c>
      <c r="F386" s="5">
        <v>426</v>
      </c>
      <c r="G386" s="5">
        <v>0</v>
      </c>
      <c r="H386" s="6">
        <f>Table1[[#This Row],[2024 U.S. Sales ($000)]]/SUMIF($E:$E, E386, $G:$G)</f>
        <v>0</v>
      </c>
      <c r="I386" s="5">
        <v>0</v>
      </c>
      <c r="J386" s="5" t="e">
        <f>Table1[[#This Row],[2024 U.S. Sales ($000)]]/Table1[[#This Row],[2024 U.S. Units]]</f>
        <v>#DIV/0!</v>
      </c>
      <c r="K386" s="6">
        <f>Table1[[#This Row],[2024 U.S. Units]]/Table1[[#This Row],[2023 U.S. Units]]-1</f>
        <v>-1</v>
      </c>
      <c r="L386" s="8">
        <f>(Table1[[#This Row],[2024 Market share (%)]]-Table1[[#This Row],[2023 Market share (%)]])*10000</f>
        <v>-19.547571661721239</v>
      </c>
      <c r="M386" s="6">
        <f>_xlfn.RRI(5,Table1[[#This Row],[2019 U.S. Sales ($000)]],Table1[[#This Row],[2024 U.S. Sales ($000)]])</f>
        <v>-1</v>
      </c>
      <c r="N386" s="9">
        <f>(Table1[[#This Row],[2024 Market share (%)]]-Table1[[#This Row],[2019 Market share (%)]])*10000</f>
        <v>-19.990869713654821</v>
      </c>
      <c r="O386" s="6" t="e">
        <f>IF(Table1[[#This Row],[2024 AUV]]=0,"",_xlfn.RRI(5,Table1[[#This Row],[2019 AUV]],Table1[[#This Row],[2024 AUV]]))</f>
        <v>#DIV/0!</v>
      </c>
      <c r="P386" s="6">
        <f>_xlfn.RRI(5,Table1[[#This Row],[2019 U.S. Units]],Table1[[#This Row],[2024 U.S. Units]])</f>
        <v>-1</v>
      </c>
      <c r="Q386" s="5">
        <v>73833</v>
      </c>
      <c r="R386" s="6">
        <f>Table1[[#This Row],[2023 U.S. Sales ($000)]]/SUMIF($E:$E, E386, $Q:$Q)</f>
        <v>1.9547571661721239E-3</v>
      </c>
      <c r="S386" s="8">
        <f>(Table1[[#This Row],[2023 Market share (%)]]-Table1[[#This Row],[2022 Market share (%)]])*10000</f>
        <v>0.23906860646532094</v>
      </c>
      <c r="T386" s="10">
        <v>6.8680523390458548E-2</v>
      </c>
      <c r="U386" s="5">
        <v>126</v>
      </c>
      <c r="V386" s="5">
        <f t="shared" ref="V386:V449" si="48">Q386/U386</f>
        <v>585.97619047619048</v>
      </c>
      <c r="W386" s="10">
        <v>-4.5454545454545456E-2</v>
      </c>
      <c r="X386" s="10">
        <f t="shared" ref="X386:X449" si="49">_xlfn.RRI(4,AN386,Q386)</f>
        <v>3.1179649283314737E-2</v>
      </c>
      <c r="Y386" s="8">
        <f>(Table1[[#This Row],[2023 Market share (%)]]-Table1[[#This Row],[2019 Market share (%)]])*10000</f>
        <v>-0.4432980519335824</v>
      </c>
      <c r="Z386" s="10">
        <f t="shared" ref="Z386:Z449" si="50">_xlfn.RRI(4,AQ386,V386)</f>
        <v>4.5212530054161038E-2</v>
      </c>
      <c r="AA386" s="10">
        <f t="shared" ref="AA386:AA449" si="51">_xlfn.RRI(4,AP386,U386)</f>
        <v>-1.3425863513250591E-2</v>
      </c>
      <c r="AB386" s="5">
        <v>69088</v>
      </c>
      <c r="AC386" s="6">
        <f>Table1[[#This Row],[2022 U.S. Sales ($000)]]/SUMIF($E:$E, E386, $AB:$AB)</f>
        <v>1.9308503055255918E-3</v>
      </c>
      <c r="AD386" s="5">
        <v>132</v>
      </c>
      <c r="AE386" s="5">
        <f t="shared" ref="AE386:AE449" si="52">AB386/AD386</f>
        <v>523.39393939393938</v>
      </c>
      <c r="AF386" s="5">
        <v>60600</v>
      </c>
      <c r="AG386" s="6">
        <f>Table1[[#This Row],[2021 U.S. Sales ($000)]]/SUMIF($E:$E, E386, $AF:$AF)</f>
        <v>1.8265030658426626E-3</v>
      </c>
      <c r="AH386" s="5">
        <v>129</v>
      </c>
      <c r="AI386" s="12">
        <f t="shared" ref="AI386:AI449" si="53">AF386/AH386</f>
        <v>469.76744186046511</v>
      </c>
      <c r="AJ386" s="5">
        <v>54400</v>
      </c>
      <c r="AK386" s="6">
        <f>Table1[[#This Row],[2020 U.S. Sales ($000)]]/SUMIF($E:$E, E386, $AJ:$AJ)</f>
        <v>1.9101488455397463E-3</v>
      </c>
      <c r="AL386" s="5">
        <v>126</v>
      </c>
      <c r="AM386" s="5">
        <f t="shared" ref="AM386:AM449" si="54">AJ386/AL386</f>
        <v>431.74603174603175</v>
      </c>
      <c r="AN386" s="5">
        <v>65300</v>
      </c>
      <c r="AO386" s="6">
        <f>Table1[[#This Row],[2019 U.S. Sales ($000)]]/SUMIF($E:$E, E386, $AN:$AN)</f>
        <v>1.9990869713654822E-3</v>
      </c>
      <c r="AP386" s="5">
        <v>133</v>
      </c>
      <c r="AQ386" s="5">
        <f t="shared" ref="AQ386:AQ449" si="55">AN386/AP386</f>
        <v>490.97744360902254</v>
      </c>
    </row>
    <row r="387" spans="1:43" x14ac:dyDescent="0.25">
      <c r="A387" t="s">
        <v>452</v>
      </c>
      <c r="B387">
        <v>31259</v>
      </c>
      <c r="C387" t="s">
        <v>68</v>
      </c>
      <c r="D387" t="s">
        <v>69</v>
      </c>
      <c r="E387" t="s">
        <v>79</v>
      </c>
      <c r="F387" s="5">
        <v>443</v>
      </c>
      <c r="G387" s="5">
        <v>0</v>
      </c>
      <c r="H387" s="6">
        <f>Table1[[#This Row],[2024 U.S. Sales ($000)]]/SUMIF($E:$E, E387, $G:$G)</f>
        <v>0</v>
      </c>
      <c r="I387" s="5">
        <v>0</v>
      </c>
      <c r="J387" s="5" t="e">
        <f>Table1[[#This Row],[2024 U.S. Sales ($000)]]/Table1[[#This Row],[2024 U.S. Units]]</f>
        <v>#DIV/0!</v>
      </c>
      <c r="K387" s="6">
        <f>Table1[[#This Row],[2024 U.S. Units]]/Table1[[#This Row],[2023 U.S. Units]]-1</f>
        <v>-1</v>
      </c>
      <c r="L387" s="8">
        <f>(Table1[[#This Row],[2024 Market share (%)]]-Table1[[#This Row],[2023 Market share (%)]])*10000</f>
        <v>-28.728144121264108</v>
      </c>
      <c r="M387" s="6">
        <f>_xlfn.RRI(5,Table1[[#This Row],[2019 U.S. Sales ($000)]],Table1[[#This Row],[2024 U.S. Sales ($000)]])</f>
        <v>-1</v>
      </c>
      <c r="N387" s="9">
        <f>(Table1[[#This Row],[2024 Market share (%)]]-Table1[[#This Row],[2019 Market share (%)]])*10000</f>
        <v>-26.873652453011722</v>
      </c>
      <c r="O387" s="6" t="e">
        <f>IF(Table1[[#This Row],[2024 AUV]]=0,"",_xlfn.RRI(5,Table1[[#This Row],[2019 AUV]],Table1[[#This Row],[2024 AUV]]))</f>
        <v>#DIV/0!</v>
      </c>
      <c r="P387" s="6">
        <f>_xlfn.RRI(5,Table1[[#This Row],[2019 U.S. Units]],Table1[[#This Row],[2024 U.S. Units]])</f>
        <v>-1</v>
      </c>
      <c r="Q387" s="5">
        <v>69300</v>
      </c>
      <c r="R387" s="6">
        <f>Table1[[#This Row],[2023 U.S. Sales ($000)]]/SUMIF($E:$E, E387, $Q:$Q)</f>
        <v>2.8728144121264107E-3</v>
      </c>
      <c r="S387" s="8">
        <f>(Table1[[#This Row],[2023 Market share (%)]]-Table1[[#This Row],[2022 Market share (%)]])*10000</f>
        <v>-2.1433912133129618</v>
      </c>
      <c r="T387" s="10">
        <v>-4.5454545454545456E-2</v>
      </c>
      <c r="U387" s="5">
        <v>21</v>
      </c>
      <c r="V387" s="5">
        <f t="shared" si="48"/>
        <v>3300</v>
      </c>
      <c r="W387" s="10">
        <v>-4.5454545454545456E-2</v>
      </c>
      <c r="X387" s="10">
        <f t="shared" si="49"/>
        <v>3.084295848958174E-2</v>
      </c>
      <c r="Y387" s="8">
        <f>(Table1[[#This Row],[2023 Market share (%)]]-Table1[[#This Row],[2019 Market share (%)]])*10000</f>
        <v>1.8544916682523838</v>
      </c>
      <c r="Z387" s="10">
        <f t="shared" si="50"/>
        <v>5.4555992742296278E-2</v>
      </c>
      <c r="AA387" s="10">
        <f t="shared" si="51"/>
        <v>-2.2486273290288183E-2</v>
      </c>
      <c r="AB387" s="5">
        <v>72600</v>
      </c>
      <c r="AC387" s="6">
        <f>Table1[[#This Row],[2022 U.S. Sales ($000)]]/SUMIF($E:$E, E387, $AB:$AB)</f>
        <v>3.0871535334577069E-3</v>
      </c>
      <c r="AD387" s="5">
        <v>22</v>
      </c>
      <c r="AE387" s="5">
        <f t="shared" si="52"/>
        <v>3300</v>
      </c>
      <c r="AF387" s="5">
        <v>70400</v>
      </c>
      <c r="AG387" s="6">
        <f>Table1[[#This Row],[2021 U.S. Sales ($000)]]/SUMIF($E:$E, E387, $AF:$AF)</f>
        <v>3.2412366330641586E-3</v>
      </c>
      <c r="AH387" s="5">
        <v>22</v>
      </c>
      <c r="AI387" s="12">
        <f t="shared" si="53"/>
        <v>3200</v>
      </c>
      <c r="AJ387" s="5">
        <v>47900</v>
      </c>
      <c r="AK387" s="6">
        <f>Table1[[#This Row],[2020 U.S. Sales ($000)]]/SUMIF($E:$E, E387, $AJ:$AJ)</f>
        <v>2.9375154886483426E-3</v>
      </c>
      <c r="AL387" s="5">
        <v>22</v>
      </c>
      <c r="AM387" s="5">
        <f t="shared" si="54"/>
        <v>2177.2727272727275</v>
      </c>
      <c r="AN387" s="5">
        <v>61371</v>
      </c>
      <c r="AO387" s="6">
        <f>Table1[[#This Row],[2019 U.S. Sales ($000)]]/SUMIF($E:$E, E387, $AN:$AN)</f>
        <v>2.6873652453011723E-3</v>
      </c>
      <c r="AP387" s="5">
        <v>23</v>
      </c>
      <c r="AQ387" s="5">
        <f t="shared" si="55"/>
        <v>2668.304347826087</v>
      </c>
    </row>
    <row r="388" spans="1:43" x14ac:dyDescent="0.25">
      <c r="A388" t="s">
        <v>453</v>
      </c>
      <c r="B388">
        <v>35696</v>
      </c>
      <c r="C388" t="s">
        <v>68</v>
      </c>
      <c r="D388" t="s">
        <v>69</v>
      </c>
      <c r="E388" t="s">
        <v>70</v>
      </c>
      <c r="F388" s="5">
        <v>500</v>
      </c>
      <c r="G388" s="5">
        <v>0</v>
      </c>
      <c r="H388" s="6">
        <f>Table1[[#This Row],[2024 U.S. Sales ($000)]]/SUMIF($E:$E, E388, $G:$G)</f>
        <v>0</v>
      </c>
      <c r="I388" s="5">
        <v>0</v>
      </c>
      <c r="J388" s="5" t="e">
        <f>Table1[[#This Row],[2024 U.S. Sales ($000)]]/Table1[[#This Row],[2024 U.S. Units]]</f>
        <v>#DIV/0!</v>
      </c>
      <c r="K388" s="6">
        <f>Table1[[#This Row],[2024 U.S. Units]]/Table1[[#This Row],[2023 U.S. Units]]-1</f>
        <v>-1</v>
      </c>
      <c r="L388" s="8">
        <f>(Table1[[#This Row],[2024 Market share (%)]]-Table1[[#This Row],[2023 Market share (%)]])*10000</f>
        <v>-33.937634351084462</v>
      </c>
      <c r="M388" s="6">
        <f>_xlfn.RRI(5,Table1[[#This Row],[2019 U.S. Sales ($000)]],Table1[[#This Row],[2024 U.S. Sales ($000)]])</f>
        <v>-1</v>
      </c>
      <c r="N388" s="9">
        <f>(Table1[[#This Row],[2024 Market share (%)]]-Table1[[#This Row],[2019 Market share (%)]])*10000</f>
        <v>-38.280848561999861</v>
      </c>
      <c r="O388" s="6" t="e">
        <f>IF(Table1[[#This Row],[2024 AUV]]=0,"",_xlfn.RRI(5,Table1[[#This Row],[2019 AUV]],Table1[[#This Row],[2024 AUV]]))</f>
        <v>#DIV/0!</v>
      </c>
      <c r="P388" s="6">
        <f>_xlfn.RRI(5,Table1[[#This Row],[2019 U.S. Units]],Table1[[#This Row],[2024 U.S. Units]])</f>
        <v>-1</v>
      </c>
      <c r="Q388" s="5">
        <v>54182</v>
      </c>
      <c r="R388" s="6">
        <f>Table1[[#This Row],[2023 U.S. Sales ($000)]]/SUMIF($E:$E, E388, $Q:$Q)</f>
        <v>3.393763435108446E-3</v>
      </c>
      <c r="S388" s="8">
        <f>(Table1[[#This Row],[2023 Market share (%)]]-Table1[[#This Row],[2022 Market share (%)]])*10000</f>
        <v>-2.2930561350291465</v>
      </c>
      <c r="T388" s="10">
        <v>2.2089754956518458E-2</v>
      </c>
      <c r="U388" s="5">
        <v>13</v>
      </c>
      <c r="V388" s="5">
        <f t="shared" si="48"/>
        <v>4167.8461538461543</v>
      </c>
      <c r="W388" s="10">
        <v>8.3333333333333329E-2</v>
      </c>
      <c r="X388" s="10">
        <f t="shared" si="49"/>
        <v>3.0750249606106506E-2</v>
      </c>
      <c r="Y388" s="8">
        <f>(Table1[[#This Row],[2023 Market share (%)]]-Table1[[#This Row],[2019 Market share (%)]])*10000</f>
        <v>-4.3432142109154022</v>
      </c>
      <c r="Z388" s="10">
        <f t="shared" si="50"/>
        <v>-3.4688209970766493E-2</v>
      </c>
      <c r="AA388" s="10">
        <f t="shared" si="51"/>
        <v>6.7789972372440888E-2</v>
      </c>
      <c r="AB388" s="5">
        <v>53011</v>
      </c>
      <c r="AC388" s="6">
        <f>Table1[[#This Row],[2022 U.S. Sales ($000)]]/SUMIF($E:$E, E388, $AB:$AB)</f>
        <v>3.6230690486113606E-3</v>
      </c>
      <c r="AD388" s="5">
        <v>12</v>
      </c>
      <c r="AE388" s="5">
        <f t="shared" si="52"/>
        <v>4417.583333333333</v>
      </c>
      <c r="AF388" s="5">
        <v>47500</v>
      </c>
      <c r="AG388" s="6">
        <f>Table1[[#This Row],[2021 U.S. Sales ($000)]]/SUMIF($E:$E, E388, $AF:$AF)</f>
        <v>3.6545616045602775E-3</v>
      </c>
      <c r="AH388" s="5">
        <v>11</v>
      </c>
      <c r="AI388" s="12">
        <f t="shared" si="53"/>
        <v>4318.181818181818</v>
      </c>
      <c r="AJ388" s="5">
        <v>37800</v>
      </c>
      <c r="AK388" s="6">
        <f>Table1[[#This Row],[2020 U.S. Sales ($000)]]/SUMIF($E:$E, E388, $AJ:$AJ)</f>
        <v>4.0249152904402296E-3</v>
      </c>
      <c r="AL388" s="5">
        <v>10</v>
      </c>
      <c r="AM388" s="5">
        <f t="shared" si="54"/>
        <v>3780</v>
      </c>
      <c r="AN388" s="5">
        <v>48000</v>
      </c>
      <c r="AO388" s="6">
        <f>Table1[[#This Row],[2019 U.S. Sales ($000)]]/SUMIF($E:$E, E388, $AN:$AN)</f>
        <v>3.8280848561999862E-3</v>
      </c>
      <c r="AP388" s="5">
        <v>10</v>
      </c>
      <c r="AQ388" s="5">
        <f t="shared" si="55"/>
        <v>4800</v>
      </c>
    </row>
    <row r="389" spans="1:43" x14ac:dyDescent="0.25">
      <c r="A389" t="s">
        <v>454</v>
      </c>
      <c r="B389">
        <v>5875</v>
      </c>
      <c r="C389" t="s">
        <v>68</v>
      </c>
      <c r="D389" t="s">
        <v>69</v>
      </c>
      <c r="E389" t="s">
        <v>87</v>
      </c>
      <c r="F389" s="5">
        <v>266</v>
      </c>
      <c r="G389" s="5">
        <v>0</v>
      </c>
      <c r="H389" s="6">
        <f>Table1[[#This Row],[2024 U.S. Sales ($000)]]/SUMIF($E:$E, E389, $G:$G)</f>
        <v>0</v>
      </c>
      <c r="I389" s="5">
        <v>0</v>
      </c>
      <c r="J389" s="5" t="e">
        <f>Table1[[#This Row],[2024 U.S. Sales ($000)]]/Table1[[#This Row],[2024 U.S. Units]]</f>
        <v>#DIV/0!</v>
      </c>
      <c r="K389" s="6">
        <f>Table1[[#This Row],[2024 U.S. Units]]/Table1[[#This Row],[2023 U.S. Units]]-1</f>
        <v>-1</v>
      </c>
      <c r="L389" s="8">
        <f>(Table1[[#This Row],[2024 Market share (%)]]-Table1[[#This Row],[2023 Market share (%)]])*10000</f>
        <v>-139.33270809222324</v>
      </c>
      <c r="M389" s="6">
        <f>_xlfn.RRI(5,Table1[[#This Row],[2019 U.S. Sales ($000)]],Table1[[#This Row],[2024 U.S. Sales ($000)]])</f>
        <v>-1</v>
      </c>
      <c r="N389" s="9">
        <f>(Table1[[#This Row],[2024 Market share (%)]]-Table1[[#This Row],[2019 Market share (%)]])*10000</f>
        <v>-142.30880496589964</v>
      </c>
      <c r="O389" s="6" t="e">
        <f>IF(Table1[[#This Row],[2024 AUV]]=0,"",_xlfn.RRI(5,Table1[[#This Row],[2019 AUV]],Table1[[#This Row],[2024 AUV]]))</f>
        <v>#DIV/0!</v>
      </c>
      <c r="P389" s="6">
        <f>_xlfn.RRI(5,Table1[[#This Row],[2019 U.S. Units]],Table1[[#This Row],[2024 U.S. Units]])</f>
        <v>-1</v>
      </c>
      <c r="Q389" s="5">
        <v>135862</v>
      </c>
      <c r="R389" s="6">
        <f>Table1[[#This Row],[2023 U.S. Sales ($000)]]/SUMIF($E:$E, E389, $Q:$Q)</f>
        <v>1.3933270809222324E-2</v>
      </c>
      <c r="S389" s="8">
        <f>(Table1[[#This Row],[2023 Market share (%)]]-Table1[[#This Row],[2022 Market share (%)]])*10000</f>
        <v>-12.813519753628409</v>
      </c>
      <c r="T389" s="10">
        <v>-4.6281281808290338E-2</v>
      </c>
      <c r="U389" s="5">
        <v>59</v>
      </c>
      <c r="V389" s="5">
        <f t="shared" si="48"/>
        <v>2302.7457627118642</v>
      </c>
      <c r="W389" s="10">
        <v>-1.6666666666666666E-2</v>
      </c>
      <c r="X389" s="10">
        <f t="shared" si="49"/>
        <v>2.7691297170027607E-2</v>
      </c>
      <c r="Y389" s="8">
        <f>(Table1[[#This Row],[2023 Market share (%)]]-Table1[[#This Row],[2019 Market share (%)]])*10000</f>
        <v>-2.9760968736763926</v>
      </c>
      <c r="Z389" s="10">
        <f t="shared" si="50"/>
        <v>2.7691297170027607E-2</v>
      </c>
      <c r="AA389" s="10">
        <f t="shared" si="51"/>
        <v>0</v>
      </c>
      <c r="AB389" s="5">
        <v>142455</v>
      </c>
      <c r="AC389" s="6">
        <f>Table1[[#This Row],[2022 U.S. Sales ($000)]]/SUMIF($E:$E, E389, $AB:$AB)</f>
        <v>1.5214622784585165E-2</v>
      </c>
      <c r="AD389" s="5">
        <v>60</v>
      </c>
      <c r="AE389" s="5">
        <f t="shared" si="52"/>
        <v>2374.25</v>
      </c>
      <c r="AF389" s="5">
        <v>141944</v>
      </c>
      <c r="AG389" s="6">
        <f>Table1[[#This Row],[2021 U.S. Sales ($000)]]/SUMIF($E:$E, E389, $AF:$AF)</f>
        <v>1.6643376289403204E-2</v>
      </c>
      <c r="AH389" s="5">
        <v>64</v>
      </c>
      <c r="AI389" s="12">
        <f t="shared" si="53"/>
        <v>2217.875</v>
      </c>
      <c r="AJ389" s="5">
        <v>108038</v>
      </c>
      <c r="AK389" s="6">
        <f>Table1[[#This Row],[2020 U.S. Sales ($000)]]/SUMIF($E:$E, E389, $AJ:$AJ)</f>
        <v>1.6306261530169633E-2</v>
      </c>
      <c r="AL389" s="5">
        <v>62</v>
      </c>
      <c r="AM389" s="5">
        <f t="shared" si="54"/>
        <v>1742.5483870967741</v>
      </c>
      <c r="AN389" s="5">
        <v>121800</v>
      </c>
      <c r="AO389" s="6">
        <f>Table1[[#This Row],[2019 U.S. Sales ($000)]]/SUMIF($E:$E, E389, $AN:$AN)</f>
        <v>1.4230880496589963E-2</v>
      </c>
      <c r="AP389" s="5">
        <v>59</v>
      </c>
      <c r="AQ389" s="5">
        <f t="shared" si="55"/>
        <v>2064.406779661017</v>
      </c>
    </row>
    <row r="390" spans="1:43" x14ac:dyDescent="0.25">
      <c r="A390" t="s">
        <v>455</v>
      </c>
      <c r="B390">
        <v>5155</v>
      </c>
      <c r="C390" t="s">
        <v>44</v>
      </c>
      <c r="D390" t="s">
        <v>56</v>
      </c>
      <c r="E390" t="s">
        <v>59</v>
      </c>
      <c r="F390" s="5">
        <v>387</v>
      </c>
      <c r="G390" s="5">
        <v>0</v>
      </c>
      <c r="H390" s="6">
        <f>Table1[[#This Row],[2024 U.S. Sales ($000)]]/SUMIF($E:$E, E390, $G:$G)</f>
        <v>0</v>
      </c>
      <c r="I390" s="5">
        <v>0</v>
      </c>
      <c r="J390" s="5" t="e">
        <f>Table1[[#This Row],[2024 U.S. Sales ($000)]]/Table1[[#This Row],[2024 U.S. Units]]</f>
        <v>#DIV/0!</v>
      </c>
      <c r="K390" s="6">
        <f>Table1[[#This Row],[2024 U.S. Units]]/Table1[[#This Row],[2023 U.S. Units]]-1</f>
        <v>-1</v>
      </c>
      <c r="L390" s="8">
        <f>(Table1[[#This Row],[2024 Market share (%)]]-Table1[[#This Row],[2023 Market share (%)]])*10000</f>
        <v>-21.365636410560374</v>
      </c>
      <c r="M390" s="6">
        <f>_xlfn.RRI(5,Table1[[#This Row],[2019 U.S. Sales ($000)]],Table1[[#This Row],[2024 U.S. Sales ($000)]])</f>
        <v>-1</v>
      </c>
      <c r="N390" s="9">
        <f>(Table1[[#This Row],[2024 Market share (%)]]-Table1[[#This Row],[2019 Market share (%)]])*10000</f>
        <v>-22.195069743338049</v>
      </c>
      <c r="O390" s="6" t="e">
        <f>IF(Table1[[#This Row],[2024 AUV]]=0,"",_xlfn.RRI(5,Table1[[#This Row],[2019 AUV]],Table1[[#This Row],[2024 AUV]]))</f>
        <v>#DIV/0!</v>
      </c>
      <c r="P390" s="6">
        <f>_xlfn.RRI(5,Table1[[#This Row],[2019 U.S. Units]],Table1[[#This Row],[2024 U.S. Units]])</f>
        <v>-1</v>
      </c>
      <c r="Q390" s="5">
        <v>80700</v>
      </c>
      <c r="R390" s="6">
        <f>Table1[[#This Row],[2023 U.S. Sales ($000)]]/SUMIF($E:$E, E390, $Q:$Q)</f>
        <v>2.1365636410560374E-3</v>
      </c>
      <c r="S390" s="8">
        <f>(Table1[[#This Row],[2023 Market share (%)]]-Table1[[#This Row],[2022 Market share (%)]])*10000</f>
        <v>1.0476626362854613</v>
      </c>
      <c r="T390" s="10">
        <v>0.11004126547455295</v>
      </c>
      <c r="U390" s="5">
        <v>28</v>
      </c>
      <c r="V390" s="5">
        <f t="shared" si="48"/>
        <v>2882.1428571428573</v>
      </c>
      <c r="W390" s="10">
        <v>7.6923076923076927E-2</v>
      </c>
      <c r="X390" s="10">
        <f t="shared" si="49"/>
        <v>2.715002731955618E-2</v>
      </c>
      <c r="Y390" s="8">
        <f>(Table1[[#This Row],[2023 Market share (%)]]-Table1[[#This Row],[2019 Market share (%)]])*10000</f>
        <v>-0.82943333277767617</v>
      </c>
      <c r="Z390" s="10">
        <f t="shared" si="50"/>
        <v>8.2952266166105293E-3</v>
      </c>
      <c r="AA390" s="10">
        <f t="shared" si="51"/>
        <v>1.869968259813537E-2</v>
      </c>
      <c r="AB390" s="5">
        <v>72700</v>
      </c>
      <c r="AC390" s="6">
        <f>Table1[[#This Row],[2022 U.S. Sales ($000)]]/SUMIF($E:$E, E390, $AB:$AB)</f>
        <v>2.0317973774274913E-3</v>
      </c>
      <c r="AD390" s="5">
        <v>26</v>
      </c>
      <c r="AE390" s="5">
        <f t="shared" si="52"/>
        <v>2796.1538461538462</v>
      </c>
      <c r="AF390" s="5">
        <v>66400</v>
      </c>
      <c r="AG390" s="6">
        <f>Table1[[#This Row],[2021 U.S. Sales ($000)]]/SUMIF($E:$E, E390, $AF:$AF)</f>
        <v>2.0013168906262836E-3</v>
      </c>
      <c r="AH390" s="5">
        <v>25</v>
      </c>
      <c r="AI390" s="12">
        <f t="shared" si="53"/>
        <v>2656</v>
      </c>
      <c r="AJ390" s="5">
        <v>58000</v>
      </c>
      <c r="AK390" s="6">
        <f>Table1[[#This Row],[2020 U.S. Sales ($000)]]/SUMIF($E:$E, E390, $AJ:$AJ)</f>
        <v>2.0365557544357589E-3</v>
      </c>
      <c r="AL390" s="5">
        <v>24</v>
      </c>
      <c r="AM390" s="5">
        <f t="shared" si="54"/>
        <v>2416.6666666666665</v>
      </c>
      <c r="AN390" s="5">
        <v>72500</v>
      </c>
      <c r="AO390" s="6">
        <f>Table1[[#This Row],[2019 U.S. Sales ($000)]]/SUMIF($E:$E, E390, $AN:$AN)</f>
        <v>2.219506974333805E-3</v>
      </c>
      <c r="AP390" s="5">
        <v>26</v>
      </c>
      <c r="AQ390" s="5">
        <f t="shared" si="55"/>
        <v>2788.4615384615386</v>
      </c>
    </row>
    <row r="391" spans="1:43" x14ac:dyDescent="0.25">
      <c r="A391" t="s">
        <v>456</v>
      </c>
      <c r="B391">
        <v>2653</v>
      </c>
      <c r="C391" t="s">
        <v>44</v>
      </c>
      <c r="D391" t="s">
        <v>45</v>
      </c>
      <c r="E391" t="s">
        <v>128</v>
      </c>
      <c r="F391" s="5">
        <v>297</v>
      </c>
      <c r="G391" s="5">
        <v>0</v>
      </c>
      <c r="H391" s="6">
        <f>Table1[[#This Row],[2024 U.S. Sales ($000)]]/SUMIF($E:$E, E391, $G:$G)</f>
        <v>0</v>
      </c>
      <c r="I391" s="5">
        <v>0</v>
      </c>
      <c r="J391" s="5" t="e">
        <f>Table1[[#This Row],[2024 U.S. Sales ($000)]]/Table1[[#This Row],[2024 U.S. Units]]</f>
        <v>#DIV/0!</v>
      </c>
      <c r="K391" s="6">
        <f>Table1[[#This Row],[2024 U.S. Units]]/Table1[[#This Row],[2023 U.S. Units]]-1</f>
        <v>-1</v>
      </c>
      <c r="L391" s="8">
        <f>(Table1[[#This Row],[2024 Market share (%)]]-Table1[[#This Row],[2023 Market share (%)]])*10000</f>
        <v>-226.6556250615703</v>
      </c>
      <c r="M391" s="6">
        <f>_xlfn.RRI(5,Table1[[#This Row],[2019 U.S. Sales ($000)]],Table1[[#This Row],[2024 U.S. Sales ($000)]])</f>
        <v>-1</v>
      </c>
      <c r="N391" s="9">
        <f>(Table1[[#This Row],[2024 Market share (%)]]-Table1[[#This Row],[2019 Market share (%)]])*10000</f>
        <v>-297.03450279927</v>
      </c>
      <c r="O391" s="6" t="e">
        <f>IF(Table1[[#This Row],[2024 AUV]]=0,"",_xlfn.RRI(5,Table1[[#This Row],[2019 AUV]],Table1[[#This Row],[2024 AUV]]))</f>
        <v>#DIV/0!</v>
      </c>
      <c r="P391" s="6">
        <f>_xlfn.RRI(5,Table1[[#This Row],[2019 U.S. Units]],Table1[[#This Row],[2024 U.S. Units]])</f>
        <v>-1</v>
      </c>
      <c r="Q391" s="5">
        <v>117800</v>
      </c>
      <c r="R391" s="6">
        <f>Table1[[#This Row],[2023 U.S. Sales ($000)]]/SUMIF($E:$E, E391, $Q:$Q)</f>
        <v>2.266556250615703E-2</v>
      </c>
      <c r="S391" s="8">
        <f>(Table1[[#This Row],[2023 Market share (%)]]-Table1[[#This Row],[2022 Market share (%)]])*10000</f>
        <v>-26.612252896720396</v>
      </c>
      <c r="T391" s="10">
        <v>4.9910873440285206E-2</v>
      </c>
      <c r="U391" s="5">
        <v>138</v>
      </c>
      <c r="V391" s="5">
        <f t="shared" si="48"/>
        <v>853.62318840579712</v>
      </c>
      <c r="W391" s="10">
        <v>1.4705882352941176E-2</v>
      </c>
      <c r="X391" s="10">
        <f t="shared" si="49"/>
        <v>2.6738521432270623E-2</v>
      </c>
      <c r="Y391" s="8">
        <f>(Table1[[#This Row],[2023 Market share (%)]]-Table1[[#This Row],[2019 Market share (%)]])*10000</f>
        <v>-70.378877737699682</v>
      </c>
      <c r="Z391" s="10">
        <f t="shared" si="50"/>
        <v>2.1112345191297566E-2</v>
      </c>
      <c r="AA391" s="10">
        <f t="shared" si="51"/>
        <v>5.5098503778436836E-3</v>
      </c>
      <c r="AB391" s="5">
        <v>112200</v>
      </c>
      <c r="AC391" s="6">
        <f>Table1[[#This Row],[2022 U.S. Sales ($000)]]/SUMIF($E:$E, E391, $AB:$AB)</f>
        <v>2.5326787795829069E-2</v>
      </c>
      <c r="AD391" s="5">
        <v>136</v>
      </c>
      <c r="AE391" s="5">
        <f t="shared" si="52"/>
        <v>825</v>
      </c>
      <c r="AF391" s="5">
        <v>106100</v>
      </c>
      <c r="AG391" s="6">
        <f>Table1[[#This Row],[2021 U.S. Sales ($000)]]/SUMIF($E:$E, E391, $AF:$AF)</f>
        <v>2.8121991662531858E-2</v>
      </c>
      <c r="AH391" s="5">
        <v>136</v>
      </c>
      <c r="AI391" s="12">
        <f t="shared" si="53"/>
        <v>780.14705882352939</v>
      </c>
      <c r="AJ391" s="5">
        <v>92800</v>
      </c>
      <c r="AK391" s="6">
        <f>Table1[[#This Row],[2020 U.S. Sales ($000)]]/SUMIF($E:$E, E391, $AJ:$AJ)</f>
        <v>3.0283549310298689E-2</v>
      </c>
      <c r="AL391" s="5">
        <v>136</v>
      </c>
      <c r="AM391" s="5">
        <f t="shared" si="54"/>
        <v>682.35294117647061</v>
      </c>
      <c r="AN391" s="5">
        <v>106000</v>
      </c>
      <c r="AO391" s="6">
        <f>Table1[[#This Row],[2019 U.S. Sales ($000)]]/SUMIF($E:$E, E391, $AN:$AN)</f>
        <v>2.9703450279926998E-2</v>
      </c>
      <c r="AP391" s="5">
        <v>135</v>
      </c>
      <c r="AQ391" s="5">
        <f t="shared" si="55"/>
        <v>785.18518518518522</v>
      </c>
    </row>
    <row r="392" spans="1:43" x14ac:dyDescent="0.25">
      <c r="A392" t="s">
        <v>457</v>
      </c>
      <c r="B392">
        <v>563294</v>
      </c>
      <c r="C392" t="s">
        <v>68</v>
      </c>
      <c r="D392" t="s">
        <v>69</v>
      </c>
      <c r="E392" t="s">
        <v>107</v>
      </c>
      <c r="F392" s="5">
        <v>433</v>
      </c>
      <c r="G392" s="5">
        <v>0</v>
      </c>
      <c r="H392" s="6">
        <f>Table1[[#This Row],[2024 U.S. Sales ($000)]]/SUMIF($E:$E, E392, $G:$G)</f>
        <v>0</v>
      </c>
      <c r="I392" s="5">
        <v>0</v>
      </c>
      <c r="J392" s="5" t="e">
        <f>Table1[[#This Row],[2024 U.S. Sales ($000)]]/Table1[[#This Row],[2024 U.S. Units]]</f>
        <v>#DIV/0!</v>
      </c>
      <c r="K392" s="6">
        <f>Table1[[#This Row],[2024 U.S. Units]]/Table1[[#This Row],[2023 U.S. Units]]-1</f>
        <v>-1</v>
      </c>
      <c r="L392" s="8">
        <f>(Table1[[#This Row],[2024 Market share (%)]]-Table1[[#This Row],[2023 Market share (%)]])*10000</f>
        <v>-140.31498186982734</v>
      </c>
      <c r="M392" s="6">
        <f>_xlfn.RRI(5,Table1[[#This Row],[2019 U.S. Sales ($000)]],Table1[[#This Row],[2024 U.S. Sales ($000)]])</f>
        <v>-1</v>
      </c>
      <c r="N392" s="9">
        <f>(Table1[[#This Row],[2024 Market share (%)]]-Table1[[#This Row],[2019 Market share (%)]])*10000</f>
        <v>-126.7596159416937</v>
      </c>
      <c r="O392" s="6" t="e">
        <f>IF(Table1[[#This Row],[2024 AUV]]=0,"",_xlfn.RRI(5,Table1[[#This Row],[2019 AUV]],Table1[[#This Row],[2024 AUV]]))</f>
        <v>#DIV/0!</v>
      </c>
      <c r="P392" s="6">
        <f>_xlfn.RRI(5,Table1[[#This Row],[2019 U.S. Units]],Table1[[#This Row],[2024 U.S. Units]])</f>
        <v>-1</v>
      </c>
      <c r="Q392" s="5">
        <v>72200</v>
      </c>
      <c r="R392" s="6">
        <f>Table1[[#This Row],[2023 U.S. Sales ($000)]]/SUMIF($E:$E, E392, $Q:$Q)</f>
        <v>1.4031498186982735E-2</v>
      </c>
      <c r="S392" s="8">
        <f>(Table1[[#This Row],[2023 Market share (%)]]-Table1[[#This Row],[2022 Market share (%)]])*10000</f>
        <v>-2.9166531729027909</v>
      </c>
      <c r="T392" s="10">
        <v>-3.4759358288770054E-2</v>
      </c>
      <c r="U392" s="5">
        <v>47</v>
      </c>
      <c r="V392" s="5">
        <f t="shared" si="48"/>
        <v>1536.1702127659576</v>
      </c>
      <c r="W392" s="10">
        <v>-2.0833333333333332E-2</v>
      </c>
      <c r="X392" s="10">
        <f t="shared" si="49"/>
        <v>2.5822925110007278E-2</v>
      </c>
      <c r="Y392" s="8">
        <f>(Table1[[#This Row],[2023 Market share (%)]]-Table1[[#This Row],[2019 Market share (%)]])*10000</f>
        <v>13.555365928133654</v>
      </c>
      <c r="Z392" s="10">
        <f t="shared" si="50"/>
        <v>3.2635866778900624E-3</v>
      </c>
      <c r="AA392" s="10">
        <f t="shared" si="51"/>
        <v>2.2485953573594841E-2</v>
      </c>
      <c r="AB392" s="5">
        <v>74800</v>
      </c>
      <c r="AC392" s="6">
        <f>Table1[[#This Row],[2022 U.S. Sales ($000)]]/SUMIF($E:$E, E392, $AB:$AB)</f>
        <v>1.4323163504273014E-2</v>
      </c>
      <c r="AD392" s="5">
        <v>48</v>
      </c>
      <c r="AE392" s="5">
        <f t="shared" si="52"/>
        <v>1558.3333333333333</v>
      </c>
      <c r="AF392" s="5">
        <v>67700</v>
      </c>
      <c r="AG392" s="6">
        <f>Table1[[#This Row],[2021 U.S. Sales ($000)]]/SUMIF($E:$E, E392, $AF:$AF)</f>
        <v>1.4061495885610458E-2</v>
      </c>
      <c r="AH392" s="5">
        <v>48</v>
      </c>
      <c r="AI392" s="12">
        <f t="shared" si="53"/>
        <v>1410.4166666666667</v>
      </c>
      <c r="AJ392" s="5">
        <v>51400</v>
      </c>
      <c r="AK392" s="6">
        <f>Table1[[#This Row],[2020 U.S. Sales ($000)]]/SUMIF($E:$E, E392, $AJ:$AJ)</f>
        <v>1.5088158584178862E-2</v>
      </c>
      <c r="AL392" s="5">
        <v>45</v>
      </c>
      <c r="AM392" s="5">
        <f t="shared" si="54"/>
        <v>1142.2222222222222</v>
      </c>
      <c r="AN392" s="5">
        <v>65200</v>
      </c>
      <c r="AO392" s="6">
        <f>Table1[[#This Row],[2019 U.S. Sales ($000)]]/SUMIF($E:$E, E392, $AN:$AN)</f>
        <v>1.2675961594169369E-2</v>
      </c>
      <c r="AP392" s="5">
        <v>43</v>
      </c>
      <c r="AQ392" s="5">
        <f t="shared" si="55"/>
        <v>1516.2790697674418</v>
      </c>
    </row>
    <row r="393" spans="1:43" x14ac:dyDescent="0.25">
      <c r="A393" t="s">
        <v>458</v>
      </c>
      <c r="B393">
        <v>29821</v>
      </c>
      <c r="C393" t="s">
        <v>68</v>
      </c>
      <c r="D393" t="s">
        <v>69</v>
      </c>
      <c r="E393" t="s">
        <v>52</v>
      </c>
      <c r="F393" s="5">
        <v>374</v>
      </c>
      <c r="G393" s="5">
        <v>0</v>
      </c>
      <c r="H393" s="6">
        <f>Table1[[#This Row],[2024 U.S. Sales ($000)]]/SUMIF($E:$E, E393, $G:$G)</f>
        <v>0</v>
      </c>
      <c r="I393" s="5">
        <v>0</v>
      </c>
      <c r="J393" s="5" t="e">
        <f>Table1[[#This Row],[2024 U.S. Sales ($000)]]/Table1[[#This Row],[2024 U.S. Units]]</f>
        <v>#DIV/0!</v>
      </c>
      <c r="K393" s="6">
        <f>Table1[[#This Row],[2024 U.S. Units]]/Table1[[#This Row],[2023 U.S. Units]]-1</f>
        <v>-1</v>
      </c>
      <c r="L393" s="8">
        <f>(Table1[[#This Row],[2024 Market share (%)]]-Table1[[#This Row],[2023 Market share (%)]])*10000</f>
        <v>-25.718637979616332</v>
      </c>
      <c r="M393" s="6">
        <f>_xlfn.RRI(5,Table1[[#This Row],[2019 U.S. Sales ($000)]],Table1[[#This Row],[2024 U.S. Sales ($000)]])</f>
        <v>-1</v>
      </c>
      <c r="N393" s="9">
        <f>(Table1[[#This Row],[2024 Market share (%)]]-Table1[[#This Row],[2019 Market share (%)]])*10000</f>
        <v>-31.762007688880821</v>
      </c>
      <c r="O393" s="6" t="e">
        <f>IF(Table1[[#This Row],[2024 AUV]]=0,"",_xlfn.RRI(5,Table1[[#This Row],[2019 AUV]],Table1[[#This Row],[2024 AUV]]))</f>
        <v>#DIV/0!</v>
      </c>
      <c r="P393" s="6">
        <f>_xlfn.RRI(5,Table1[[#This Row],[2019 U.S. Units]],Table1[[#This Row],[2024 U.S. Units]])</f>
        <v>-1</v>
      </c>
      <c r="Q393" s="5">
        <v>85100</v>
      </c>
      <c r="R393" s="6">
        <f>Table1[[#This Row],[2023 U.S. Sales ($000)]]/SUMIF($E:$E, E393, $Q:$Q)</f>
        <v>2.5718637979616332E-3</v>
      </c>
      <c r="S393" s="8">
        <f>(Table1[[#This Row],[2023 Market share (%)]]-Table1[[#This Row],[2022 Market share (%)]])*10000</f>
        <v>0.13134945401631695</v>
      </c>
      <c r="T393" s="10">
        <v>9.8064516129032261E-2</v>
      </c>
      <c r="U393" s="5">
        <v>24</v>
      </c>
      <c r="V393" s="5">
        <f t="shared" si="48"/>
        <v>3545.8333333333335</v>
      </c>
      <c r="W393" s="10">
        <v>4.3478260869565216E-2</v>
      </c>
      <c r="X393" s="10">
        <f t="shared" si="49"/>
        <v>2.5320660759325486E-2</v>
      </c>
      <c r="Y393" s="8">
        <f>(Table1[[#This Row],[2023 Market share (%)]]-Table1[[#This Row],[2019 Market share (%)]])*10000</f>
        <v>-6.0433697092644909</v>
      </c>
      <c r="Z393" s="10">
        <f t="shared" si="50"/>
        <v>3.2578544941732623E-3</v>
      </c>
      <c r="AA393" s="10">
        <f t="shared" si="51"/>
        <v>2.1991162258356844E-2</v>
      </c>
      <c r="AB393" s="5">
        <v>77500</v>
      </c>
      <c r="AC393" s="6">
        <f>Table1[[#This Row],[2022 U.S. Sales ($000)]]/SUMIF($E:$E, E393, $AB:$AB)</f>
        <v>2.5587288525600015E-3</v>
      </c>
      <c r="AD393" s="5">
        <v>23</v>
      </c>
      <c r="AE393" s="5">
        <f t="shared" si="52"/>
        <v>3369.5652173913045</v>
      </c>
      <c r="AF393" s="5">
        <v>71500</v>
      </c>
      <c r="AG393" s="6">
        <f>Table1[[#This Row],[2021 U.S. Sales ($000)]]/SUMIF($E:$E, E393, $AF:$AF)</f>
        <v>2.6086078367103436E-3</v>
      </c>
      <c r="AH393" s="5">
        <v>22</v>
      </c>
      <c r="AI393" s="12">
        <f t="shared" si="53"/>
        <v>3250</v>
      </c>
      <c r="AJ393" s="5">
        <v>58500</v>
      </c>
      <c r="AK393" s="6">
        <f>Table1[[#This Row],[2020 U.S. Sales ($000)]]/SUMIF($E:$E, E393, $AJ:$AJ)</f>
        <v>2.4817962367229733E-3</v>
      </c>
      <c r="AL393" s="5">
        <v>22</v>
      </c>
      <c r="AM393" s="5">
        <f t="shared" si="54"/>
        <v>2659.090909090909</v>
      </c>
      <c r="AN393" s="5">
        <v>77000</v>
      </c>
      <c r="AO393" s="6">
        <f>Table1[[#This Row],[2019 U.S. Sales ($000)]]/SUMIF($E:$E, E393, $AN:$AN)</f>
        <v>3.1762007688880822E-3</v>
      </c>
      <c r="AP393" s="5">
        <v>22</v>
      </c>
      <c r="AQ393" s="5">
        <f t="shared" si="55"/>
        <v>3500</v>
      </c>
    </row>
    <row r="394" spans="1:43" x14ac:dyDescent="0.25">
      <c r="A394" t="s">
        <v>459</v>
      </c>
      <c r="B394">
        <v>12019</v>
      </c>
      <c r="C394" t="s">
        <v>44</v>
      </c>
      <c r="D394" t="s">
        <v>56</v>
      </c>
      <c r="E394" t="s">
        <v>50</v>
      </c>
      <c r="F394" s="5">
        <v>336</v>
      </c>
      <c r="G394" s="5">
        <v>0</v>
      </c>
      <c r="H394" s="6">
        <f>Table1[[#This Row],[2024 U.S. Sales ($000)]]/SUMIF($E:$E, E394, $G:$G)</f>
        <v>0</v>
      </c>
      <c r="I394" s="5">
        <v>0</v>
      </c>
      <c r="J394" s="5" t="e">
        <f>Table1[[#This Row],[2024 U.S. Sales ($000)]]/Table1[[#This Row],[2024 U.S. Units]]</f>
        <v>#DIV/0!</v>
      </c>
      <c r="K394" s="6">
        <f>Table1[[#This Row],[2024 U.S. Units]]/Table1[[#This Row],[2023 U.S. Units]]-1</f>
        <v>-1</v>
      </c>
      <c r="L394" s="8">
        <f>(Table1[[#This Row],[2024 Market share (%)]]-Table1[[#This Row],[2023 Market share (%)]])*10000</f>
        <v>-20.456195201589068</v>
      </c>
      <c r="M394" s="6">
        <f>_xlfn.RRI(5,Table1[[#This Row],[2019 U.S. Sales ($000)]],Table1[[#This Row],[2024 U.S. Sales ($000)]])</f>
        <v>-1</v>
      </c>
      <c r="N394" s="9">
        <f>(Table1[[#This Row],[2024 Market share (%)]]-Table1[[#This Row],[2019 Market share (%)]])*10000</f>
        <v>-29.772327364394297</v>
      </c>
      <c r="O394" s="6" t="e">
        <f>IF(Table1[[#This Row],[2024 AUV]]=0,"",_xlfn.RRI(5,Table1[[#This Row],[2019 AUV]],Table1[[#This Row],[2024 AUV]]))</f>
        <v>#DIV/0!</v>
      </c>
      <c r="P394" s="6">
        <f>_xlfn.RRI(5,Table1[[#This Row],[2019 U.S. Units]],Table1[[#This Row],[2024 U.S. Units]])</f>
        <v>-1</v>
      </c>
      <c r="Q394" s="5">
        <v>100200</v>
      </c>
      <c r="R394" s="6">
        <f>Table1[[#This Row],[2023 U.S. Sales ($000)]]/SUMIF($E:$E, E394, $Q:$Q)</f>
        <v>2.0456195201589067E-3</v>
      </c>
      <c r="S394" s="8">
        <f>(Table1[[#This Row],[2023 Market share (%)]]-Table1[[#This Row],[2022 Market share (%)]])*10000</f>
        <v>-1.0648114553006311</v>
      </c>
      <c r="T394" s="10">
        <v>6.7092651757188496E-2</v>
      </c>
      <c r="U394" s="5">
        <v>47</v>
      </c>
      <c r="V394" s="5">
        <f t="shared" si="48"/>
        <v>2131.9148936170213</v>
      </c>
      <c r="W394" s="10">
        <v>2.1739130434782608E-2</v>
      </c>
      <c r="X394" s="10">
        <f t="shared" si="49"/>
        <v>2.3246767719301786E-2</v>
      </c>
      <c r="Y394" s="8">
        <f>(Table1[[#This Row],[2023 Market share (%)]]-Table1[[#This Row],[2019 Market share (%)]])*10000</f>
        <v>-9.3161321628052303</v>
      </c>
      <c r="Z394" s="10">
        <f t="shared" si="50"/>
        <v>-5.1256371703588544E-3</v>
      </c>
      <c r="AA394" s="10">
        <f t="shared" si="51"/>
        <v>2.8518580787390446E-2</v>
      </c>
      <c r="AB394" s="5">
        <v>93900</v>
      </c>
      <c r="AC394" s="6">
        <f>Table1[[#This Row],[2022 U.S. Sales ($000)]]/SUMIF($E:$E, E394, $AB:$AB)</f>
        <v>2.1521006656889698E-3</v>
      </c>
      <c r="AD394" s="5">
        <v>46</v>
      </c>
      <c r="AE394" s="5">
        <f t="shared" si="52"/>
        <v>2041.304347826087</v>
      </c>
      <c r="AF394" s="5">
        <v>85000</v>
      </c>
      <c r="AG394" s="6">
        <f>Table1[[#This Row],[2021 U.S. Sales ($000)]]/SUMIF($E:$E, E394, $AF:$AF)</f>
        <v>2.162031986525606E-3</v>
      </c>
      <c r="AH394" s="5">
        <v>43</v>
      </c>
      <c r="AI394" s="12">
        <f t="shared" si="53"/>
        <v>1976.7441860465117</v>
      </c>
      <c r="AJ394" s="5">
        <v>68500</v>
      </c>
      <c r="AK394" s="6">
        <f>Table1[[#This Row],[2020 U.S. Sales ($000)]]/SUMIF($E:$E, E394, $AJ:$AJ)</f>
        <v>2.0254694054916123E-3</v>
      </c>
      <c r="AL394" s="5">
        <v>42</v>
      </c>
      <c r="AM394" s="5">
        <f t="shared" si="54"/>
        <v>1630.952380952381</v>
      </c>
      <c r="AN394" s="5">
        <v>91400</v>
      </c>
      <c r="AO394" s="6">
        <f>Table1[[#This Row],[2019 U.S. Sales ($000)]]/SUMIF($E:$E, E394, $AN:$AN)</f>
        <v>2.9772327364394296E-3</v>
      </c>
      <c r="AP394" s="5">
        <v>42</v>
      </c>
      <c r="AQ394" s="5">
        <f t="shared" si="55"/>
        <v>2176.1904761904761</v>
      </c>
    </row>
    <row r="395" spans="1:43" x14ac:dyDescent="0.25">
      <c r="A395" t="s">
        <v>460</v>
      </c>
      <c r="B395">
        <v>2369</v>
      </c>
      <c r="C395" t="s">
        <v>44</v>
      </c>
      <c r="D395" t="s">
        <v>56</v>
      </c>
      <c r="E395" t="s">
        <v>128</v>
      </c>
      <c r="F395" s="5">
        <v>375</v>
      </c>
      <c r="G395" s="5">
        <v>0</v>
      </c>
      <c r="H395" s="6">
        <f>Table1[[#This Row],[2024 U.S. Sales ($000)]]/SUMIF($E:$E, E395, $G:$G)</f>
        <v>0</v>
      </c>
      <c r="I395" s="5">
        <v>0</v>
      </c>
      <c r="J395" s="5" t="e">
        <f>Table1[[#This Row],[2024 U.S. Sales ($000)]]/Table1[[#This Row],[2024 U.S. Units]]</f>
        <v>#DIV/0!</v>
      </c>
      <c r="K395" s="6">
        <f>Table1[[#This Row],[2024 U.S. Units]]/Table1[[#This Row],[2023 U.S. Units]]-1</f>
        <v>-1</v>
      </c>
      <c r="L395" s="8">
        <f>(Table1[[#This Row],[2024 Market share (%)]]-Table1[[#This Row],[2023 Market share (%)]])*10000</f>
        <v>-162.39163629199092</v>
      </c>
      <c r="M395" s="6">
        <f>_xlfn.RRI(5,Table1[[#This Row],[2019 U.S. Sales ($000)]],Table1[[#This Row],[2024 U.S. Sales ($000)]])</f>
        <v>-1</v>
      </c>
      <c r="N395" s="9">
        <f>(Table1[[#This Row],[2024 Market share (%)]]-Table1[[#This Row],[2019 Market share (%)]])*10000</f>
        <v>-215.77034637305459</v>
      </c>
      <c r="O395" s="6" t="e">
        <f>IF(Table1[[#This Row],[2024 AUV]]=0,"",_xlfn.RRI(5,Table1[[#This Row],[2019 AUV]],Table1[[#This Row],[2024 AUV]]))</f>
        <v>#DIV/0!</v>
      </c>
      <c r="P395" s="6">
        <f>_xlfn.RRI(5,Table1[[#This Row],[2019 U.S. Units]],Table1[[#This Row],[2024 U.S. Units]])</f>
        <v>-1</v>
      </c>
      <c r="Q395" s="5">
        <v>84400</v>
      </c>
      <c r="R395" s="6">
        <f>Table1[[#This Row],[2023 U.S. Sales ($000)]]/SUMIF($E:$E, E395, $Q:$Q)</f>
        <v>1.6239163629199093E-2</v>
      </c>
      <c r="S395" s="8">
        <f>(Table1[[#This Row],[2023 Market share (%)]]-Table1[[#This Row],[2022 Market share (%)]])*10000</f>
        <v>-24.060473506180291</v>
      </c>
      <c r="T395" s="10">
        <v>2.1791767554479417E-2</v>
      </c>
      <c r="U395" s="5">
        <v>100</v>
      </c>
      <c r="V395" s="5">
        <f t="shared" si="48"/>
        <v>844</v>
      </c>
      <c r="W395" s="10">
        <v>-9.9009900990099011E-3</v>
      </c>
      <c r="X395" s="10">
        <f t="shared" si="49"/>
        <v>2.3205651818956063E-2</v>
      </c>
      <c r="Y395" s="8">
        <f>(Table1[[#This Row],[2023 Market share (%)]]-Table1[[#This Row],[2019 Market share (%)]])*10000</f>
        <v>-53.378710081063673</v>
      </c>
      <c r="Z395" s="10">
        <f t="shared" si="50"/>
        <v>-3.3938617647989444E-3</v>
      </c>
      <c r="AA395" s="10">
        <f t="shared" si="51"/>
        <v>2.6690096080340897E-2</v>
      </c>
      <c r="AB395" s="5">
        <v>82600</v>
      </c>
      <c r="AC395" s="6">
        <f>Table1[[#This Row],[2022 U.S. Sales ($000)]]/SUMIF($E:$E, E395, $AB:$AB)</f>
        <v>1.8645210979817122E-2</v>
      </c>
      <c r="AD395" s="5">
        <v>101</v>
      </c>
      <c r="AE395" s="5">
        <f t="shared" si="52"/>
        <v>817.82178217821786</v>
      </c>
      <c r="AF395" s="5">
        <v>75500</v>
      </c>
      <c r="AG395" s="6">
        <f>Table1[[#This Row],[2021 U.S. Sales ($000)]]/SUMIF($E:$E, E395, $AF:$AF)</f>
        <v>2.0011407827720599E-2</v>
      </c>
      <c r="AH395" s="5">
        <v>103</v>
      </c>
      <c r="AI395" s="12">
        <f t="shared" si="53"/>
        <v>733.00970873786412</v>
      </c>
      <c r="AJ395" s="5">
        <v>59900</v>
      </c>
      <c r="AK395" s="6">
        <f>Table1[[#This Row],[2020 U.S. Sales ($000)]]/SUMIF($E:$E, E395, $AJ:$AJ)</f>
        <v>1.9547247884557022E-2</v>
      </c>
      <c r="AL395" s="5">
        <v>93</v>
      </c>
      <c r="AM395" s="5">
        <f t="shared" si="54"/>
        <v>644.08602150537638</v>
      </c>
      <c r="AN395" s="5">
        <v>77000</v>
      </c>
      <c r="AO395" s="6">
        <f>Table1[[#This Row],[2019 U.S. Sales ($000)]]/SUMIF($E:$E, E395, $AN:$AN)</f>
        <v>2.157703463730546E-2</v>
      </c>
      <c r="AP395" s="5">
        <v>90</v>
      </c>
      <c r="AQ395" s="5">
        <f t="shared" si="55"/>
        <v>855.55555555555554</v>
      </c>
    </row>
    <row r="396" spans="1:43" x14ac:dyDescent="0.25">
      <c r="A396" t="s">
        <v>461</v>
      </c>
      <c r="B396">
        <v>5229</v>
      </c>
      <c r="C396" t="s">
        <v>44</v>
      </c>
      <c r="D396" t="s">
        <v>45</v>
      </c>
      <c r="E396" t="s">
        <v>50</v>
      </c>
      <c r="F396" s="5">
        <v>308</v>
      </c>
      <c r="G396" s="5">
        <v>0</v>
      </c>
      <c r="H396" s="6">
        <f>Table1[[#This Row],[2024 U.S. Sales ($000)]]/SUMIF($E:$E, E396, $G:$G)</f>
        <v>0</v>
      </c>
      <c r="I396" s="5">
        <v>0</v>
      </c>
      <c r="J396" s="5" t="e">
        <f>Table1[[#This Row],[2024 U.S. Sales ($000)]]/Table1[[#This Row],[2024 U.S. Units]]</f>
        <v>#DIV/0!</v>
      </c>
      <c r="K396" s="6">
        <f>Table1[[#This Row],[2024 U.S. Units]]/Table1[[#This Row],[2023 U.S. Units]]-1</f>
        <v>-1</v>
      </c>
      <c r="L396" s="8">
        <f>(Table1[[#This Row],[2024 Market share (%)]]-Table1[[#This Row],[2023 Market share (%)]])*10000</f>
        <v>-22.803962115943104</v>
      </c>
      <c r="M396" s="6">
        <f>_xlfn.RRI(5,Table1[[#This Row],[2019 U.S. Sales ($000)]],Table1[[#This Row],[2024 U.S. Sales ($000)]])</f>
        <v>-1</v>
      </c>
      <c r="N396" s="9">
        <f>(Table1[[#This Row],[2024 Market share (%)]]-Table1[[#This Row],[2019 Market share (%)]])*10000</f>
        <v>-33.257709233092534</v>
      </c>
      <c r="O396" s="6" t="e">
        <f>IF(Table1[[#This Row],[2024 AUV]]=0,"",_xlfn.RRI(5,Table1[[#This Row],[2019 AUV]],Table1[[#This Row],[2024 AUV]]))</f>
        <v>#DIV/0!</v>
      </c>
      <c r="P396" s="6">
        <f>_xlfn.RRI(5,Table1[[#This Row],[2019 U.S. Units]],Table1[[#This Row],[2024 U.S. Units]])</f>
        <v>-1</v>
      </c>
      <c r="Q396" s="5">
        <v>111700</v>
      </c>
      <c r="R396" s="6">
        <f>Table1[[#This Row],[2023 U.S. Sales ($000)]]/SUMIF($E:$E, E396, $Q:$Q)</f>
        <v>2.2803962115943103E-3</v>
      </c>
      <c r="S396" s="8">
        <f>(Table1[[#This Row],[2023 Market share (%)]]-Table1[[#This Row],[2022 Market share (%)]])*10000</f>
        <v>-1.6506854909805477</v>
      </c>
      <c r="T396" s="10">
        <v>4.6860356138706656E-2</v>
      </c>
      <c r="U396" s="5">
        <v>251</v>
      </c>
      <c r="V396" s="5">
        <f t="shared" si="48"/>
        <v>445.0199203187251</v>
      </c>
      <c r="W396" s="10">
        <v>0</v>
      </c>
      <c r="X396" s="10">
        <f t="shared" si="49"/>
        <v>2.2720256202100275E-2</v>
      </c>
      <c r="Y396" s="8">
        <f>(Table1[[#This Row],[2023 Market share (%)]]-Table1[[#This Row],[2019 Market share (%)]])*10000</f>
        <v>-10.45374711714943</v>
      </c>
      <c r="Z396" s="10">
        <f t="shared" si="50"/>
        <v>1.9650525964374221E-2</v>
      </c>
      <c r="AA396" s="10">
        <f t="shared" si="51"/>
        <v>3.0105709353924759E-3</v>
      </c>
      <c r="AB396" s="5">
        <v>106700</v>
      </c>
      <c r="AC396" s="6">
        <f>Table1[[#This Row],[2022 U.S. Sales ($000)]]/SUMIF($E:$E, E396, $AB:$AB)</f>
        <v>2.4454647606923651E-3</v>
      </c>
      <c r="AD396" s="5">
        <v>201</v>
      </c>
      <c r="AE396" s="5">
        <f t="shared" si="52"/>
        <v>530.84577114427861</v>
      </c>
      <c r="AF396" s="5">
        <v>101500</v>
      </c>
      <c r="AG396" s="6">
        <f>Table1[[#This Row],[2021 U.S. Sales ($000)]]/SUMIF($E:$E, E396, $AF:$AF)</f>
        <v>2.5817205486158711E-3</v>
      </c>
      <c r="AH396" s="5">
        <v>251</v>
      </c>
      <c r="AI396" s="12">
        <f t="shared" si="53"/>
        <v>404.38247011952194</v>
      </c>
      <c r="AJ396" s="5">
        <v>92100</v>
      </c>
      <c r="AK396" s="6">
        <f>Table1[[#This Row],[2020 U.S. Sales ($000)]]/SUMIF($E:$E, E396, $AJ:$AJ)</f>
        <v>2.7232953612522262E-3</v>
      </c>
      <c r="AL396" s="5">
        <v>250</v>
      </c>
      <c r="AM396" s="5">
        <f t="shared" si="54"/>
        <v>368.4</v>
      </c>
      <c r="AN396" s="5">
        <v>102100</v>
      </c>
      <c r="AO396" s="6">
        <f>Table1[[#This Row],[2019 U.S. Sales ($000)]]/SUMIF($E:$E, E396, $AN:$AN)</f>
        <v>3.3257709233092533E-3</v>
      </c>
      <c r="AP396" s="5">
        <v>248</v>
      </c>
      <c r="AQ396" s="5">
        <f t="shared" si="55"/>
        <v>411.69354838709677</v>
      </c>
    </row>
    <row r="397" spans="1:43" x14ac:dyDescent="0.25">
      <c r="A397" t="s">
        <v>462</v>
      </c>
      <c r="B397">
        <v>31254</v>
      </c>
      <c r="C397" t="s">
        <v>68</v>
      </c>
      <c r="D397" t="s">
        <v>69</v>
      </c>
      <c r="E397" t="s">
        <v>52</v>
      </c>
      <c r="F397" s="5">
        <v>347</v>
      </c>
      <c r="G397" s="5">
        <v>0</v>
      </c>
      <c r="H397" s="6">
        <f>Table1[[#This Row],[2024 U.S. Sales ($000)]]/SUMIF($E:$E, E397, $G:$G)</f>
        <v>0</v>
      </c>
      <c r="I397" s="5">
        <v>0</v>
      </c>
      <c r="J397" s="5" t="e">
        <f>Table1[[#This Row],[2024 U.S. Sales ($000)]]/Table1[[#This Row],[2024 U.S. Units]]</f>
        <v>#DIV/0!</v>
      </c>
      <c r="K397" s="6">
        <f>Table1[[#This Row],[2024 U.S. Units]]/Table1[[#This Row],[2023 U.S. Units]]-1</f>
        <v>-1</v>
      </c>
      <c r="L397" s="8">
        <f>(Table1[[#This Row],[2024 Market share (%)]]-Table1[[#This Row],[2023 Market share (%)]])*10000</f>
        <v>-28.922134602224244</v>
      </c>
      <c r="M397" s="6">
        <f>_xlfn.RRI(5,Table1[[#This Row],[2019 U.S. Sales ($000)]],Table1[[#This Row],[2024 U.S. Sales ($000)]])</f>
        <v>-1</v>
      </c>
      <c r="N397" s="9">
        <f>(Table1[[#This Row],[2024 Market share (%)]]-Table1[[#This Row],[2019 Market share (%)]])*10000</f>
        <v>-36.423185440625673</v>
      </c>
      <c r="O397" s="6" t="e">
        <f>IF(Table1[[#This Row],[2024 AUV]]=0,"",_xlfn.RRI(5,Table1[[#This Row],[2019 AUV]],Table1[[#This Row],[2024 AUV]]))</f>
        <v>#DIV/0!</v>
      </c>
      <c r="P397" s="6">
        <f>_xlfn.RRI(5,Table1[[#This Row],[2019 U.S. Units]],Table1[[#This Row],[2024 U.S. Units]])</f>
        <v>-1</v>
      </c>
      <c r="Q397" s="5">
        <v>95700</v>
      </c>
      <c r="R397" s="6">
        <f>Table1[[#This Row],[2023 U.S. Sales ($000)]]/SUMIF($E:$E, E397, $Q:$Q)</f>
        <v>2.8922134602224242E-3</v>
      </c>
      <c r="S397" s="8">
        <f>(Table1[[#This Row],[2023 Market share (%)]]-Table1[[#This Row],[2022 Market share (%)]])*10000</f>
        <v>-1.155310361416551</v>
      </c>
      <c r="T397" s="10">
        <v>5.0493962678375415E-2</v>
      </c>
      <c r="U397" s="5">
        <v>23</v>
      </c>
      <c r="V397" s="5">
        <f t="shared" si="48"/>
        <v>4160.869565217391</v>
      </c>
      <c r="W397" s="10">
        <v>0</v>
      </c>
      <c r="X397" s="10">
        <f t="shared" si="49"/>
        <v>2.0323310053462551E-2</v>
      </c>
      <c r="Y397" s="8">
        <f>(Table1[[#This Row],[2023 Market share (%)]]-Table1[[#This Row],[2019 Market share (%)]])*10000</f>
        <v>-7.5010508384014276</v>
      </c>
      <c r="Z397" s="10">
        <f t="shared" si="50"/>
        <v>2.0323310053462551E-2</v>
      </c>
      <c r="AA397" s="10">
        <f t="shared" si="51"/>
        <v>0</v>
      </c>
      <c r="AB397" s="5">
        <v>91100</v>
      </c>
      <c r="AC397" s="6">
        <f>Table1[[#This Row],[2022 U.S. Sales ($000)]]/SUMIF($E:$E, E397, $AB:$AB)</f>
        <v>3.0077444963640793E-3</v>
      </c>
      <c r="AD397" s="5">
        <v>23</v>
      </c>
      <c r="AE397" s="5">
        <f t="shared" si="52"/>
        <v>3960.8695652173915</v>
      </c>
      <c r="AF397" s="5">
        <v>84300</v>
      </c>
      <c r="AG397" s="6">
        <f>Table1[[#This Row],[2021 U.S. Sales ($000)]]/SUMIF($E:$E, E397, $AF:$AF)</f>
        <v>3.0756033655200271E-3</v>
      </c>
      <c r="AH397" s="5">
        <v>23</v>
      </c>
      <c r="AI397" s="12">
        <f t="shared" si="53"/>
        <v>3665.217391304348</v>
      </c>
      <c r="AJ397" s="5">
        <v>67600</v>
      </c>
      <c r="AK397" s="6">
        <f>Table1[[#This Row],[2020 U.S. Sales ($000)]]/SUMIF($E:$E, E397, $AJ:$AJ)</f>
        <v>2.8678534291021029E-3</v>
      </c>
      <c r="AL397" s="5">
        <v>23</v>
      </c>
      <c r="AM397" s="5">
        <f t="shared" si="54"/>
        <v>2939.1304347826085</v>
      </c>
      <c r="AN397" s="5">
        <v>88300</v>
      </c>
      <c r="AO397" s="6">
        <f>Table1[[#This Row],[2019 U.S. Sales ($000)]]/SUMIF($E:$E, E397, $AN:$AN)</f>
        <v>3.642318544062567E-3</v>
      </c>
      <c r="AP397" s="5">
        <v>23</v>
      </c>
      <c r="AQ397" s="5">
        <f t="shared" si="55"/>
        <v>3839.1304347826085</v>
      </c>
    </row>
    <row r="398" spans="1:43" x14ac:dyDescent="0.25">
      <c r="A398" t="s">
        <v>463</v>
      </c>
      <c r="B398">
        <v>33379</v>
      </c>
      <c r="C398" t="s">
        <v>68</v>
      </c>
      <c r="D398" t="s">
        <v>69</v>
      </c>
      <c r="E398" t="s">
        <v>125</v>
      </c>
      <c r="F398" s="5">
        <v>495</v>
      </c>
      <c r="G398" s="5">
        <v>0</v>
      </c>
      <c r="H398" s="6">
        <f>Table1[[#This Row],[2024 U.S. Sales ($000)]]/SUMIF($E:$E, E398, $G:$G)</f>
        <v>0</v>
      </c>
      <c r="I398" s="5">
        <v>0</v>
      </c>
      <c r="J398" s="5" t="e">
        <f>Table1[[#This Row],[2024 U.S. Sales ($000)]]/Table1[[#This Row],[2024 U.S. Units]]</f>
        <v>#DIV/0!</v>
      </c>
      <c r="K398" s="6">
        <f>Table1[[#This Row],[2024 U.S. Units]]/Table1[[#This Row],[2023 U.S. Units]]-1</f>
        <v>-1</v>
      </c>
      <c r="L398" s="8">
        <f>(Table1[[#This Row],[2024 Market share (%)]]-Table1[[#This Row],[2023 Market share (%)]])*10000</f>
        <v>-157.49782805414537</v>
      </c>
      <c r="M398" s="6">
        <f>_xlfn.RRI(5,Table1[[#This Row],[2019 U.S. Sales ($000)]],Table1[[#This Row],[2024 U.S. Sales ($000)]])</f>
        <v>-1</v>
      </c>
      <c r="N398" s="9">
        <f>(Table1[[#This Row],[2024 Market share (%)]]-Table1[[#This Row],[2019 Market share (%)]])*10000</f>
        <v>-195.86875136307702</v>
      </c>
      <c r="O398" s="6" t="e">
        <f>IF(Table1[[#This Row],[2024 AUV]]=0,"",_xlfn.RRI(5,Table1[[#This Row],[2019 AUV]],Table1[[#This Row],[2024 AUV]]))</f>
        <v>#DIV/0!</v>
      </c>
      <c r="P398" s="6">
        <f>_xlfn.RRI(5,Table1[[#This Row],[2019 U.S. Units]],Table1[[#This Row],[2024 U.S. Units]])</f>
        <v>-1</v>
      </c>
      <c r="Q398" s="5">
        <v>55800</v>
      </c>
      <c r="R398" s="6">
        <f>Table1[[#This Row],[2023 U.S. Sales ($000)]]/SUMIF($E:$E, E398, $Q:$Q)</f>
        <v>1.5749782805414538E-2</v>
      </c>
      <c r="S398" s="8">
        <f>(Table1[[#This Row],[2023 Market share (%)]]-Table1[[#This Row],[2022 Market share (%)]])*10000</f>
        <v>-5.4516010828642782</v>
      </c>
      <c r="T398" s="10">
        <v>8.771929824561403E-2</v>
      </c>
      <c r="U398" s="5">
        <v>20</v>
      </c>
      <c r="V398" s="5">
        <f t="shared" si="48"/>
        <v>2790</v>
      </c>
      <c r="W398" s="10">
        <v>5.2631578947368418E-2</v>
      </c>
      <c r="X398" s="10">
        <f t="shared" si="49"/>
        <v>1.7788908614312149E-2</v>
      </c>
      <c r="Y398" s="8">
        <f>(Table1[[#This Row],[2023 Market share (%)]]-Table1[[#This Row],[2019 Market share (%)]])*10000</f>
        <v>-38.370923308931637</v>
      </c>
      <c r="Z398" s="10">
        <f t="shared" si="50"/>
        <v>4.8207969353841751E-3</v>
      </c>
      <c r="AA398" s="10">
        <f t="shared" si="51"/>
        <v>1.2905894979960086E-2</v>
      </c>
      <c r="AB398" s="5">
        <v>51300</v>
      </c>
      <c r="AC398" s="6">
        <f>Table1[[#This Row],[2022 U.S. Sales ($000)]]/SUMIF($E:$E, E398, $AB:$AB)</f>
        <v>1.6294942913700965E-2</v>
      </c>
      <c r="AD398" s="5">
        <v>19</v>
      </c>
      <c r="AE398" s="5">
        <f t="shared" si="52"/>
        <v>2700</v>
      </c>
      <c r="AF398" s="5">
        <v>47700</v>
      </c>
      <c r="AG398" s="6">
        <f>Table1[[#This Row],[2021 U.S. Sales ($000)]]/SUMIF($E:$E, E398, $AF:$AF)</f>
        <v>1.7936673390098957E-2</v>
      </c>
      <c r="AH398" s="5">
        <v>19</v>
      </c>
      <c r="AI398" s="12">
        <f t="shared" si="53"/>
        <v>2510.5263157894738</v>
      </c>
      <c r="AJ398" s="5">
        <v>39500</v>
      </c>
      <c r="AK398" s="6">
        <f>Table1[[#This Row],[2020 U.S. Sales ($000)]]/SUMIF($E:$E, E398, $AJ:$AJ)</f>
        <v>2.0844448173577789E-2</v>
      </c>
      <c r="AL398" s="5">
        <v>19</v>
      </c>
      <c r="AM398" s="5">
        <f t="shared" si="54"/>
        <v>2078.9473684210525</v>
      </c>
      <c r="AN398" s="5">
        <v>52000</v>
      </c>
      <c r="AO398" s="6">
        <f>Table1[[#This Row],[2019 U.S. Sales ($000)]]/SUMIF($E:$E, E398, $AN:$AN)</f>
        <v>1.9586875136307701E-2</v>
      </c>
      <c r="AP398" s="5">
        <v>19</v>
      </c>
      <c r="AQ398" s="5">
        <f t="shared" si="55"/>
        <v>2736.8421052631579</v>
      </c>
    </row>
    <row r="399" spans="1:43" x14ac:dyDescent="0.25">
      <c r="A399" t="s">
        <v>464</v>
      </c>
      <c r="B399">
        <v>61747</v>
      </c>
      <c r="C399" t="s">
        <v>68</v>
      </c>
      <c r="D399" t="s">
        <v>69</v>
      </c>
      <c r="E399" t="s">
        <v>73</v>
      </c>
      <c r="F399" s="5">
        <v>346</v>
      </c>
      <c r="G399" s="5">
        <v>0</v>
      </c>
      <c r="H399" s="6">
        <f>Table1[[#This Row],[2024 U.S. Sales ($000)]]/SUMIF($E:$E, E399, $G:$G)</f>
        <v>0</v>
      </c>
      <c r="I399" s="5">
        <v>0</v>
      </c>
      <c r="J399" s="5" t="e">
        <f>Table1[[#This Row],[2024 U.S. Sales ($000)]]/Table1[[#This Row],[2024 U.S. Units]]</f>
        <v>#DIV/0!</v>
      </c>
      <c r="K399" s="6">
        <f>Table1[[#This Row],[2024 U.S. Units]]/Table1[[#This Row],[2023 U.S. Units]]-1</f>
        <v>-1</v>
      </c>
      <c r="L399" s="8">
        <f>(Table1[[#This Row],[2024 Market share (%)]]-Table1[[#This Row],[2023 Market share (%)]])*10000</f>
        <v>-100.10402702267628</v>
      </c>
      <c r="M399" s="6">
        <f>_xlfn.RRI(5,Table1[[#This Row],[2019 U.S. Sales ($000)]],Table1[[#This Row],[2024 U.S. Sales ($000)]])</f>
        <v>-1</v>
      </c>
      <c r="N399" s="9">
        <f>(Table1[[#This Row],[2024 Market share (%)]]-Table1[[#This Row],[2019 Market share (%)]])*10000</f>
        <v>-98.779952471603778</v>
      </c>
      <c r="O399" s="6" t="e">
        <f>IF(Table1[[#This Row],[2024 AUV]]=0,"",_xlfn.RRI(5,Table1[[#This Row],[2019 AUV]],Table1[[#This Row],[2024 AUV]]))</f>
        <v>#DIV/0!</v>
      </c>
      <c r="P399" s="6">
        <f>_xlfn.RRI(5,Table1[[#This Row],[2019 U.S. Units]],Table1[[#This Row],[2024 U.S. Units]])</f>
        <v>-1</v>
      </c>
      <c r="Q399" s="5">
        <v>96200</v>
      </c>
      <c r="R399" s="6">
        <f>Table1[[#This Row],[2023 U.S. Sales ($000)]]/SUMIF($E:$E, E399, $Q:$Q)</f>
        <v>1.0010402702267628E-2</v>
      </c>
      <c r="S399" s="8">
        <f>(Table1[[#This Row],[2023 Market share (%)]]-Table1[[#This Row],[2022 Market share (%)]])*10000</f>
        <v>0.36391751761805785</v>
      </c>
      <c r="T399" s="10">
        <v>5.0218340611353711E-2</v>
      </c>
      <c r="U399" s="5">
        <v>17</v>
      </c>
      <c r="V399" s="5">
        <f t="shared" si="48"/>
        <v>5658.8235294117649</v>
      </c>
      <c r="W399" s="10">
        <v>0</v>
      </c>
      <c r="X399" s="10">
        <f t="shared" si="49"/>
        <v>1.6512141329525054E-2</v>
      </c>
      <c r="Y399" s="8">
        <f>(Table1[[#This Row],[2023 Market share (%)]]-Table1[[#This Row],[2019 Market share (%)]])*10000</f>
        <v>1.3240745510724981</v>
      </c>
      <c r="Z399" s="10">
        <f t="shared" si="50"/>
        <v>1.6512141329525054E-2</v>
      </c>
      <c r="AA399" s="10">
        <f t="shared" si="51"/>
        <v>0</v>
      </c>
      <c r="AB399" s="5">
        <v>91600</v>
      </c>
      <c r="AC399" s="6">
        <f>Table1[[#This Row],[2022 U.S. Sales ($000)]]/SUMIF($E:$E, E399, $AB:$AB)</f>
        <v>9.9740109505058218E-3</v>
      </c>
      <c r="AD399" s="5">
        <v>17</v>
      </c>
      <c r="AE399" s="5">
        <f t="shared" si="52"/>
        <v>5388.2352941176468</v>
      </c>
      <c r="AF399" s="5">
        <v>85000</v>
      </c>
      <c r="AG399" s="6">
        <f>Table1[[#This Row],[2021 U.S. Sales ($000)]]/SUMIF($E:$E, E399, $AF:$AF)</f>
        <v>1.0151142146801757E-2</v>
      </c>
      <c r="AH399" s="5">
        <v>17</v>
      </c>
      <c r="AI399" s="12">
        <f t="shared" si="53"/>
        <v>5000</v>
      </c>
      <c r="AJ399" s="5">
        <v>51800</v>
      </c>
      <c r="AK399" s="6">
        <f>Table1[[#This Row],[2020 U.S. Sales ($000)]]/SUMIF($E:$E, E399, $AJ:$AJ)</f>
        <v>7.5084662305281774E-3</v>
      </c>
      <c r="AL399" s="5">
        <v>17</v>
      </c>
      <c r="AM399" s="5">
        <f t="shared" si="54"/>
        <v>3047.0588235294117</v>
      </c>
      <c r="AN399" s="5">
        <v>90100</v>
      </c>
      <c r="AO399" s="6">
        <f>Table1[[#This Row],[2019 U.S. Sales ($000)]]/SUMIF($E:$E, E399, $AN:$AN)</f>
        <v>9.8779952471603778E-3</v>
      </c>
      <c r="AP399" s="5">
        <v>17</v>
      </c>
      <c r="AQ399" s="5">
        <f t="shared" si="55"/>
        <v>5300</v>
      </c>
    </row>
    <row r="400" spans="1:43" x14ac:dyDescent="0.25">
      <c r="A400" t="s">
        <v>465</v>
      </c>
      <c r="B400">
        <v>601</v>
      </c>
      <c r="C400" t="s">
        <v>44</v>
      </c>
      <c r="D400" t="s">
        <v>45</v>
      </c>
      <c r="E400" t="s">
        <v>61</v>
      </c>
      <c r="F400" s="5">
        <v>421</v>
      </c>
      <c r="G400" s="5">
        <v>0</v>
      </c>
      <c r="H400" s="6">
        <f>Table1[[#This Row],[2024 U.S. Sales ($000)]]/SUMIF($E:$E, E400, $G:$G)</f>
        <v>0</v>
      </c>
      <c r="I400" s="5">
        <v>0</v>
      </c>
      <c r="J400" s="5" t="e">
        <f>Table1[[#This Row],[2024 U.S. Sales ($000)]]/Table1[[#This Row],[2024 U.S. Units]]</f>
        <v>#DIV/0!</v>
      </c>
      <c r="K400" s="6">
        <f>Table1[[#This Row],[2024 U.S. Units]]/Table1[[#This Row],[2023 U.S. Units]]-1</f>
        <v>-1</v>
      </c>
      <c r="L400" s="8">
        <f>(Table1[[#This Row],[2024 Market share (%)]]-Table1[[#This Row],[2023 Market share (%)]])*10000</f>
        <v>-24.421561724826159</v>
      </c>
      <c r="M400" s="6">
        <f>_xlfn.RRI(5,Table1[[#This Row],[2019 U.S. Sales ($000)]],Table1[[#This Row],[2024 U.S. Sales ($000)]])</f>
        <v>-1</v>
      </c>
      <c r="N400" s="9">
        <f>(Table1[[#This Row],[2024 Market share (%)]]-Table1[[#This Row],[2019 Market share (%)]])*10000</f>
        <v>-27.161428818244978</v>
      </c>
      <c r="O400" s="6" t="e">
        <f>IF(Table1[[#This Row],[2024 AUV]]=0,"",_xlfn.RRI(5,Table1[[#This Row],[2019 AUV]],Table1[[#This Row],[2024 AUV]]))</f>
        <v>#DIV/0!</v>
      </c>
      <c r="P400" s="6">
        <f>_xlfn.RRI(5,Table1[[#This Row],[2019 U.S. Units]],Table1[[#This Row],[2024 U.S. Units]])</f>
        <v>-1</v>
      </c>
      <c r="Q400" s="5">
        <v>74600</v>
      </c>
      <c r="R400" s="6">
        <f>Table1[[#This Row],[2023 U.S. Sales ($000)]]/SUMIF($E:$E, E400, $Q:$Q)</f>
        <v>2.4421561724826159E-3</v>
      </c>
      <c r="S400" s="8">
        <f>(Table1[[#This Row],[2023 Market share (%)]]-Table1[[#This Row],[2022 Market share (%)]])*10000</f>
        <v>1.0080668736389642</v>
      </c>
      <c r="T400" s="10">
        <v>7.3381294964028773E-2</v>
      </c>
      <c r="U400" s="5">
        <v>98</v>
      </c>
      <c r="V400" s="5">
        <f t="shared" si="48"/>
        <v>761.22448979591832</v>
      </c>
      <c r="W400" s="10">
        <v>1.0309278350515464E-2</v>
      </c>
      <c r="X400" s="10">
        <f t="shared" si="49"/>
        <v>1.5676028065629177E-2</v>
      </c>
      <c r="Y400" s="8">
        <f>(Table1[[#This Row],[2023 Market share (%)]]-Table1[[#This Row],[2019 Market share (%)]])*10000</f>
        <v>-2.7398670934188205</v>
      </c>
      <c r="Z400" s="10">
        <f t="shared" si="50"/>
        <v>1.8257182365660318E-2</v>
      </c>
      <c r="AA400" s="10">
        <f t="shared" si="51"/>
        <v>-2.5348746316079529E-3</v>
      </c>
      <c r="AB400" s="5">
        <v>69500</v>
      </c>
      <c r="AC400" s="6">
        <f>Table1[[#This Row],[2022 U.S. Sales ($000)]]/SUMIF($E:$E, E400, $AB:$AB)</f>
        <v>2.3413494851187194E-3</v>
      </c>
      <c r="AD400" s="5">
        <v>97</v>
      </c>
      <c r="AE400" s="5">
        <f t="shared" si="52"/>
        <v>716.4948453608248</v>
      </c>
      <c r="AF400" s="5">
        <v>62400</v>
      </c>
      <c r="AG400" s="6">
        <f>Table1[[#This Row],[2021 U.S. Sales ($000)]]/SUMIF($E:$E, E400, $AF:$AF)</f>
        <v>2.1466491632196436E-3</v>
      </c>
      <c r="AH400" s="5">
        <v>96</v>
      </c>
      <c r="AI400" s="12">
        <f t="shared" si="53"/>
        <v>650</v>
      </c>
      <c r="AJ400" s="5">
        <v>32700</v>
      </c>
      <c r="AK400" s="6">
        <f>Table1[[#This Row],[2020 U.S. Sales ($000)]]/SUMIF($E:$E, E400, $AJ:$AJ)</f>
        <v>1.2081168159552996E-3</v>
      </c>
      <c r="AL400" s="5">
        <v>96</v>
      </c>
      <c r="AM400" s="5">
        <f t="shared" si="54"/>
        <v>340.625</v>
      </c>
      <c r="AN400" s="5">
        <v>70100</v>
      </c>
      <c r="AO400" s="6">
        <f>Table1[[#This Row],[2019 U.S. Sales ($000)]]/SUMIF($E:$E, E400, $AN:$AN)</f>
        <v>2.7161428818244979E-3</v>
      </c>
      <c r="AP400" s="5">
        <v>99</v>
      </c>
      <c r="AQ400" s="5">
        <f t="shared" si="55"/>
        <v>708.08080808080808</v>
      </c>
    </row>
    <row r="401" spans="1:43" x14ac:dyDescent="0.25">
      <c r="A401" t="s">
        <v>466</v>
      </c>
      <c r="B401">
        <v>31595</v>
      </c>
      <c r="C401" t="s">
        <v>68</v>
      </c>
      <c r="D401" t="s">
        <v>133</v>
      </c>
      <c r="E401" t="s">
        <v>107</v>
      </c>
      <c r="F401" s="5">
        <v>408</v>
      </c>
      <c r="G401" s="5">
        <v>0</v>
      </c>
      <c r="H401" s="6">
        <f>Table1[[#This Row],[2024 U.S. Sales ($000)]]/SUMIF($E:$E, E401, $G:$G)</f>
        <v>0</v>
      </c>
      <c r="I401" s="5">
        <v>0</v>
      </c>
      <c r="J401" s="5" t="e">
        <f>Table1[[#This Row],[2024 U.S. Sales ($000)]]/Table1[[#This Row],[2024 U.S. Units]]</f>
        <v>#DIV/0!</v>
      </c>
      <c r="K401" s="6">
        <f>Table1[[#This Row],[2024 U.S. Units]]/Table1[[#This Row],[2023 U.S. Units]]-1</f>
        <v>-1</v>
      </c>
      <c r="L401" s="8">
        <f>(Table1[[#This Row],[2024 Market share (%)]]-Table1[[#This Row],[2023 Market share (%)]])*10000</f>
        <v>-150.61511211788945</v>
      </c>
      <c r="M401" s="6">
        <f>_xlfn.RRI(5,Table1[[#This Row],[2019 U.S. Sales ($000)]],Table1[[#This Row],[2024 U.S. Sales ($000)]])</f>
        <v>-1</v>
      </c>
      <c r="N401" s="9">
        <f>(Table1[[#This Row],[2024 Market share (%)]]-Table1[[#This Row],[2019 Market share (%)]])*10000</f>
        <v>-141.92410987336871</v>
      </c>
      <c r="O401" s="6" t="e">
        <f>IF(Table1[[#This Row],[2024 AUV]]=0,"",_xlfn.RRI(5,Table1[[#This Row],[2019 AUV]],Table1[[#This Row],[2024 AUV]]))</f>
        <v>#DIV/0!</v>
      </c>
      <c r="P401" s="6">
        <f>_xlfn.RRI(5,Table1[[#This Row],[2019 U.S. Units]],Table1[[#This Row],[2024 U.S. Units]])</f>
        <v>-1</v>
      </c>
      <c r="Q401" s="5">
        <v>77500</v>
      </c>
      <c r="R401" s="6">
        <f>Table1[[#This Row],[2023 U.S. Sales ($000)]]/SUMIF($E:$E, E401, $Q:$Q)</f>
        <v>1.5061511211788945E-2</v>
      </c>
      <c r="S401" s="8">
        <f>(Table1[[#This Row],[2023 Market share (%)]]-Table1[[#This Row],[2022 Market share (%)]])*10000</f>
        <v>13.89400594073796</v>
      </c>
      <c r="T401" s="10">
        <v>8.5434173669467789E-2</v>
      </c>
      <c r="U401" s="5">
        <v>12</v>
      </c>
      <c r="V401" s="5">
        <f t="shared" si="48"/>
        <v>6458.333333333333</v>
      </c>
      <c r="W401" s="10">
        <v>0</v>
      </c>
      <c r="X401" s="10">
        <f t="shared" si="49"/>
        <v>1.5067003690087954E-2</v>
      </c>
      <c r="Y401" s="8">
        <f>(Table1[[#This Row],[2023 Market share (%)]]-Table1[[#This Row],[2019 Market share (%)]])*10000</f>
        <v>8.6910022445207602</v>
      </c>
      <c r="Z401" s="10">
        <f t="shared" si="50"/>
        <v>1.5067003690087954E-2</v>
      </c>
      <c r="AA401" s="10">
        <f t="shared" si="51"/>
        <v>0</v>
      </c>
      <c r="AB401" s="5">
        <v>71400</v>
      </c>
      <c r="AC401" s="6">
        <f>Table1[[#This Row],[2022 U.S. Sales ($000)]]/SUMIF($E:$E, E401, $AB:$AB)</f>
        <v>1.3672110617715149E-2</v>
      </c>
      <c r="AD401" s="5">
        <v>12</v>
      </c>
      <c r="AE401" s="5">
        <f t="shared" si="52"/>
        <v>5950</v>
      </c>
      <c r="AF401" s="5">
        <v>62400</v>
      </c>
      <c r="AG401" s="6">
        <f>Table1[[#This Row],[2021 U.S. Sales ($000)]]/SUMIF($E:$E, E401, $AF:$AF)</f>
        <v>1.2960669767534603E-2</v>
      </c>
      <c r="AH401" s="5">
        <v>12</v>
      </c>
      <c r="AI401" s="12">
        <f t="shared" si="53"/>
        <v>5200</v>
      </c>
      <c r="AJ401" s="5">
        <v>40000</v>
      </c>
      <c r="AK401" s="6">
        <f>Table1[[#This Row],[2020 U.S. Sales ($000)]]/SUMIF($E:$E, E401, $AJ:$AJ)</f>
        <v>1.174175765305748E-2</v>
      </c>
      <c r="AL401" s="5">
        <v>12</v>
      </c>
      <c r="AM401" s="5">
        <f t="shared" si="54"/>
        <v>3333.3333333333335</v>
      </c>
      <c r="AN401" s="5">
        <v>73000</v>
      </c>
      <c r="AO401" s="6">
        <f>Table1[[#This Row],[2019 U.S. Sales ($000)]]/SUMIF($E:$E, E401, $AN:$AN)</f>
        <v>1.4192410987336869E-2</v>
      </c>
      <c r="AP401" s="5">
        <v>12</v>
      </c>
      <c r="AQ401" s="5">
        <f t="shared" si="55"/>
        <v>6083.333333333333</v>
      </c>
    </row>
    <row r="402" spans="1:43" x14ac:dyDescent="0.25">
      <c r="A402" t="s">
        <v>467</v>
      </c>
      <c r="B402">
        <v>31317</v>
      </c>
      <c r="C402" t="s">
        <v>44</v>
      </c>
      <c r="D402" t="s">
        <v>56</v>
      </c>
      <c r="E402" t="s">
        <v>128</v>
      </c>
      <c r="F402" s="5">
        <v>444</v>
      </c>
      <c r="G402" s="5">
        <v>0</v>
      </c>
      <c r="H402" s="6">
        <f>Table1[[#This Row],[2024 U.S. Sales ($000)]]/SUMIF($E:$E, E402, $G:$G)</f>
        <v>0</v>
      </c>
      <c r="I402" s="5">
        <v>0</v>
      </c>
      <c r="J402" s="5" t="e">
        <f>Table1[[#This Row],[2024 U.S. Sales ($000)]]/Table1[[#This Row],[2024 U.S. Units]]</f>
        <v>#DIV/0!</v>
      </c>
      <c r="K402" s="6">
        <f>Table1[[#This Row],[2024 U.S. Units]]/Table1[[#This Row],[2023 U.S. Units]]-1</f>
        <v>-1</v>
      </c>
      <c r="L402" s="8">
        <f>(Table1[[#This Row],[2024 Market share (%)]]-Table1[[#This Row],[2023 Market share (%)]])*10000</f>
        <v>-133.14574918727217</v>
      </c>
      <c r="M402" s="6">
        <f>_xlfn.RRI(5,Table1[[#This Row],[2019 U.S. Sales ($000)]],Table1[[#This Row],[2024 U.S. Sales ($000)]])</f>
        <v>-1</v>
      </c>
      <c r="N402" s="9">
        <f>(Table1[[#This Row],[2024 Market share (%)]]-Table1[[#This Row],[2019 Market share (%)]])*10000</f>
        <v>-184.10534748973618</v>
      </c>
      <c r="O402" s="6" t="e">
        <f>IF(Table1[[#This Row],[2024 AUV]]=0,"",_xlfn.RRI(5,Table1[[#This Row],[2019 AUV]],Table1[[#This Row],[2024 AUV]]))</f>
        <v>#DIV/0!</v>
      </c>
      <c r="P402" s="6">
        <f>_xlfn.RRI(5,Table1[[#This Row],[2019 U.S. Units]],Table1[[#This Row],[2024 U.S. Units]])</f>
        <v>-1</v>
      </c>
      <c r="Q402" s="5">
        <v>69200</v>
      </c>
      <c r="R402" s="6">
        <f>Table1[[#This Row],[2023 U.S. Sales ($000)]]/SUMIF($E:$E, E402, $Q:$Q)</f>
        <v>1.3314574918727218E-2</v>
      </c>
      <c r="S402" s="8">
        <f>(Table1[[#This Row],[2023 Market share (%)]]-Table1[[#This Row],[2022 Market share (%)]])*10000</f>
        <v>-20.575663370299978</v>
      </c>
      <c r="T402" s="10">
        <v>1.6152716593245228E-2</v>
      </c>
      <c r="U402" s="5">
        <v>50</v>
      </c>
      <c r="V402" s="5">
        <f t="shared" si="48"/>
        <v>1384</v>
      </c>
      <c r="W402" s="10">
        <v>-1.9607843137254902E-2</v>
      </c>
      <c r="X402" s="10">
        <f t="shared" si="49"/>
        <v>1.3060031162612118E-2</v>
      </c>
      <c r="Y402" s="8">
        <f>(Table1[[#This Row],[2023 Market share (%)]]-Table1[[#This Row],[2019 Market share (%)]])*10000</f>
        <v>-50.959598302464002</v>
      </c>
      <c r="Z402" s="10">
        <f t="shared" si="50"/>
        <v>1.3060031162612118E-2</v>
      </c>
      <c r="AA402" s="10">
        <f t="shared" si="51"/>
        <v>0</v>
      </c>
      <c r="AB402" s="5">
        <v>68100</v>
      </c>
      <c r="AC402" s="6">
        <f>Table1[[#This Row],[2022 U.S. Sales ($000)]]/SUMIF($E:$E, E402, $AB:$AB)</f>
        <v>1.5372141255757216E-2</v>
      </c>
      <c r="AD402" s="5">
        <v>51</v>
      </c>
      <c r="AE402" s="5">
        <f t="shared" si="52"/>
        <v>1335.2941176470588</v>
      </c>
      <c r="AF402" s="5">
        <v>62600</v>
      </c>
      <c r="AG402" s="6">
        <f>Table1[[#This Row],[2021 U.S. Sales ($000)]]/SUMIF($E:$E, E402, $AF:$AF)</f>
        <v>1.6592240132653105E-2</v>
      </c>
      <c r="AH402" s="5">
        <v>51</v>
      </c>
      <c r="AI402" s="12">
        <f t="shared" si="53"/>
        <v>1227.4509803921569</v>
      </c>
      <c r="AJ402" s="5">
        <v>53200</v>
      </c>
      <c r="AK402" s="6">
        <f>Table1[[#This Row],[2020 U.S. Sales ($000)]]/SUMIF($E:$E, E402, $AJ:$AJ)</f>
        <v>1.7360827837369509E-2</v>
      </c>
      <c r="AL402" s="5">
        <v>50</v>
      </c>
      <c r="AM402" s="5">
        <f t="shared" si="54"/>
        <v>1064</v>
      </c>
      <c r="AN402" s="5">
        <v>65700</v>
      </c>
      <c r="AO402" s="6">
        <f>Table1[[#This Row],[2019 U.S. Sales ($000)]]/SUMIF($E:$E, E402, $AN:$AN)</f>
        <v>1.8410534748973618E-2</v>
      </c>
      <c r="AP402" s="5">
        <v>50</v>
      </c>
      <c r="AQ402" s="5">
        <f t="shared" si="55"/>
        <v>1314</v>
      </c>
    </row>
    <row r="403" spans="1:43" x14ac:dyDescent="0.25">
      <c r="A403" t="s">
        <v>468</v>
      </c>
      <c r="B403">
        <v>5262</v>
      </c>
      <c r="C403" t="s">
        <v>44</v>
      </c>
      <c r="D403" t="s">
        <v>56</v>
      </c>
      <c r="E403" t="s">
        <v>52</v>
      </c>
      <c r="F403" s="5">
        <v>292</v>
      </c>
      <c r="G403" s="5">
        <v>0</v>
      </c>
      <c r="H403" s="6">
        <f>Table1[[#This Row],[2024 U.S. Sales ($000)]]/SUMIF($E:$E, E403, $G:$G)</f>
        <v>0</v>
      </c>
      <c r="I403" s="5">
        <v>0</v>
      </c>
      <c r="J403" s="5" t="e">
        <f>Table1[[#This Row],[2024 U.S. Sales ($000)]]/Table1[[#This Row],[2024 U.S. Units]]</f>
        <v>#DIV/0!</v>
      </c>
      <c r="K403" s="6">
        <f>Table1[[#This Row],[2024 U.S. Units]]/Table1[[#This Row],[2023 U.S. Units]]-1</f>
        <v>-1</v>
      </c>
      <c r="L403" s="8">
        <f>(Table1[[#This Row],[2024 Market share (%)]]-Table1[[#This Row],[2023 Market share (%)]])*10000</f>
        <v>-36.175334502468566</v>
      </c>
      <c r="M403" s="6">
        <f>_xlfn.RRI(5,Table1[[#This Row],[2019 U.S. Sales ($000)]],Table1[[#This Row],[2024 U.S. Sales ($000)]])</f>
        <v>-1</v>
      </c>
      <c r="N403" s="9">
        <f>(Table1[[#This Row],[2024 Market share (%)]]-Table1[[#This Row],[2019 Market share (%)]])*10000</f>
        <v>-47.684260893956143</v>
      </c>
      <c r="O403" s="6" t="e">
        <f>IF(Table1[[#This Row],[2024 AUV]]=0,"",_xlfn.RRI(5,Table1[[#This Row],[2019 AUV]],Table1[[#This Row],[2024 AUV]]))</f>
        <v>#DIV/0!</v>
      </c>
      <c r="P403" s="6">
        <f>_xlfn.RRI(5,Table1[[#This Row],[2019 U.S. Units]],Table1[[#This Row],[2024 U.S. Units]])</f>
        <v>-1</v>
      </c>
      <c r="Q403" s="5">
        <v>119700</v>
      </c>
      <c r="R403" s="6">
        <f>Table1[[#This Row],[2023 U.S. Sales ($000)]]/SUMIF($E:$E, E403, $Q:$Q)</f>
        <v>3.6175334502468568E-3</v>
      </c>
      <c r="S403" s="8">
        <f>(Table1[[#This Row],[2023 Market share (%)]]-Table1[[#This Row],[2022 Market share (%)]])*10000</f>
        <v>-0.27417070045068337</v>
      </c>
      <c r="T403" s="10">
        <v>8.4239130434782608E-2</v>
      </c>
      <c r="U403" s="5">
        <v>64</v>
      </c>
      <c r="V403" s="5">
        <f t="shared" si="48"/>
        <v>1870.3125</v>
      </c>
      <c r="W403" s="10">
        <v>3.2258064516129031E-2</v>
      </c>
      <c r="X403" s="10">
        <f t="shared" si="49"/>
        <v>8.7512341855908726E-3</v>
      </c>
      <c r="Y403" s="8">
        <f>(Table1[[#This Row],[2023 Market share (%)]]-Table1[[#This Row],[2019 Market share (%)]])*10000</f>
        <v>-11.508926391487575</v>
      </c>
      <c r="Z403" s="10">
        <f t="shared" si="50"/>
        <v>2.4156471901837007E-2</v>
      </c>
      <c r="AA403" s="10">
        <f t="shared" si="51"/>
        <v>-1.504187898909537E-2</v>
      </c>
      <c r="AB403" s="5">
        <v>110400</v>
      </c>
      <c r="AC403" s="6">
        <f>Table1[[#This Row],[2022 U.S. Sales ($000)]]/SUMIF($E:$E, E403, $AB:$AB)</f>
        <v>3.6449505202919251E-3</v>
      </c>
      <c r="AD403" s="5">
        <v>62</v>
      </c>
      <c r="AE403" s="5">
        <f t="shared" si="52"/>
        <v>1780.6451612903227</v>
      </c>
      <c r="AF403" s="5">
        <v>105100</v>
      </c>
      <c r="AG403" s="6">
        <f>Table1[[#This Row],[2021 U.S. Sales ($000)]]/SUMIF($E:$E, E403, $AF:$AF)</f>
        <v>3.8344710998357637E-3</v>
      </c>
      <c r="AH403" s="5">
        <v>62</v>
      </c>
      <c r="AI403" s="12">
        <f t="shared" si="53"/>
        <v>1695.1612903225807</v>
      </c>
      <c r="AJ403" s="5">
        <v>95400</v>
      </c>
      <c r="AK403" s="6">
        <f>Table1[[#This Row],[2020 U.S. Sales ($000)]]/SUMIF($E:$E, E403, $AJ:$AJ)</f>
        <v>4.0472369398866954E-3</v>
      </c>
      <c r="AL403" s="5">
        <v>65</v>
      </c>
      <c r="AM403" s="5">
        <f t="shared" si="54"/>
        <v>1467.6923076923076</v>
      </c>
      <c r="AN403" s="5">
        <v>115600</v>
      </c>
      <c r="AO403" s="6">
        <f>Table1[[#This Row],[2019 U.S. Sales ($000)]]/SUMIF($E:$E, E403, $AN:$AN)</f>
        <v>4.7684260893956143E-3</v>
      </c>
      <c r="AP403" s="5">
        <v>68</v>
      </c>
      <c r="AQ403" s="5">
        <f t="shared" si="55"/>
        <v>1700</v>
      </c>
    </row>
    <row r="404" spans="1:43" x14ac:dyDescent="0.25">
      <c r="A404" t="s">
        <v>469</v>
      </c>
      <c r="B404">
        <v>8442</v>
      </c>
      <c r="C404" t="s">
        <v>68</v>
      </c>
      <c r="D404" t="s">
        <v>133</v>
      </c>
      <c r="E404" t="s">
        <v>70</v>
      </c>
      <c r="F404" s="5">
        <v>395</v>
      </c>
      <c r="G404" s="5">
        <v>0</v>
      </c>
      <c r="H404" s="6">
        <f>Table1[[#This Row],[2024 U.S. Sales ($000)]]/SUMIF($E:$E, E404, $G:$G)</f>
        <v>0</v>
      </c>
      <c r="I404" s="5">
        <v>0</v>
      </c>
      <c r="J404" s="5" t="e">
        <f>Table1[[#This Row],[2024 U.S. Sales ($000)]]/Table1[[#This Row],[2024 U.S. Units]]</f>
        <v>#DIV/0!</v>
      </c>
      <c r="K404" s="6">
        <f>Table1[[#This Row],[2024 U.S. Units]]/Table1[[#This Row],[2023 U.S. Units]]-1</f>
        <v>-1</v>
      </c>
      <c r="L404" s="8">
        <f>(Table1[[#This Row],[2024 Market share (%)]]-Table1[[#This Row],[2023 Market share (%)]])*10000</f>
        <v>-49.733272442436707</v>
      </c>
      <c r="M404" s="6">
        <f>_xlfn.RRI(5,Table1[[#This Row],[2019 U.S. Sales ($000)]],Table1[[#This Row],[2024 U.S. Sales ($000)]])</f>
        <v>-1</v>
      </c>
      <c r="N404" s="9">
        <f>(Table1[[#This Row],[2024 Market share (%)]]-Table1[[#This Row],[2019 Market share (%)]])*10000</f>
        <v>-61.249357699199784</v>
      </c>
      <c r="O404" s="6" t="e">
        <f>IF(Table1[[#This Row],[2024 AUV]]=0,"",_xlfn.RRI(5,Table1[[#This Row],[2019 AUV]],Table1[[#This Row],[2024 AUV]]))</f>
        <v>#DIV/0!</v>
      </c>
      <c r="P404" s="6">
        <f>_xlfn.RRI(5,Table1[[#This Row],[2019 U.S. Units]],Table1[[#This Row],[2024 U.S. Units]])</f>
        <v>-1</v>
      </c>
      <c r="Q404" s="5">
        <v>79400</v>
      </c>
      <c r="R404" s="6">
        <f>Table1[[#This Row],[2023 U.S. Sales ($000)]]/SUMIF($E:$E, E404, $Q:$Q)</f>
        <v>4.9733272442436709E-3</v>
      </c>
      <c r="S404" s="8">
        <f>(Table1[[#This Row],[2023 Market share (%)]]-Table1[[#This Row],[2022 Market share (%)]])*10000</f>
        <v>-0.84247779755889163</v>
      </c>
      <c r="T404" s="10">
        <v>7.2972972972972977E-2</v>
      </c>
      <c r="U404" s="5">
        <v>15</v>
      </c>
      <c r="V404" s="5">
        <f t="shared" si="48"/>
        <v>5293.333333333333</v>
      </c>
      <c r="W404" s="10">
        <v>0</v>
      </c>
      <c r="X404" s="10">
        <f t="shared" si="49"/>
        <v>8.3581680927511393E-3</v>
      </c>
      <c r="Y404" s="8">
        <f>(Table1[[#This Row],[2023 Market share (%)]]-Table1[[#This Row],[2019 Market share (%)]])*10000</f>
        <v>-11.516085256763073</v>
      </c>
      <c r="Z404" s="10">
        <f t="shared" si="50"/>
        <v>8.3581680927511393E-3</v>
      </c>
      <c r="AA404" s="10">
        <f t="shared" si="51"/>
        <v>0</v>
      </c>
      <c r="AB404" s="5">
        <v>74000</v>
      </c>
      <c r="AC404" s="6">
        <f>Table1[[#This Row],[2022 U.S. Sales ($000)]]/SUMIF($E:$E, E404, $AB:$AB)</f>
        <v>5.0575750239995601E-3</v>
      </c>
      <c r="AD404" s="5">
        <v>15</v>
      </c>
      <c r="AE404" s="5">
        <f t="shared" si="52"/>
        <v>4933.333333333333</v>
      </c>
      <c r="AF404" s="5">
        <v>66600</v>
      </c>
      <c r="AG404" s="6">
        <f>Table1[[#This Row],[2021 U.S. Sales ($000)]]/SUMIF($E:$E, E404, $AF:$AF)</f>
        <v>5.1240800602887259E-3</v>
      </c>
      <c r="AH404" s="5">
        <v>15</v>
      </c>
      <c r="AI404" s="12">
        <f t="shared" si="53"/>
        <v>4440</v>
      </c>
      <c r="AJ404" s="5">
        <v>49500</v>
      </c>
      <c r="AK404" s="6">
        <f>Table1[[#This Row],[2020 U.S. Sales ($000)]]/SUMIF($E:$E, E404, $AJ:$AJ)</f>
        <v>5.2707224041479202E-3</v>
      </c>
      <c r="AL404" s="5">
        <v>15</v>
      </c>
      <c r="AM404" s="5">
        <f t="shared" si="54"/>
        <v>3300</v>
      </c>
      <c r="AN404" s="5">
        <v>76800</v>
      </c>
      <c r="AO404" s="6">
        <f>Table1[[#This Row],[2019 U.S. Sales ($000)]]/SUMIF($E:$E, E404, $AN:$AN)</f>
        <v>6.1249357699199782E-3</v>
      </c>
      <c r="AP404" s="5">
        <v>15</v>
      </c>
      <c r="AQ404" s="5">
        <f t="shared" si="55"/>
        <v>5120</v>
      </c>
    </row>
    <row r="405" spans="1:43" x14ac:dyDescent="0.25">
      <c r="A405" t="s">
        <v>470</v>
      </c>
      <c r="B405">
        <v>5164</v>
      </c>
      <c r="C405" t="s">
        <v>68</v>
      </c>
      <c r="D405" t="s">
        <v>69</v>
      </c>
      <c r="E405" t="s">
        <v>52</v>
      </c>
      <c r="F405" s="5">
        <v>173</v>
      </c>
      <c r="G405" s="5">
        <v>0</v>
      </c>
      <c r="H405" s="6">
        <f>Table1[[#This Row],[2024 U.S. Sales ($000)]]/SUMIF($E:$E, E405, $G:$G)</f>
        <v>0</v>
      </c>
      <c r="I405" s="5">
        <v>0</v>
      </c>
      <c r="J405" s="5" t="e">
        <f>Table1[[#This Row],[2024 U.S. Sales ($000)]]/Table1[[#This Row],[2024 U.S. Units]]</f>
        <v>#DIV/0!</v>
      </c>
      <c r="K405" s="6">
        <f>Table1[[#This Row],[2024 U.S. Units]]/Table1[[#This Row],[2023 U.S. Units]]-1</f>
        <v>-1</v>
      </c>
      <c r="L405" s="8">
        <f>(Table1[[#This Row],[2024 Market share (%)]]-Table1[[#This Row],[2023 Market share (%)]])*10000</f>
        <v>-74.798623971269592</v>
      </c>
      <c r="M405" s="6">
        <f>_xlfn.RRI(5,Table1[[#This Row],[2019 U.S. Sales ($000)]],Table1[[#This Row],[2024 U.S. Sales ($000)]])</f>
        <v>-1</v>
      </c>
      <c r="N405" s="9">
        <f>(Table1[[#This Row],[2024 Market share (%)]]-Table1[[#This Row],[2019 Market share (%)]])*10000</f>
        <v>-98.833468081244746</v>
      </c>
      <c r="O405" s="6" t="e">
        <f>IF(Table1[[#This Row],[2024 AUV]]=0,"",_xlfn.RRI(5,Table1[[#This Row],[2019 AUV]],Table1[[#This Row],[2024 AUV]]))</f>
        <v>#DIV/0!</v>
      </c>
      <c r="P405" s="6">
        <f>_xlfn.RRI(5,Table1[[#This Row],[2019 U.S. Units]],Table1[[#This Row],[2024 U.S. Units]])</f>
        <v>-1</v>
      </c>
      <c r="Q405" s="5">
        <v>247500</v>
      </c>
      <c r="R405" s="6">
        <f>Table1[[#This Row],[2023 U.S. Sales ($000)]]/SUMIF($E:$E, E405, $Q:$Q)</f>
        <v>7.4798623971269592E-3</v>
      </c>
      <c r="S405" s="8">
        <f>(Table1[[#This Row],[2023 Market share (%)]]-Table1[[#This Row],[2022 Market share (%)]])*10000</f>
        <v>-5.4629223587092985</v>
      </c>
      <c r="T405" s="10">
        <v>1.8099547511312219E-2</v>
      </c>
      <c r="U405" s="5">
        <v>37</v>
      </c>
      <c r="V405" s="5">
        <f t="shared" si="48"/>
        <v>6689.1891891891892</v>
      </c>
      <c r="W405" s="10">
        <v>0</v>
      </c>
      <c r="X405" s="10">
        <f t="shared" si="49"/>
        <v>8.1429034957372082E-3</v>
      </c>
      <c r="Y405" s="8">
        <f>(Table1[[#This Row],[2023 Market share (%)]]-Table1[[#This Row],[2019 Market share (%)]])*10000</f>
        <v>-24.034844109975154</v>
      </c>
      <c r="Z405" s="10">
        <f t="shared" si="50"/>
        <v>1.2609797620970475E-3</v>
      </c>
      <c r="AA405" s="10">
        <f t="shared" si="51"/>
        <v>6.87325669604677E-3</v>
      </c>
      <c r="AB405" s="5">
        <v>243100</v>
      </c>
      <c r="AC405" s="6">
        <f>Table1[[#This Row],[2022 U.S. Sales ($000)]]/SUMIF($E:$E, E405, $AB:$AB)</f>
        <v>8.0261546329978891E-3</v>
      </c>
      <c r="AD405" s="5">
        <v>37</v>
      </c>
      <c r="AE405" s="5">
        <f t="shared" si="52"/>
        <v>6570.27027027027</v>
      </c>
      <c r="AF405" s="5">
        <v>229400</v>
      </c>
      <c r="AG405" s="6">
        <f>Table1[[#This Row],[2021 U.S. Sales ($000)]]/SUMIF($E:$E, E405, $AF:$AF)</f>
        <v>8.3694354928860529E-3</v>
      </c>
      <c r="AH405" s="5">
        <v>37</v>
      </c>
      <c r="AI405" s="12">
        <f t="shared" si="53"/>
        <v>6200</v>
      </c>
      <c r="AJ405" s="5">
        <v>181000</v>
      </c>
      <c r="AK405" s="6">
        <f>Table1[[#This Row],[2020 U.S. Sales ($000)]]/SUMIF($E:$E, E405, $AJ:$AJ)</f>
        <v>7.6787199802881741E-3</v>
      </c>
      <c r="AL405" s="5">
        <v>37</v>
      </c>
      <c r="AM405" s="5">
        <f t="shared" si="54"/>
        <v>4891.8918918918916</v>
      </c>
      <c r="AN405" s="5">
        <v>239600</v>
      </c>
      <c r="AO405" s="6">
        <f>Table1[[#This Row],[2019 U.S. Sales ($000)]]/SUMIF($E:$E, E405, $AN:$AN)</f>
        <v>9.8833468081244748E-3</v>
      </c>
      <c r="AP405" s="5">
        <v>36</v>
      </c>
      <c r="AQ405" s="5">
        <f t="shared" si="55"/>
        <v>6655.5555555555557</v>
      </c>
    </row>
    <row r="406" spans="1:43" x14ac:dyDescent="0.25">
      <c r="A406" t="s">
        <v>471</v>
      </c>
      <c r="B406">
        <v>5928</v>
      </c>
      <c r="C406" t="s">
        <v>68</v>
      </c>
      <c r="D406" t="s">
        <v>69</v>
      </c>
      <c r="E406" t="s">
        <v>79</v>
      </c>
      <c r="F406" s="5">
        <v>334</v>
      </c>
      <c r="G406" s="5">
        <v>0</v>
      </c>
      <c r="H406" s="6">
        <f>Table1[[#This Row],[2024 U.S. Sales ($000)]]/SUMIF($E:$E, E406, $G:$G)</f>
        <v>0</v>
      </c>
      <c r="I406" s="5">
        <v>0</v>
      </c>
      <c r="J406" s="5" t="e">
        <f>Table1[[#This Row],[2024 U.S. Sales ($000)]]/Table1[[#This Row],[2024 U.S. Units]]</f>
        <v>#DIV/0!</v>
      </c>
      <c r="K406" s="6">
        <f>Table1[[#This Row],[2024 U.S. Units]]/Table1[[#This Row],[2023 U.S. Units]]-1</f>
        <v>-1</v>
      </c>
      <c r="L406" s="8">
        <f>(Table1[[#This Row],[2024 Market share (%)]]-Table1[[#This Row],[2023 Market share (%)]])*10000</f>
        <v>-41.662027188846217</v>
      </c>
      <c r="M406" s="6">
        <f>_xlfn.RRI(5,Table1[[#This Row],[2019 U.S. Sales ($000)]],Table1[[#This Row],[2024 U.S. Sales ($000)]])</f>
        <v>-1</v>
      </c>
      <c r="N406" s="9">
        <f>(Table1[[#This Row],[2024 Market share (%)]]-Table1[[#This Row],[2019 Market share (%)]])*10000</f>
        <v>-42.650335645880652</v>
      </c>
      <c r="O406" s="6" t="e">
        <f>IF(Table1[[#This Row],[2024 AUV]]=0,"",_xlfn.RRI(5,Table1[[#This Row],[2019 AUV]],Table1[[#This Row],[2024 AUV]]))</f>
        <v>#DIV/0!</v>
      </c>
      <c r="P406" s="6">
        <f>_xlfn.RRI(5,Table1[[#This Row],[2019 U.S. Units]],Table1[[#This Row],[2024 U.S. Units]])</f>
        <v>-1</v>
      </c>
      <c r="Q406" s="5">
        <v>100500</v>
      </c>
      <c r="R406" s="6">
        <f>Table1[[#This Row],[2023 U.S. Sales ($000)]]/SUMIF($E:$E, E406, $Q:$Q)</f>
        <v>4.1662027188846219E-3</v>
      </c>
      <c r="S406" s="8">
        <f>(Table1[[#This Row],[2023 Market share (%)]]-Table1[[#This Row],[2022 Market share (%)]])*10000</f>
        <v>0.79763950767739766</v>
      </c>
      <c r="T406" s="10">
        <v>4.5785639958376693E-2</v>
      </c>
      <c r="U406" s="5">
        <v>17</v>
      </c>
      <c r="V406" s="5">
        <f t="shared" si="48"/>
        <v>5911.7647058823532</v>
      </c>
      <c r="W406" s="10">
        <v>0</v>
      </c>
      <c r="X406" s="10">
        <f t="shared" si="49"/>
        <v>7.8636364645403578E-3</v>
      </c>
      <c r="Y406" s="8">
        <f>(Table1[[#This Row],[2023 Market share (%)]]-Table1[[#This Row],[2019 Market share (%)]])*10000</f>
        <v>-0.98830845703443315</v>
      </c>
      <c r="Z406" s="10">
        <f t="shared" si="50"/>
        <v>7.8636364645403578E-3</v>
      </c>
      <c r="AA406" s="10">
        <f t="shared" si="51"/>
        <v>0</v>
      </c>
      <c r="AB406" s="5">
        <v>96100</v>
      </c>
      <c r="AC406" s="6">
        <f>Table1[[#This Row],[2022 U.S. Sales ($000)]]/SUMIF($E:$E, E406, $AB:$AB)</f>
        <v>4.0864387681168821E-3</v>
      </c>
      <c r="AD406" s="5">
        <v>17</v>
      </c>
      <c r="AE406" s="5">
        <f t="shared" si="52"/>
        <v>5652.9411764705883</v>
      </c>
      <c r="AF406" s="5">
        <v>86700</v>
      </c>
      <c r="AG406" s="6">
        <f>Table1[[#This Row],[2021 U.S. Sales ($000)]]/SUMIF($E:$E, E406, $AF:$AF)</f>
        <v>3.9916934103219111E-3</v>
      </c>
      <c r="AH406" s="5">
        <v>17</v>
      </c>
      <c r="AI406" s="12">
        <f t="shared" si="53"/>
        <v>5100</v>
      </c>
      <c r="AJ406" s="5">
        <v>68000</v>
      </c>
      <c r="AK406" s="6">
        <f>Table1[[#This Row],[2020 U.S. Sales ($000)]]/SUMIF($E:$E, E406, $AJ:$AJ)</f>
        <v>4.1701681258473336E-3</v>
      </c>
      <c r="AL406" s="5">
        <v>17</v>
      </c>
      <c r="AM406" s="5">
        <f t="shared" si="54"/>
        <v>4000</v>
      </c>
      <c r="AN406" s="5">
        <v>97400</v>
      </c>
      <c r="AO406" s="6">
        <f>Table1[[#This Row],[2019 U.S. Sales ($000)]]/SUMIF($E:$E, E406, $AN:$AN)</f>
        <v>4.2650335645880652E-3</v>
      </c>
      <c r="AP406" s="5">
        <v>17</v>
      </c>
      <c r="AQ406" s="5">
        <f t="shared" si="55"/>
        <v>5729.411764705882</v>
      </c>
    </row>
    <row r="407" spans="1:43" x14ac:dyDescent="0.25">
      <c r="A407" t="s">
        <v>472</v>
      </c>
      <c r="B407">
        <v>8947</v>
      </c>
      <c r="C407" t="s">
        <v>68</v>
      </c>
      <c r="D407" t="s">
        <v>69</v>
      </c>
      <c r="E407" t="s">
        <v>107</v>
      </c>
      <c r="F407" s="5">
        <v>317</v>
      </c>
      <c r="G407" s="5">
        <v>0</v>
      </c>
      <c r="H407" s="6">
        <f>Table1[[#This Row],[2024 U.S. Sales ($000)]]/SUMIF($E:$E, E407, $G:$G)</f>
        <v>0</v>
      </c>
      <c r="I407" s="5">
        <v>0</v>
      </c>
      <c r="J407" s="5" t="e">
        <f>Table1[[#This Row],[2024 U.S. Sales ($000)]]/Table1[[#This Row],[2024 U.S. Units]]</f>
        <v>#DIV/0!</v>
      </c>
      <c r="K407" s="6">
        <f>Table1[[#This Row],[2024 U.S. Units]]/Table1[[#This Row],[2023 U.S. Units]]-1</f>
        <v>-1</v>
      </c>
      <c r="L407" s="8">
        <f>(Table1[[#This Row],[2024 Market share (%)]]-Table1[[#This Row],[2023 Market share (%)]])*10000</f>
        <v>-206.19694704139448</v>
      </c>
      <c r="M407" s="6">
        <f>_xlfn.RRI(5,Table1[[#This Row],[2019 U.S. Sales ($000)]],Table1[[#This Row],[2024 U.S. Sales ($000)]])</f>
        <v>-1</v>
      </c>
      <c r="N407" s="9">
        <f>(Table1[[#This Row],[2024 Market share (%)]]-Table1[[#This Row],[2019 Market share (%)]])*10000</f>
        <v>-200.24908653365719</v>
      </c>
      <c r="O407" s="6" t="e">
        <f>IF(Table1[[#This Row],[2024 AUV]]=0,"",_xlfn.RRI(5,Table1[[#This Row],[2019 AUV]],Table1[[#This Row],[2024 AUV]]))</f>
        <v>#DIV/0!</v>
      </c>
      <c r="P407" s="6">
        <f>_xlfn.RRI(5,Table1[[#This Row],[2019 U.S. Units]],Table1[[#This Row],[2024 U.S. Units]])</f>
        <v>-1</v>
      </c>
      <c r="Q407" s="5">
        <v>106100</v>
      </c>
      <c r="R407" s="6">
        <f>Table1[[#This Row],[2023 U.S. Sales ($000)]]/SUMIF($E:$E, E407, $Q:$Q)</f>
        <v>2.0619694704139449E-2</v>
      </c>
      <c r="S407" s="8">
        <f>(Table1[[#This Row],[2023 Market share (%)]]-Table1[[#This Row],[2022 Market share (%)]])*10000</f>
        <v>15.668234651666571</v>
      </c>
      <c r="T407" s="10">
        <v>6.6331658291457291E-2</v>
      </c>
      <c r="U407" s="5">
        <v>32</v>
      </c>
      <c r="V407" s="5">
        <f t="shared" si="48"/>
        <v>3315.625</v>
      </c>
      <c r="W407" s="10">
        <v>0</v>
      </c>
      <c r="X407" s="10">
        <f t="shared" si="49"/>
        <v>7.4408106189105538E-3</v>
      </c>
      <c r="Y407" s="8">
        <f>(Table1[[#This Row],[2023 Market share (%)]]-Table1[[#This Row],[2019 Market share (%)]])*10000</f>
        <v>5.947860507737289</v>
      </c>
      <c r="Z407" s="10">
        <f t="shared" si="50"/>
        <v>7.4408106189105538E-3</v>
      </c>
      <c r="AA407" s="10">
        <f t="shared" si="51"/>
        <v>0</v>
      </c>
      <c r="AB407" s="5">
        <v>99500</v>
      </c>
      <c r="AC407" s="6">
        <f>Table1[[#This Row],[2022 U.S. Sales ($000)]]/SUMIF($E:$E, E407, $AB:$AB)</f>
        <v>1.9052871238972792E-2</v>
      </c>
      <c r="AD407" s="5">
        <v>32</v>
      </c>
      <c r="AE407" s="5">
        <f t="shared" si="52"/>
        <v>3109.375</v>
      </c>
      <c r="AF407" s="5">
        <v>89600</v>
      </c>
      <c r="AG407" s="6">
        <f>Table1[[#This Row],[2021 U.S. Sales ($000)]]/SUMIF($E:$E, E407, $AF:$AF)</f>
        <v>1.8610192486716352E-2</v>
      </c>
      <c r="AH407" s="5">
        <v>32</v>
      </c>
      <c r="AI407" s="12">
        <f t="shared" si="53"/>
        <v>2800</v>
      </c>
      <c r="AJ407" s="5">
        <v>69300</v>
      </c>
      <c r="AK407" s="6">
        <f>Table1[[#This Row],[2020 U.S. Sales ($000)]]/SUMIF($E:$E, E407, $AJ:$AJ)</f>
        <v>2.0342595133922083E-2</v>
      </c>
      <c r="AL407" s="5">
        <v>32</v>
      </c>
      <c r="AM407" s="5">
        <f t="shared" si="54"/>
        <v>2165.625</v>
      </c>
      <c r="AN407" s="5">
        <v>103000</v>
      </c>
      <c r="AO407" s="6">
        <f>Table1[[#This Row],[2019 U.S. Sales ($000)]]/SUMIF($E:$E, E407, $AN:$AN)</f>
        <v>2.002490865336572E-2</v>
      </c>
      <c r="AP407" s="5">
        <v>32</v>
      </c>
      <c r="AQ407" s="5">
        <f t="shared" si="55"/>
        <v>3218.75</v>
      </c>
    </row>
    <row r="408" spans="1:43" x14ac:dyDescent="0.25">
      <c r="A408" t="s">
        <v>473</v>
      </c>
      <c r="B408">
        <v>563247</v>
      </c>
      <c r="C408" t="s">
        <v>68</v>
      </c>
      <c r="D408" t="s">
        <v>69</v>
      </c>
      <c r="E408" t="s">
        <v>87</v>
      </c>
      <c r="F408" s="5">
        <v>490</v>
      </c>
      <c r="G408" s="5">
        <v>0</v>
      </c>
      <c r="H408" s="6">
        <f>Table1[[#This Row],[2024 U.S. Sales ($000)]]/SUMIF($E:$E, E408, $G:$G)</f>
        <v>0</v>
      </c>
      <c r="I408" s="5">
        <v>0</v>
      </c>
      <c r="J408" s="5" t="e">
        <f>Table1[[#This Row],[2024 U.S. Sales ($000)]]/Table1[[#This Row],[2024 U.S. Units]]</f>
        <v>#DIV/0!</v>
      </c>
      <c r="K408" s="6">
        <f>Table1[[#This Row],[2024 U.S. Units]]/Table1[[#This Row],[2023 U.S. Units]]-1</f>
        <v>-1</v>
      </c>
      <c r="L408" s="8">
        <f>(Table1[[#This Row],[2024 Market share (%)]]-Table1[[#This Row],[2023 Market share (%)]])*10000</f>
        <v>-58.148448785010217</v>
      </c>
      <c r="M408" s="6">
        <f>_xlfn.RRI(5,Table1[[#This Row],[2019 U.S. Sales ($000)]],Table1[[#This Row],[2024 U.S. Sales ($000)]])</f>
        <v>-1</v>
      </c>
      <c r="N408" s="9">
        <f>(Table1[[#This Row],[2024 Market share (%)]]-Table1[[#This Row],[2019 Market share (%)]])*10000</f>
        <v>-64.377792722668886</v>
      </c>
      <c r="O408" s="6" t="e">
        <f>IF(Table1[[#This Row],[2024 AUV]]=0,"",_xlfn.RRI(5,Table1[[#This Row],[2019 AUV]],Table1[[#This Row],[2024 AUV]]))</f>
        <v>#DIV/0!</v>
      </c>
      <c r="P408" s="6">
        <f>_xlfn.RRI(5,Table1[[#This Row],[2019 U.S. Units]],Table1[[#This Row],[2024 U.S. Units]])</f>
        <v>-1</v>
      </c>
      <c r="Q408" s="5">
        <v>56700</v>
      </c>
      <c r="R408" s="6">
        <f>Table1[[#This Row],[2023 U.S. Sales ($000)]]/SUMIF($E:$E, E408, $Q:$Q)</f>
        <v>5.8148448785010215E-3</v>
      </c>
      <c r="S408" s="8">
        <f>(Table1[[#This Row],[2023 Market share (%)]]-Table1[[#This Row],[2022 Market share (%)]])*10000</f>
        <v>0.90203544369086774</v>
      </c>
      <c r="T408" s="10">
        <v>5.7835820895522388E-2</v>
      </c>
      <c r="U408" s="5">
        <v>26</v>
      </c>
      <c r="V408" s="5">
        <f t="shared" si="48"/>
        <v>2180.7692307692309</v>
      </c>
      <c r="W408" s="10">
        <v>0</v>
      </c>
      <c r="X408" s="10">
        <f t="shared" si="49"/>
        <v>7.1817898835790928E-3</v>
      </c>
      <c r="Y408" s="8">
        <f>(Table1[[#This Row],[2023 Market share (%)]]-Table1[[#This Row],[2019 Market share (%)]])*10000</f>
        <v>-6.2293439376586663</v>
      </c>
      <c r="Z408" s="10">
        <f t="shared" si="50"/>
        <v>1.6729604031021417E-2</v>
      </c>
      <c r="AA408" s="10">
        <f t="shared" si="51"/>
        <v>-9.3907112663861314E-3</v>
      </c>
      <c r="AB408" s="5">
        <v>53600</v>
      </c>
      <c r="AC408" s="6">
        <f>Table1[[#This Row],[2022 U.S. Sales ($000)]]/SUMIF($E:$E, E408, $AB:$AB)</f>
        <v>5.7246413341319347E-3</v>
      </c>
      <c r="AD408" s="5">
        <v>26</v>
      </c>
      <c r="AE408" s="5">
        <f t="shared" si="52"/>
        <v>2061.5384615384614</v>
      </c>
      <c r="AF408" s="5">
        <v>50400</v>
      </c>
      <c r="AG408" s="6">
        <f>Table1[[#This Row],[2021 U.S. Sales ($000)]]/SUMIF($E:$E, E408, $AF:$AF)</f>
        <v>5.9095570435236527E-3</v>
      </c>
      <c r="AH408" s="5">
        <v>26</v>
      </c>
      <c r="AI408" s="12">
        <f t="shared" si="53"/>
        <v>1938.4615384615386</v>
      </c>
      <c r="AJ408" s="5">
        <v>41200</v>
      </c>
      <c r="AK408" s="6">
        <f>Table1[[#This Row],[2020 U.S. Sales ($000)]]/SUMIF($E:$E, E408, $AJ:$AJ)</f>
        <v>6.2183488683887969E-3</v>
      </c>
      <c r="AL408" s="5">
        <v>26</v>
      </c>
      <c r="AM408" s="5">
        <f t="shared" si="54"/>
        <v>1584.6153846153845</v>
      </c>
      <c r="AN408" s="5">
        <v>55100</v>
      </c>
      <c r="AO408" s="6">
        <f>Table1[[#This Row],[2019 U.S. Sales ($000)]]/SUMIF($E:$E, E408, $AN:$AN)</f>
        <v>6.4377792722668881E-3</v>
      </c>
      <c r="AP408" s="5">
        <v>27</v>
      </c>
      <c r="AQ408" s="5">
        <f t="shared" si="55"/>
        <v>2040.7407407407406</v>
      </c>
    </row>
    <row r="409" spans="1:43" x14ac:dyDescent="0.25">
      <c r="A409" t="s">
        <v>474</v>
      </c>
      <c r="B409">
        <v>231</v>
      </c>
      <c r="C409" t="s">
        <v>44</v>
      </c>
      <c r="D409" t="s">
        <v>45</v>
      </c>
      <c r="E409" t="s">
        <v>76</v>
      </c>
      <c r="F409" s="5">
        <v>295</v>
      </c>
      <c r="G409" s="5">
        <v>0</v>
      </c>
      <c r="H409" s="6">
        <f>Table1[[#This Row],[2024 U.S. Sales ($000)]]/SUMIF($E:$E, E409, $G:$G)</f>
        <v>0</v>
      </c>
      <c r="I409" s="5">
        <v>0</v>
      </c>
      <c r="J409" s="5" t="e">
        <f>Table1[[#This Row],[2024 U.S. Sales ($000)]]/Table1[[#This Row],[2024 U.S. Units]]</f>
        <v>#DIV/0!</v>
      </c>
      <c r="K409" s="6">
        <f>Table1[[#This Row],[2024 U.S. Units]]/Table1[[#This Row],[2023 U.S. Units]]-1</f>
        <v>-1</v>
      </c>
      <c r="L409" s="8">
        <f>(Table1[[#This Row],[2024 Market share (%)]]-Table1[[#This Row],[2023 Market share (%)]])*10000</f>
        <v>-145.18531957038948</v>
      </c>
      <c r="M409" s="6">
        <f>_xlfn.RRI(5,Table1[[#This Row],[2019 U.S. Sales ($000)]],Table1[[#This Row],[2024 U.S. Sales ($000)]])</f>
        <v>-1</v>
      </c>
      <c r="N409" s="9">
        <f>(Table1[[#This Row],[2024 Market share (%)]]-Table1[[#This Row],[2019 Market share (%)]])*10000</f>
        <v>-181.12637927737819</v>
      </c>
      <c r="O409" s="6" t="e">
        <f>IF(Table1[[#This Row],[2024 AUV]]=0,"",_xlfn.RRI(5,Table1[[#This Row],[2019 AUV]],Table1[[#This Row],[2024 AUV]]))</f>
        <v>#DIV/0!</v>
      </c>
      <c r="P409" s="6">
        <f>_xlfn.RRI(5,Table1[[#This Row],[2019 U.S. Units]],Table1[[#This Row],[2024 U.S. Units]])</f>
        <v>-1</v>
      </c>
      <c r="Q409" s="5">
        <v>117800</v>
      </c>
      <c r="R409" s="6">
        <f>Table1[[#This Row],[2023 U.S. Sales ($000)]]/SUMIF($E:$E, E409, $Q:$Q)</f>
        <v>1.4518531957038949E-2</v>
      </c>
      <c r="S409" s="8">
        <f>(Table1[[#This Row],[2023 Market share (%)]]-Table1[[#This Row],[2022 Market share (%)]])*10000</f>
        <v>0.55840852629874393</v>
      </c>
      <c r="T409" s="10">
        <v>8.1726354453627179E-2</v>
      </c>
      <c r="U409" s="5">
        <v>209</v>
      </c>
      <c r="V409" s="5">
        <f t="shared" si="48"/>
        <v>563.63636363636363</v>
      </c>
      <c r="W409" s="10">
        <v>4.807692307692308E-3</v>
      </c>
      <c r="X409" s="10">
        <f t="shared" si="49"/>
        <v>6.0321563341481088E-3</v>
      </c>
      <c r="Y409" s="8">
        <f>(Table1[[#This Row],[2023 Market share (%)]]-Table1[[#This Row],[2019 Market share (%)]])*10000</f>
        <v>-35.941059706988689</v>
      </c>
      <c r="Z409" s="10">
        <f t="shared" si="50"/>
        <v>2.2472195180303745E-2</v>
      </c>
      <c r="AA409" s="10">
        <f t="shared" si="51"/>
        <v>-1.6078714828286045E-2</v>
      </c>
      <c r="AB409" s="5">
        <v>108900</v>
      </c>
      <c r="AC409" s="6">
        <f>Table1[[#This Row],[2022 U.S. Sales ($000)]]/SUMIF($E:$E, E409, $AB:$AB)</f>
        <v>1.4462691104409075E-2</v>
      </c>
      <c r="AD409" s="5">
        <v>208</v>
      </c>
      <c r="AE409" s="5">
        <f t="shared" si="52"/>
        <v>523.55769230769226</v>
      </c>
      <c r="AF409" s="5">
        <v>99700</v>
      </c>
      <c r="AG409" s="6">
        <f>Table1[[#This Row],[2021 U.S. Sales ($000)]]/SUMIF($E:$E, E409, $AF:$AF)</f>
        <v>1.3655566348520734E-2</v>
      </c>
      <c r="AH409" s="5">
        <v>211</v>
      </c>
      <c r="AI409" s="12">
        <f t="shared" si="53"/>
        <v>472.51184834123222</v>
      </c>
      <c r="AJ409" s="5">
        <v>58300</v>
      </c>
      <c r="AK409" s="6">
        <f>Table1[[#This Row],[2020 U.S. Sales ($000)]]/SUMIF($E:$E, E409, $AJ:$AJ)</f>
        <v>9.1233251343382244E-3</v>
      </c>
      <c r="AL409" s="5">
        <v>209</v>
      </c>
      <c r="AM409" s="5">
        <f t="shared" si="54"/>
        <v>278.94736842105266</v>
      </c>
      <c r="AN409" s="5">
        <v>115000</v>
      </c>
      <c r="AO409" s="6">
        <f>Table1[[#This Row],[2019 U.S. Sales ($000)]]/SUMIF($E:$E, E409, $AN:$AN)</f>
        <v>1.8112637927737818E-2</v>
      </c>
      <c r="AP409" s="5">
        <v>223</v>
      </c>
      <c r="AQ409" s="5">
        <f t="shared" si="55"/>
        <v>515.69506726457394</v>
      </c>
    </row>
    <row r="410" spans="1:43" x14ac:dyDescent="0.25">
      <c r="A410" t="s">
        <v>475</v>
      </c>
      <c r="B410">
        <v>2515</v>
      </c>
      <c r="C410" t="s">
        <v>44</v>
      </c>
      <c r="D410" t="s">
        <v>45</v>
      </c>
      <c r="E410" t="s">
        <v>63</v>
      </c>
      <c r="F410" s="5">
        <v>351</v>
      </c>
      <c r="G410" s="5">
        <v>0</v>
      </c>
      <c r="H410" s="6">
        <f>Table1[[#This Row],[2024 U.S. Sales ($000)]]/SUMIF($E:$E, E410, $G:$G)</f>
        <v>0</v>
      </c>
      <c r="I410" s="5">
        <v>0</v>
      </c>
      <c r="J410" s="5" t="e">
        <f>Table1[[#This Row],[2024 U.S. Sales ($000)]]/Table1[[#This Row],[2024 U.S. Units]]</f>
        <v>#DIV/0!</v>
      </c>
      <c r="K410" s="6">
        <f>Table1[[#This Row],[2024 U.S. Units]]/Table1[[#This Row],[2023 U.S. Units]]-1</f>
        <v>-1</v>
      </c>
      <c r="L410" s="8">
        <f>(Table1[[#This Row],[2024 Market share (%)]]-Table1[[#This Row],[2023 Market share (%)]])*10000</f>
        <v>-114.91388481826532</v>
      </c>
      <c r="M410" s="6">
        <f>_xlfn.RRI(5,Table1[[#This Row],[2019 U.S. Sales ($000)]],Table1[[#This Row],[2024 U.S. Sales ($000)]])</f>
        <v>-1</v>
      </c>
      <c r="N410" s="9">
        <f>(Table1[[#This Row],[2024 Market share (%)]]-Table1[[#This Row],[2019 Market share (%)]])*10000</f>
        <v>-159.03673097257473</v>
      </c>
      <c r="O410" s="6" t="e">
        <f>IF(Table1[[#This Row],[2024 AUV]]=0,"",_xlfn.RRI(5,Table1[[#This Row],[2019 AUV]],Table1[[#This Row],[2024 AUV]]))</f>
        <v>#DIV/0!</v>
      </c>
      <c r="P410" s="6">
        <f>_xlfn.RRI(5,Table1[[#This Row],[2019 U.S. Units]],Table1[[#This Row],[2024 U.S. Units]])</f>
        <v>-1</v>
      </c>
      <c r="Q410" s="5">
        <v>94900</v>
      </c>
      <c r="R410" s="6">
        <f>Table1[[#This Row],[2023 U.S. Sales ($000)]]/SUMIF($E:$E, E410, $Q:$Q)</f>
        <v>1.1491388481826532E-2</v>
      </c>
      <c r="S410" s="8">
        <f>(Table1[[#This Row],[2023 Market share (%)]]-Table1[[#This Row],[2022 Market share (%)]])*10000</f>
        <v>-11.059482991620621</v>
      </c>
      <c r="T410" s="10">
        <v>-9.3945720250521916E-3</v>
      </c>
      <c r="U410" s="5">
        <v>100</v>
      </c>
      <c r="V410" s="5">
        <f t="shared" si="48"/>
        <v>949</v>
      </c>
      <c r="W410" s="10">
        <v>-1.9607843137254902E-2</v>
      </c>
      <c r="X410" s="10">
        <f t="shared" si="49"/>
        <v>5.609943584900412E-3</v>
      </c>
      <c r="Y410" s="8">
        <f>(Table1[[#This Row],[2023 Market share (%)]]-Table1[[#This Row],[2019 Market share (%)]])*10000</f>
        <v>-44.122846154309414</v>
      </c>
      <c r="Z410" s="10">
        <f t="shared" si="50"/>
        <v>1.3068624716871646E-2</v>
      </c>
      <c r="AA410" s="10">
        <f t="shared" si="51"/>
        <v>-7.3624638548605015E-3</v>
      </c>
      <c r="AB410" s="5">
        <v>95800</v>
      </c>
      <c r="AC410" s="6">
        <f>Table1[[#This Row],[2022 U.S. Sales ($000)]]/SUMIF($E:$E, E410, $AB:$AB)</f>
        <v>1.2597336780988594E-2</v>
      </c>
      <c r="AD410" s="5">
        <v>102</v>
      </c>
      <c r="AE410" s="5">
        <f t="shared" si="52"/>
        <v>939.21568627450984</v>
      </c>
      <c r="AF410" s="5">
        <v>93000</v>
      </c>
      <c r="AG410" s="6">
        <f>Table1[[#This Row],[2021 U.S. Sales ($000)]]/SUMIF($E:$E, E410, $AF:$AF)</f>
        <v>1.403769770889679E-2</v>
      </c>
      <c r="AH410" s="5">
        <v>103</v>
      </c>
      <c r="AI410" s="12">
        <f t="shared" si="53"/>
        <v>902.91262135922329</v>
      </c>
      <c r="AJ410" s="5">
        <v>78400</v>
      </c>
      <c r="AK410" s="6">
        <f>Table1[[#This Row],[2020 U.S. Sales ($000)]]/SUMIF($E:$E, E410, $AJ:$AJ)</f>
        <v>1.429371282654707E-2</v>
      </c>
      <c r="AL410" s="5">
        <v>106</v>
      </c>
      <c r="AM410" s="5">
        <f t="shared" si="54"/>
        <v>739.62264150943395</v>
      </c>
      <c r="AN410" s="5">
        <v>92800</v>
      </c>
      <c r="AO410" s="6">
        <f>Table1[[#This Row],[2019 U.S. Sales ($000)]]/SUMIF($E:$E, E410, $AN:$AN)</f>
        <v>1.5903673097257473E-2</v>
      </c>
      <c r="AP410" s="5">
        <v>103</v>
      </c>
      <c r="AQ410" s="5">
        <f t="shared" si="55"/>
        <v>900.97087378640776</v>
      </c>
    </row>
    <row r="411" spans="1:43" x14ac:dyDescent="0.25">
      <c r="A411" t="s">
        <v>476</v>
      </c>
      <c r="B411">
        <v>595</v>
      </c>
      <c r="C411" t="s">
        <v>68</v>
      </c>
      <c r="D411" t="s">
        <v>69</v>
      </c>
      <c r="E411" t="s">
        <v>73</v>
      </c>
      <c r="F411" s="5">
        <v>243</v>
      </c>
      <c r="G411" s="5">
        <v>0</v>
      </c>
      <c r="H411" s="6">
        <f>Table1[[#This Row],[2024 U.S. Sales ($000)]]/SUMIF($E:$E, E411, $G:$G)</f>
        <v>0</v>
      </c>
      <c r="I411" s="5">
        <v>0</v>
      </c>
      <c r="J411" s="5" t="e">
        <f>Table1[[#This Row],[2024 U.S. Sales ($000)]]/Table1[[#This Row],[2024 U.S. Units]]</f>
        <v>#DIV/0!</v>
      </c>
      <c r="K411" s="6">
        <f>Table1[[#This Row],[2024 U.S. Units]]/Table1[[#This Row],[2023 U.S. Units]]-1</f>
        <v>-1</v>
      </c>
      <c r="L411" s="8">
        <f>(Table1[[#This Row],[2024 Market share (%)]]-Table1[[#This Row],[2023 Market share (%)]])*10000</f>
        <v>-160.35374806854901</v>
      </c>
      <c r="M411" s="6">
        <f>_xlfn.RRI(5,Table1[[#This Row],[2019 U.S. Sales ($000)]],Table1[[#This Row],[2024 U.S. Sales ($000)]])</f>
        <v>-1</v>
      </c>
      <c r="N411" s="9">
        <f>(Table1[[#This Row],[2024 Market share (%)]]-Table1[[#This Row],[2019 Market share (%)]])*10000</f>
        <v>-165.32760080707934</v>
      </c>
      <c r="O411" s="6" t="e">
        <f>IF(Table1[[#This Row],[2024 AUV]]=0,"",_xlfn.RRI(5,Table1[[#This Row],[2019 AUV]],Table1[[#This Row],[2024 AUV]]))</f>
        <v>#DIV/0!</v>
      </c>
      <c r="P411" s="6">
        <f>_xlfn.RRI(5,Table1[[#This Row],[2019 U.S. Units]],Table1[[#This Row],[2024 U.S. Units]])</f>
        <v>-1</v>
      </c>
      <c r="Q411" s="5">
        <v>154100</v>
      </c>
      <c r="R411" s="6">
        <f>Table1[[#This Row],[2023 U.S. Sales ($000)]]/SUMIF($E:$E, E411, $Q:$Q)</f>
        <v>1.60353748068549E-2</v>
      </c>
      <c r="S411" s="8">
        <f>(Table1[[#This Row],[2023 Market share (%)]]-Table1[[#This Row],[2022 Market share (%)]])*10000</f>
        <v>4.210388865215509</v>
      </c>
      <c r="T411" s="10">
        <v>7.4616457461645747E-2</v>
      </c>
      <c r="U411" s="5">
        <v>43</v>
      </c>
      <c r="V411" s="5">
        <f t="shared" si="48"/>
        <v>3583.7209302325582</v>
      </c>
      <c r="W411" s="10">
        <v>2.3809523809523808E-2</v>
      </c>
      <c r="X411" s="10">
        <f t="shared" si="49"/>
        <v>5.4264920475624034E-3</v>
      </c>
      <c r="Y411" s="8">
        <f>(Table1[[#This Row],[2023 Market share (%)]]-Table1[[#This Row],[2019 Market share (%)]])*10000</f>
        <v>-4.9738527385303346</v>
      </c>
      <c r="Z411" s="10">
        <f t="shared" si="50"/>
        <v>-4.7069185431103389E-4</v>
      </c>
      <c r="AA411" s="10">
        <f t="shared" si="51"/>
        <v>5.8999609654406537E-3</v>
      </c>
      <c r="AB411" s="5">
        <v>143400</v>
      </c>
      <c r="AC411" s="6">
        <f>Table1[[#This Row],[2022 U.S. Sales ($000)]]/SUMIF($E:$E, E411, $AB:$AB)</f>
        <v>1.5614335920333349E-2</v>
      </c>
      <c r="AD411" s="5">
        <v>42</v>
      </c>
      <c r="AE411" s="5">
        <f t="shared" si="52"/>
        <v>3414.2857142857142</v>
      </c>
      <c r="AF411" s="5">
        <v>132300</v>
      </c>
      <c r="AG411" s="6">
        <f>Table1[[#This Row],[2021 U.S. Sales ($000)]]/SUMIF($E:$E, E411, $AF:$AF)</f>
        <v>1.5799954188492619E-2</v>
      </c>
      <c r="AH411" s="5">
        <v>42</v>
      </c>
      <c r="AI411" s="12">
        <f t="shared" si="53"/>
        <v>3150</v>
      </c>
      <c r="AJ411" s="5">
        <v>94500</v>
      </c>
      <c r="AK411" s="6">
        <f>Table1[[#This Row],[2020 U.S. Sales ($000)]]/SUMIF($E:$E, E411, $AJ:$AJ)</f>
        <v>1.3697877582720322E-2</v>
      </c>
      <c r="AL411" s="5">
        <v>42</v>
      </c>
      <c r="AM411" s="5">
        <f t="shared" si="54"/>
        <v>2250</v>
      </c>
      <c r="AN411" s="5">
        <v>150800</v>
      </c>
      <c r="AO411" s="6">
        <f>Table1[[#This Row],[2019 U.S. Sales ($000)]]/SUMIF($E:$E, E411, $AN:$AN)</f>
        <v>1.6532760080707934E-2</v>
      </c>
      <c r="AP411" s="5">
        <v>42</v>
      </c>
      <c r="AQ411" s="5">
        <f t="shared" si="55"/>
        <v>3590.4761904761904</v>
      </c>
    </row>
    <row r="412" spans="1:43" x14ac:dyDescent="0.25">
      <c r="A412" t="s">
        <v>477</v>
      </c>
      <c r="B412">
        <v>8949</v>
      </c>
      <c r="C412" t="s">
        <v>68</v>
      </c>
      <c r="D412" t="s">
        <v>133</v>
      </c>
      <c r="E412" t="s">
        <v>79</v>
      </c>
      <c r="F412" s="5">
        <v>427</v>
      </c>
      <c r="G412" s="5">
        <v>0</v>
      </c>
      <c r="H412" s="6">
        <f>Table1[[#This Row],[2024 U.S. Sales ($000)]]/SUMIF($E:$E, E412, $G:$G)</f>
        <v>0</v>
      </c>
      <c r="I412" s="5">
        <v>0</v>
      </c>
      <c r="J412" s="5" t="e">
        <f>Table1[[#This Row],[2024 U.S. Sales ($000)]]/Table1[[#This Row],[2024 U.S. Units]]</f>
        <v>#DIV/0!</v>
      </c>
      <c r="K412" s="6">
        <f>Table1[[#This Row],[2024 U.S. Units]]/Table1[[#This Row],[2023 U.S. Units]]-1</f>
        <v>-1</v>
      </c>
      <c r="L412" s="8">
        <f>(Table1[[#This Row],[2024 Market share (%)]]-Table1[[#This Row],[2023 Market share (%)]])*10000</f>
        <v>-30.469243764977083</v>
      </c>
      <c r="M412" s="6">
        <f>_xlfn.RRI(5,Table1[[#This Row],[2019 U.S. Sales ($000)]],Table1[[#This Row],[2024 U.S. Sales ($000)]])</f>
        <v>-1</v>
      </c>
      <c r="N412" s="9">
        <f>(Table1[[#This Row],[2024 Market share (%)]]-Table1[[#This Row],[2019 Market share (%)]])*10000</f>
        <v>-31.527968855271123</v>
      </c>
      <c r="O412" s="6" t="e">
        <f>IF(Table1[[#This Row],[2024 AUV]]=0,"",_xlfn.RRI(5,Table1[[#This Row],[2019 AUV]],Table1[[#This Row],[2024 AUV]]))</f>
        <v>#DIV/0!</v>
      </c>
      <c r="P412" s="6">
        <f>_xlfn.RRI(5,Table1[[#This Row],[2019 U.S. Units]],Table1[[#This Row],[2024 U.S. Units]])</f>
        <v>-1</v>
      </c>
      <c r="Q412" s="5">
        <v>73500</v>
      </c>
      <c r="R412" s="6">
        <f>Table1[[#This Row],[2023 U.S. Sales ($000)]]/SUMIF($E:$E, E412, $Q:$Q)</f>
        <v>3.0469243764977083E-3</v>
      </c>
      <c r="S412" s="8">
        <f>(Table1[[#This Row],[2023 Market share (%)]]-Table1[[#This Row],[2022 Market share (%)]])*10000</f>
        <v>1.1285283643459876</v>
      </c>
      <c r="T412" s="10">
        <v>6.5217391304347824E-2</v>
      </c>
      <c r="U412" s="5">
        <v>10</v>
      </c>
      <c r="V412" s="5">
        <f t="shared" si="48"/>
        <v>7350</v>
      </c>
      <c r="W412" s="10">
        <v>0</v>
      </c>
      <c r="X412" s="10">
        <f t="shared" si="49"/>
        <v>5.1681307531814547E-3</v>
      </c>
      <c r="Y412" s="8">
        <f>(Table1[[#This Row],[2023 Market share (%)]]-Table1[[#This Row],[2019 Market share (%)]])*10000</f>
        <v>-1.0587250902940404</v>
      </c>
      <c r="Z412" s="10">
        <f t="shared" si="50"/>
        <v>5.1681307531814547E-3</v>
      </c>
      <c r="AA412" s="10">
        <f t="shared" si="51"/>
        <v>0</v>
      </c>
      <c r="AB412" s="5">
        <v>69000</v>
      </c>
      <c r="AC412" s="6">
        <f>Table1[[#This Row],[2022 U.S. Sales ($000)]]/SUMIF($E:$E, E412, $AB:$AB)</f>
        <v>2.9340715400631096E-3</v>
      </c>
      <c r="AD412" s="5">
        <v>10</v>
      </c>
      <c r="AE412" s="5">
        <f t="shared" si="52"/>
        <v>6900</v>
      </c>
      <c r="AF412" s="5">
        <v>60500</v>
      </c>
      <c r="AG412" s="6">
        <f>Table1[[#This Row],[2021 U.S. Sales ($000)]]/SUMIF($E:$E, E412, $AF:$AF)</f>
        <v>2.7854377315395112E-3</v>
      </c>
      <c r="AH412" s="5">
        <v>10</v>
      </c>
      <c r="AI412" s="12">
        <f t="shared" si="53"/>
        <v>6050</v>
      </c>
      <c r="AJ412" s="5">
        <v>39600</v>
      </c>
      <c r="AK412" s="6">
        <f>Table1[[#This Row],[2020 U.S. Sales ($000)]]/SUMIF($E:$E, E412, $AJ:$AJ)</f>
        <v>2.4285096732875647E-3</v>
      </c>
      <c r="AL412" s="5">
        <v>10</v>
      </c>
      <c r="AM412" s="5">
        <f t="shared" si="54"/>
        <v>3960</v>
      </c>
      <c r="AN412" s="5">
        <v>72000</v>
      </c>
      <c r="AO412" s="6">
        <f>Table1[[#This Row],[2019 U.S. Sales ($000)]]/SUMIF($E:$E, E412, $AN:$AN)</f>
        <v>3.1527968855271124E-3</v>
      </c>
      <c r="AP412" s="5">
        <v>10</v>
      </c>
      <c r="AQ412" s="5">
        <f t="shared" si="55"/>
        <v>7200</v>
      </c>
    </row>
    <row r="413" spans="1:43" x14ac:dyDescent="0.25">
      <c r="A413" t="s">
        <v>478</v>
      </c>
      <c r="B413">
        <v>7055</v>
      </c>
      <c r="C413" t="s">
        <v>68</v>
      </c>
      <c r="D413" t="s">
        <v>69</v>
      </c>
      <c r="E413" t="s">
        <v>87</v>
      </c>
      <c r="F413" s="5">
        <v>482</v>
      </c>
      <c r="G413" s="5">
        <v>0</v>
      </c>
      <c r="H413" s="6">
        <f>Table1[[#This Row],[2024 U.S. Sales ($000)]]/SUMIF($E:$E, E413, $G:$G)</f>
        <v>0</v>
      </c>
      <c r="I413" s="5">
        <v>0</v>
      </c>
      <c r="J413" s="5" t="e">
        <f>Table1[[#This Row],[2024 U.S. Sales ($000)]]/Table1[[#This Row],[2024 U.S. Units]]</f>
        <v>#DIV/0!</v>
      </c>
      <c r="K413" s="6">
        <f>Table1[[#This Row],[2024 U.S. Units]]/Table1[[#This Row],[2023 U.S. Units]]-1</f>
        <v>-1</v>
      </c>
      <c r="L413" s="8">
        <f>(Table1[[#This Row],[2024 Market share (%)]]-Table1[[#This Row],[2023 Market share (%)]])*10000</f>
        <v>-61.019977120072447</v>
      </c>
      <c r="M413" s="6">
        <f>_xlfn.RRI(5,Table1[[#This Row],[2019 U.S. Sales ($000)]],Table1[[#This Row],[2024 U.S. Sales ($000)]])</f>
        <v>-1</v>
      </c>
      <c r="N413" s="9">
        <f>(Table1[[#This Row],[2024 Market share (%)]]-Table1[[#This Row],[2019 Market share (%)]])*10000</f>
        <v>-68.700802397330861</v>
      </c>
      <c r="O413" s="6" t="e">
        <f>IF(Table1[[#This Row],[2024 AUV]]=0,"",_xlfn.RRI(5,Table1[[#This Row],[2019 AUV]],Table1[[#This Row],[2024 AUV]]))</f>
        <v>#DIV/0!</v>
      </c>
      <c r="P413" s="6">
        <f>_xlfn.RRI(5,Table1[[#This Row],[2019 U.S. Units]],Table1[[#This Row],[2024 U.S. Units]])</f>
        <v>-1</v>
      </c>
      <c r="Q413" s="5">
        <v>59500</v>
      </c>
      <c r="R413" s="6">
        <f>Table1[[#This Row],[2023 U.S. Sales ($000)]]/SUMIF($E:$E, E413, $Q:$Q)</f>
        <v>6.1019977120072445E-3</v>
      </c>
      <c r="S413" s="8">
        <f>(Table1[[#This Row],[2023 Market share (%)]]-Table1[[#This Row],[2022 Market share (%)]])*10000</f>
        <v>-2.3142077892603434</v>
      </c>
      <c r="T413" s="10">
        <v>3.3726812816188868E-3</v>
      </c>
      <c r="U413" s="5">
        <v>24</v>
      </c>
      <c r="V413" s="5">
        <f t="shared" si="48"/>
        <v>2479.1666666666665</v>
      </c>
      <c r="W413" s="10">
        <v>0</v>
      </c>
      <c r="X413" s="10">
        <f t="shared" si="49"/>
        <v>2.9629954308860729E-3</v>
      </c>
      <c r="Y413" s="8">
        <f>(Table1[[#This Row],[2023 Market share (%)]]-Table1[[#This Row],[2019 Market share (%)]])*10000</f>
        <v>-7.6808252772584114</v>
      </c>
      <c r="Z413" s="10">
        <f t="shared" si="50"/>
        <v>2.9629954308860729E-3</v>
      </c>
      <c r="AA413" s="10">
        <f t="shared" si="51"/>
        <v>0</v>
      </c>
      <c r="AB413" s="5">
        <v>59300</v>
      </c>
      <c r="AC413" s="6">
        <f>Table1[[#This Row],[2022 U.S. Sales ($000)]]/SUMIF($E:$E, E413, $AB:$AB)</f>
        <v>6.3334184909332788E-3</v>
      </c>
      <c r="AD413" s="5">
        <v>24</v>
      </c>
      <c r="AE413" s="5">
        <f t="shared" si="52"/>
        <v>2470.8333333333335</v>
      </c>
      <c r="AF413" s="5">
        <v>56500</v>
      </c>
      <c r="AG413" s="6">
        <f>Table1[[#This Row],[2021 U.S. Sales ($000)]]/SUMIF($E:$E, E413, $AF:$AF)</f>
        <v>6.624801050775524E-3</v>
      </c>
      <c r="AH413" s="5">
        <v>24</v>
      </c>
      <c r="AI413" s="12">
        <f t="shared" si="53"/>
        <v>2354.1666666666665</v>
      </c>
      <c r="AJ413" s="5">
        <v>46600</v>
      </c>
      <c r="AK413" s="6">
        <f>Table1[[#This Row],[2020 U.S. Sales ($000)]]/SUMIF($E:$E, E413, $AJ:$AJ)</f>
        <v>7.0333751763815037E-3</v>
      </c>
      <c r="AL413" s="5">
        <v>24</v>
      </c>
      <c r="AM413" s="5">
        <f t="shared" si="54"/>
        <v>1941.6666666666667</v>
      </c>
      <c r="AN413" s="5">
        <v>58800</v>
      </c>
      <c r="AO413" s="6">
        <f>Table1[[#This Row],[2019 U.S. Sales ($000)]]/SUMIF($E:$E, E413, $AN:$AN)</f>
        <v>6.8700802397330856E-3</v>
      </c>
      <c r="AP413" s="5">
        <v>24</v>
      </c>
      <c r="AQ413" s="5">
        <f t="shared" si="55"/>
        <v>2450</v>
      </c>
    </row>
    <row r="414" spans="1:43" x14ac:dyDescent="0.25">
      <c r="A414" t="s">
        <v>479</v>
      </c>
      <c r="B414">
        <v>6582</v>
      </c>
      <c r="C414" t="s">
        <v>68</v>
      </c>
      <c r="D414" t="s">
        <v>69</v>
      </c>
      <c r="E414" t="s">
        <v>52</v>
      </c>
      <c r="F414" s="5">
        <v>486</v>
      </c>
      <c r="G414" s="5">
        <v>0</v>
      </c>
      <c r="H414" s="6">
        <f>Table1[[#This Row],[2024 U.S. Sales ($000)]]/SUMIF($E:$E, E414, $G:$G)</f>
        <v>0</v>
      </c>
      <c r="I414" s="5">
        <v>0</v>
      </c>
      <c r="J414" s="5" t="e">
        <f>Table1[[#This Row],[2024 U.S. Sales ($000)]]/Table1[[#This Row],[2024 U.S. Units]]</f>
        <v>#DIV/0!</v>
      </c>
      <c r="K414" s="6">
        <f>Table1[[#This Row],[2024 U.S. Units]]/Table1[[#This Row],[2023 U.S. Units]]-1</f>
        <v>-1</v>
      </c>
      <c r="L414" s="8">
        <f>(Table1[[#This Row],[2024 Market share (%)]]-Table1[[#This Row],[2023 Market share (%)]])*10000</f>
        <v>-17.589009758092487</v>
      </c>
      <c r="M414" s="6">
        <f>_xlfn.RRI(5,Table1[[#This Row],[2019 U.S. Sales ($000)]],Table1[[#This Row],[2024 U.S. Sales ($000)]])</f>
        <v>-1</v>
      </c>
      <c r="N414" s="9">
        <f>(Table1[[#This Row],[2024 Market share (%)]]-Table1[[#This Row],[2019 Market share (%)]])*10000</f>
        <v>-23.800881086343161</v>
      </c>
      <c r="O414" s="6" t="e">
        <f>IF(Table1[[#This Row],[2024 AUV]]=0,"",_xlfn.RRI(5,Table1[[#This Row],[2019 AUV]],Table1[[#This Row],[2024 AUV]]))</f>
        <v>#DIV/0!</v>
      </c>
      <c r="P414" s="6">
        <f>_xlfn.RRI(5,Table1[[#This Row],[2019 U.S. Units]],Table1[[#This Row],[2024 U.S. Units]])</f>
        <v>-1</v>
      </c>
      <c r="Q414" s="5">
        <v>58200</v>
      </c>
      <c r="R414" s="6">
        <f>Table1[[#This Row],[2023 U.S. Sales ($000)]]/SUMIF($E:$E, E414, $Q:$Q)</f>
        <v>1.7589009758092486E-3</v>
      </c>
      <c r="S414" s="8">
        <f>(Table1[[#This Row],[2023 Market share (%)]]-Table1[[#This Row],[2022 Market share (%)]])*10000</f>
        <v>-0.83383798033952528</v>
      </c>
      <c r="T414" s="10">
        <v>4.3010752688172046E-2</v>
      </c>
      <c r="U414" s="5">
        <v>25</v>
      </c>
      <c r="V414" s="5">
        <f t="shared" si="48"/>
        <v>2328</v>
      </c>
      <c r="W414" s="10">
        <v>0</v>
      </c>
      <c r="X414" s="10">
        <f t="shared" si="49"/>
        <v>2.1593734016953636E-3</v>
      </c>
      <c r="Y414" s="8">
        <f>(Table1[[#This Row],[2023 Market share (%)]]-Table1[[#This Row],[2019 Market share (%)]])*10000</f>
        <v>-6.2118713282506759</v>
      </c>
      <c r="Z414" s="10">
        <f t="shared" si="50"/>
        <v>1.2034057134682197E-2</v>
      </c>
      <c r="AA414" s="10">
        <f t="shared" si="51"/>
        <v>-9.7572642574346169E-3</v>
      </c>
      <c r="AB414" s="5">
        <v>55800</v>
      </c>
      <c r="AC414" s="6">
        <f>Table1[[#This Row],[2022 U.S. Sales ($000)]]/SUMIF($E:$E, E414, $AB:$AB)</f>
        <v>1.8422847738432011E-3</v>
      </c>
      <c r="AD414" s="5">
        <v>25</v>
      </c>
      <c r="AE414" s="5">
        <f t="shared" si="52"/>
        <v>2232</v>
      </c>
      <c r="AF414" s="5">
        <v>50500</v>
      </c>
      <c r="AG414" s="6">
        <f>Table1[[#This Row],[2021 U.S. Sales ($000)]]/SUMIF($E:$E, E414, $AF:$AF)</f>
        <v>1.8424432972569558E-3</v>
      </c>
      <c r="AH414" s="5">
        <v>25</v>
      </c>
      <c r="AI414" s="12">
        <f t="shared" si="53"/>
        <v>2020</v>
      </c>
      <c r="AJ414" s="5">
        <v>41300</v>
      </c>
      <c r="AK414" s="6">
        <f>Table1[[#This Row],[2020 U.S. Sales ($000)]]/SUMIF($E:$E, E414, $AJ:$AJ)</f>
        <v>1.7521057192591248E-3</v>
      </c>
      <c r="AL414" s="5">
        <v>25</v>
      </c>
      <c r="AM414" s="5">
        <f t="shared" si="54"/>
        <v>1652</v>
      </c>
      <c r="AN414" s="5">
        <v>57700</v>
      </c>
      <c r="AO414" s="6">
        <f>Table1[[#This Row],[2019 U.S. Sales ($000)]]/SUMIF($E:$E, E414, $AN:$AN)</f>
        <v>2.3800881086343162E-3</v>
      </c>
      <c r="AP414" s="5">
        <v>26</v>
      </c>
      <c r="AQ414" s="5">
        <f t="shared" si="55"/>
        <v>2219.2307692307691</v>
      </c>
    </row>
    <row r="415" spans="1:43" x14ac:dyDescent="0.25">
      <c r="A415" t="s">
        <v>480</v>
      </c>
      <c r="B415">
        <v>9701</v>
      </c>
      <c r="C415" t="s">
        <v>44</v>
      </c>
      <c r="D415" t="s">
        <v>45</v>
      </c>
      <c r="E415" t="s">
        <v>128</v>
      </c>
      <c r="F415" s="5">
        <v>428</v>
      </c>
      <c r="G415" s="5">
        <v>0</v>
      </c>
      <c r="H415" s="6">
        <f>Table1[[#This Row],[2024 U.S. Sales ($000)]]/SUMIF($E:$E, E415, $G:$G)</f>
        <v>0</v>
      </c>
      <c r="I415" s="5">
        <v>0</v>
      </c>
      <c r="J415" s="5" t="e">
        <f>Table1[[#This Row],[2024 U.S. Sales ($000)]]/Table1[[#This Row],[2024 U.S. Units]]</f>
        <v>#DIV/0!</v>
      </c>
      <c r="K415" s="6">
        <f>Table1[[#This Row],[2024 U.S. Units]]/Table1[[#This Row],[2023 U.S. Units]]-1</f>
        <v>-1</v>
      </c>
      <c r="L415" s="8">
        <f>(Table1[[#This Row],[2024 Market share (%)]]-Table1[[#This Row],[2023 Market share (%)]])*10000</f>
        <v>-140.84203526746134</v>
      </c>
      <c r="M415" s="6">
        <f>_xlfn.RRI(5,Table1[[#This Row],[2019 U.S. Sales ($000)]],Table1[[#This Row],[2024 U.S. Sales ($000)]])</f>
        <v>-1</v>
      </c>
      <c r="N415" s="9">
        <f>(Table1[[#This Row],[2024 Market share (%)]]-Table1[[#This Row],[2019 Market share (%)]])*10000</f>
        <v>-204.84171843987392</v>
      </c>
      <c r="O415" s="6" t="e">
        <f>IF(Table1[[#This Row],[2024 AUV]]=0,"",_xlfn.RRI(5,Table1[[#This Row],[2019 AUV]],Table1[[#This Row],[2024 AUV]]))</f>
        <v>#DIV/0!</v>
      </c>
      <c r="P415" s="6">
        <f>_xlfn.RRI(5,Table1[[#This Row],[2019 U.S. Units]],Table1[[#This Row],[2024 U.S. Units]])</f>
        <v>-1</v>
      </c>
      <c r="Q415" s="5">
        <v>73200</v>
      </c>
      <c r="R415" s="6">
        <f>Table1[[#This Row],[2023 U.S. Sales ($000)]]/SUMIF($E:$E, E415, $Q:$Q)</f>
        <v>1.4084203526746133E-2</v>
      </c>
      <c r="S415" s="8">
        <f>(Table1[[#This Row],[2023 Market share (%)]]-Table1[[#This Row],[2022 Market share (%)]])*10000</f>
        <v>-20.475156339394701</v>
      </c>
      <c r="T415" s="10">
        <v>2.427761841460855E-2</v>
      </c>
      <c r="U415" s="5">
        <v>51</v>
      </c>
      <c r="V415" s="5">
        <f t="shared" si="48"/>
        <v>1435.2941176470588</v>
      </c>
      <c r="W415" s="10">
        <v>0</v>
      </c>
      <c r="X415" s="10">
        <f t="shared" si="49"/>
        <v>3.4182196070009496E-4</v>
      </c>
      <c r="Y415" s="8">
        <f>(Table1[[#This Row],[2023 Market share (%)]]-Table1[[#This Row],[2019 Market share (%)]])*10000</f>
        <v>-63.999683172412603</v>
      </c>
      <c r="Z415" s="10">
        <f t="shared" si="50"/>
        <v>5.4607897776532965E-2</v>
      </c>
      <c r="AA415" s="10">
        <f t="shared" si="51"/>
        <v>-5.1456162930548888E-2</v>
      </c>
      <c r="AB415" s="5">
        <v>71465</v>
      </c>
      <c r="AC415" s="6">
        <f>Table1[[#This Row],[2022 U.S. Sales ($000)]]/SUMIF($E:$E, E415, $AB:$AB)</f>
        <v>1.6131719160685603E-2</v>
      </c>
      <c r="AD415" s="5">
        <v>51</v>
      </c>
      <c r="AE415" s="5">
        <f t="shared" si="52"/>
        <v>1401.2745098039215</v>
      </c>
      <c r="AF415" s="5">
        <v>67010</v>
      </c>
      <c r="AG415" s="6">
        <f>Table1[[#This Row],[2021 U.S. Sales ($000)]]/SUMIF($E:$E, E415, $AF:$AF)</f>
        <v>1.7761118391199433E-2</v>
      </c>
      <c r="AH415" s="5">
        <v>51</v>
      </c>
      <c r="AI415" s="12">
        <f t="shared" si="53"/>
        <v>1313.9215686274511</v>
      </c>
      <c r="AJ415" s="5">
        <v>62400</v>
      </c>
      <c r="AK415" s="6">
        <f>Table1[[#This Row],[2020 U.S. Sales ($000)]]/SUMIF($E:$E, E415, $AJ:$AJ)</f>
        <v>2.0363076260373258E-2</v>
      </c>
      <c r="AL415" s="5">
        <v>57</v>
      </c>
      <c r="AM415" s="5">
        <f t="shared" si="54"/>
        <v>1094.7368421052631</v>
      </c>
      <c r="AN415" s="5">
        <v>73100</v>
      </c>
      <c r="AO415" s="6">
        <f>Table1[[#This Row],[2019 U.S. Sales ($000)]]/SUMIF($E:$E, E415, $AN:$AN)</f>
        <v>2.0484171843987393E-2</v>
      </c>
      <c r="AP415" s="5">
        <v>63</v>
      </c>
      <c r="AQ415" s="5">
        <f t="shared" si="55"/>
        <v>1160.3174603174602</v>
      </c>
    </row>
    <row r="416" spans="1:43" x14ac:dyDescent="0.25">
      <c r="A416" t="s">
        <v>481</v>
      </c>
      <c r="B416">
        <v>2806</v>
      </c>
      <c r="C416" t="s">
        <v>44</v>
      </c>
      <c r="D416" t="s">
        <v>45</v>
      </c>
      <c r="E416" t="s">
        <v>61</v>
      </c>
      <c r="F416" s="5">
        <v>420</v>
      </c>
      <c r="G416" s="5">
        <v>0</v>
      </c>
      <c r="H416" s="6">
        <f>Table1[[#This Row],[2024 U.S. Sales ($000)]]/SUMIF($E:$E, E416, $G:$G)</f>
        <v>0</v>
      </c>
      <c r="I416" s="5">
        <v>0</v>
      </c>
      <c r="J416" s="5" t="e">
        <f>Table1[[#This Row],[2024 U.S. Sales ($000)]]/Table1[[#This Row],[2024 U.S. Units]]</f>
        <v>#DIV/0!</v>
      </c>
      <c r="K416" s="6">
        <f>Table1[[#This Row],[2024 U.S. Units]]/Table1[[#This Row],[2023 U.S. Units]]-1</f>
        <v>-1</v>
      </c>
      <c r="L416" s="8">
        <f>(Table1[[#This Row],[2024 Market share (%)]]-Table1[[#This Row],[2023 Market share (%)]])*10000</f>
        <v>-24.519771758572109</v>
      </c>
      <c r="M416" s="6">
        <f>_xlfn.RRI(5,Table1[[#This Row],[2019 U.S. Sales ($000)]],Table1[[#This Row],[2024 U.S. Sales ($000)]])</f>
        <v>-1</v>
      </c>
      <c r="N416" s="9">
        <f>(Table1[[#This Row],[2024 Market share (%)]]-Table1[[#This Row],[2019 Market share (%)]])*10000</f>
        <v>-29.06001656730918</v>
      </c>
      <c r="O416" s="6" t="e">
        <f>IF(Table1[[#This Row],[2024 AUV]]=0,"",_xlfn.RRI(5,Table1[[#This Row],[2019 AUV]],Table1[[#This Row],[2024 AUV]]))</f>
        <v>#DIV/0!</v>
      </c>
      <c r="P416" s="6">
        <f>_xlfn.RRI(5,Table1[[#This Row],[2019 U.S. Units]],Table1[[#This Row],[2024 U.S. Units]])</f>
        <v>-1</v>
      </c>
      <c r="Q416" s="5">
        <v>74900</v>
      </c>
      <c r="R416" s="6">
        <f>Table1[[#This Row],[2023 U.S. Sales ($000)]]/SUMIF($E:$E, E416, $Q:$Q)</f>
        <v>2.4519771758572109E-3</v>
      </c>
      <c r="S416" s="8">
        <f>(Table1[[#This Row],[2023 Market share (%)]]-Table1[[#This Row],[2022 Market share (%)]])*10000</f>
        <v>-1.0160974460320538</v>
      </c>
      <c r="T416" s="10">
        <v>-1.1873350923482849E-2</v>
      </c>
      <c r="U416" s="5">
        <v>96</v>
      </c>
      <c r="V416" s="5">
        <f t="shared" si="48"/>
        <v>780.20833333333337</v>
      </c>
      <c r="W416" s="10">
        <v>0</v>
      </c>
      <c r="X416" s="10">
        <f t="shared" si="49"/>
        <v>-3.3350012974853183E-4</v>
      </c>
      <c r="Y416" s="8">
        <f>(Table1[[#This Row],[2023 Market share (%)]]-Table1[[#This Row],[2019 Market share (%)]])*10000</f>
        <v>-4.5402448087370706</v>
      </c>
      <c r="Z416" s="10">
        <f t="shared" si="50"/>
        <v>4.8329070511561323E-3</v>
      </c>
      <c r="AA416" s="10">
        <f t="shared" si="51"/>
        <v>-5.1415585065446301E-3</v>
      </c>
      <c r="AB416" s="5">
        <v>75800</v>
      </c>
      <c r="AC416" s="6">
        <f>Table1[[#This Row],[2022 U.S. Sales ($000)]]/SUMIF($E:$E, E416, $AB:$AB)</f>
        <v>2.5535869204604163E-3</v>
      </c>
      <c r="AD416" s="5">
        <v>96</v>
      </c>
      <c r="AE416" s="5">
        <f t="shared" si="52"/>
        <v>789.58333333333337</v>
      </c>
      <c r="AF416" s="5">
        <v>75200</v>
      </c>
      <c r="AG416" s="6">
        <f>Table1[[#This Row],[2021 U.S. Sales ($000)]]/SUMIF($E:$E, E416, $AF:$AF)</f>
        <v>2.5869874531108525E-3</v>
      </c>
      <c r="AH416" s="5">
        <v>97</v>
      </c>
      <c r="AI416" s="12">
        <f t="shared" si="53"/>
        <v>775.25773195876286</v>
      </c>
      <c r="AJ416" s="5">
        <v>73100</v>
      </c>
      <c r="AK416" s="6">
        <f>Table1[[#This Row],[2020 U.S. Sales ($000)]]/SUMIF($E:$E, E416, $AJ:$AJ)</f>
        <v>2.700713738419951E-3</v>
      </c>
      <c r="AL416" s="5">
        <v>97</v>
      </c>
      <c r="AM416" s="5">
        <f t="shared" si="54"/>
        <v>753.60824742268039</v>
      </c>
      <c r="AN416" s="5">
        <v>75000</v>
      </c>
      <c r="AO416" s="6">
        <f>Table1[[#This Row],[2019 U.S. Sales ($000)]]/SUMIF($E:$E, E416, $AN:$AN)</f>
        <v>2.906001656730918E-3</v>
      </c>
      <c r="AP416" s="5">
        <v>98</v>
      </c>
      <c r="AQ416" s="5">
        <f t="shared" si="55"/>
        <v>765.30612244897964</v>
      </c>
    </row>
    <row r="417" spans="1:43" x14ac:dyDescent="0.25">
      <c r="A417" t="s">
        <v>482</v>
      </c>
      <c r="B417">
        <v>2828</v>
      </c>
      <c r="C417" t="s">
        <v>68</v>
      </c>
      <c r="D417" t="s">
        <v>69</v>
      </c>
      <c r="E417" t="s">
        <v>79</v>
      </c>
      <c r="F417" s="5">
        <v>415</v>
      </c>
      <c r="G417" s="5">
        <v>0</v>
      </c>
      <c r="H417" s="6">
        <f>Table1[[#This Row],[2024 U.S. Sales ($000)]]/SUMIF($E:$E, E417, $G:$G)</f>
        <v>0</v>
      </c>
      <c r="I417" s="5">
        <v>0</v>
      </c>
      <c r="J417" s="5" t="e">
        <f>Table1[[#This Row],[2024 U.S. Sales ($000)]]/Table1[[#This Row],[2024 U.S. Units]]</f>
        <v>#DIV/0!</v>
      </c>
      <c r="K417" s="6">
        <f>Table1[[#This Row],[2024 U.S. Units]]/Table1[[#This Row],[2023 U.S. Units]]-1</f>
        <v>-1</v>
      </c>
      <c r="L417" s="8">
        <f>(Table1[[#This Row],[2024 Market share (%)]]-Table1[[#This Row],[2023 Market share (%)]])*10000</f>
        <v>-31.671431614207474</v>
      </c>
      <c r="M417" s="6">
        <f>_xlfn.RRI(5,Table1[[#This Row],[2019 U.S. Sales ($000)]],Table1[[#This Row],[2024 U.S. Sales ($000)]])</f>
        <v>-1</v>
      </c>
      <c r="N417" s="9">
        <f>(Table1[[#This Row],[2024 Market share (%)]]-Table1[[#This Row],[2019 Market share (%)]])*10000</f>
        <v>-33.673622291254851</v>
      </c>
      <c r="O417" s="6" t="e">
        <f>IF(Table1[[#This Row],[2024 AUV]]=0,"",_xlfn.RRI(5,Table1[[#This Row],[2019 AUV]],Table1[[#This Row],[2024 AUV]]))</f>
        <v>#DIV/0!</v>
      </c>
      <c r="P417" s="6">
        <f>_xlfn.RRI(5,Table1[[#This Row],[2019 U.S. Units]],Table1[[#This Row],[2024 U.S. Units]])</f>
        <v>-1</v>
      </c>
      <c r="Q417" s="5">
        <v>76400</v>
      </c>
      <c r="R417" s="6">
        <f>Table1[[#This Row],[2023 U.S. Sales ($000)]]/SUMIF($E:$E, E417, $Q:$Q)</f>
        <v>3.1671431614207473E-3</v>
      </c>
      <c r="S417" s="8">
        <f>(Table1[[#This Row],[2023 Market share (%)]]-Table1[[#This Row],[2022 Market share (%)]])*10000</f>
        <v>1.0550329352880659</v>
      </c>
      <c r="T417" s="10">
        <v>6.1111111111111109E-2</v>
      </c>
      <c r="U417" s="5">
        <v>21</v>
      </c>
      <c r="V417" s="5">
        <f t="shared" si="48"/>
        <v>3638.0952380952381</v>
      </c>
      <c r="W417" s="10">
        <v>0</v>
      </c>
      <c r="X417" s="10">
        <f t="shared" si="49"/>
        <v>-1.6294660610298717E-3</v>
      </c>
      <c r="Y417" s="8">
        <f>(Table1[[#This Row],[2023 Market share (%)]]-Table1[[#This Row],[2019 Market share (%)]])*10000</f>
        <v>-2.0021906770473783</v>
      </c>
      <c r="Z417" s="10">
        <f t="shared" si="50"/>
        <v>-1.6294660610298717E-3</v>
      </c>
      <c r="AA417" s="10">
        <f t="shared" si="51"/>
        <v>0</v>
      </c>
      <c r="AB417" s="5">
        <v>72000</v>
      </c>
      <c r="AC417" s="6">
        <f>Table1[[#This Row],[2022 U.S. Sales ($000)]]/SUMIF($E:$E, E417, $AB:$AB)</f>
        <v>3.0616398678919407E-3</v>
      </c>
      <c r="AD417" s="5">
        <v>21</v>
      </c>
      <c r="AE417" s="5">
        <f t="shared" si="52"/>
        <v>3428.5714285714284</v>
      </c>
      <c r="AF417" s="5">
        <v>65100</v>
      </c>
      <c r="AG417" s="6">
        <f>Table1[[#This Row],[2021 U.S. Sales ($000)]]/SUMIF($E:$E, E417, $AF:$AF)</f>
        <v>2.997223079722681E-3</v>
      </c>
      <c r="AH417" s="5">
        <v>21</v>
      </c>
      <c r="AI417" s="12">
        <f t="shared" si="53"/>
        <v>3100</v>
      </c>
      <c r="AJ417" s="5">
        <v>42600</v>
      </c>
      <c r="AK417" s="6">
        <f>Table1[[#This Row],[2020 U.S. Sales ($000)]]/SUMIF($E:$E, E417, $AJ:$AJ)</f>
        <v>2.612487678839653E-3</v>
      </c>
      <c r="AL417" s="5">
        <v>21</v>
      </c>
      <c r="AM417" s="5">
        <f t="shared" si="54"/>
        <v>2028.5714285714287</v>
      </c>
      <c r="AN417" s="5">
        <v>76900</v>
      </c>
      <c r="AO417" s="6">
        <f>Table1[[#This Row],[2019 U.S. Sales ($000)]]/SUMIF($E:$E, E417, $AN:$AN)</f>
        <v>3.3673622291254851E-3</v>
      </c>
      <c r="AP417" s="5">
        <v>21</v>
      </c>
      <c r="AQ417" s="5">
        <f t="shared" si="55"/>
        <v>3661.9047619047619</v>
      </c>
    </row>
    <row r="418" spans="1:43" x14ac:dyDescent="0.25">
      <c r="A418" t="s">
        <v>483</v>
      </c>
      <c r="B418">
        <v>2224</v>
      </c>
      <c r="C418" t="s">
        <v>68</v>
      </c>
      <c r="D418" t="s">
        <v>69</v>
      </c>
      <c r="E418" t="s">
        <v>79</v>
      </c>
      <c r="F418" s="5">
        <v>340</v>
      </c>
      <c r="G418" s="5">
        <v>0</v>
      </c>
      <c r="H418" s="6">
        <f>Table1[[#This Row],[2024 U.S. Sales ($000)]]/SUMIF($E:$E, E418, $G:$G)</f>
        <v>0</v>
      </c>
      <c r="I418" s="5">
        <v>0</v>
      </c>
      <c r="J418" s="5" t="e">
        <f>Table1[[#This Row],[2024 U.S. Sales ($000)]]/Table1[[#This Row],[2024 U.S. Units]]</f>
        <v>#DIV/0!</v>
      </c>
      <c r="K418" s="6">
        <f>Table1[[#This Row],[2024 U.S. Units]]/Table1[[#This Row],[2023 U.S. Units]]-1</f>
        <v>-1</v>
      </c>
      <c r="L418" s="8">
        <f>(Table1[[#This Row],[2024 Market share (%)]]-Table1[[#This Row],[2023 Market share (%)]])*10000</f>
        <v>-40.459839339615833</v>
      </c>
      <c r="M418" s="6">
        <f>_xlfn.RRI(5,Table1[[#This Row],[2019 U.S. Sales ($000)]],Table1[[#This Row],[2024 U.S. Sales ($000)]])</f>
        <v>-1</v>
      </c>
      <c r="N418" s="9">
        <f>(Table1[[#This Row],[2024 Market share (%)]]-Table1[[#This Row],[2019 Market share (%)]])*10000</f>
        <v>-43.526112558527075</v>
      </c>
      <c r="O418" s="6" t="e">
        <f>IF(Table1[[#This Row],[2024 AUV]]=0,"",_xlfn.RRI(5,Table1[[#This Row],[2019 AUV]],Table1[[#This Row],[2024 AUV]]))</f>
        <v>#DIV/0!</v>
      </c>
      <c r="P418" s="6">
        <f>_xlfn.RRI(5,Table1[[#This Row],[2019 U.S. Units]],Table1[[#This Row],[2024 U.S. Units]])</f>
        <v>-1</v>
      </c>
      <c r="Q418" s="5">
        <v>97600</v>
      </c>
      <c r="R418" s="6">
        <f>Table1[[#This Row],[2023 U.S. Sales ($000)]]/SUMIF($E:$E, E418, $Q:$Q)</f>
        <v>4.0459839339615829E-3</v>
      </c>
      <c r="S418" s="8">
        <f>(Table1[[#This Row],[2023 Market share (%)]]-Table1[[#This Row],[2022 Market share (%)]])*10000</f>
        <v>3.422501493311938</v>
      </c>
      <c r="T418" s="10">
        <v>0.12055109070034443</v>
      </c>
      <c r="U418" s="5">
        <v>24</v>
      </c>
      <c r="V418" s="5">
        <f t="shared" si="48"/>
        <v>4066.6666666666665</v>
      </c>
      <c r="W418" s="10">
        <v>9.0909090909090912E-2</v>
      </c>
      <c r="X418" s="10">
        <f t="shared" si="49"/>
        <v>-4.5582346314934075E-3</v>
      </c>
      <c r="Y418" s="8">
        <f>(Table1[[#This Row],[2023 Market share (%)]]-Table1[[#This Row],[2019 Market share (%)]])*10000</f>
        <v>-3.0662732189112427</v>
      </c>
      <c r="Z418" s="10">
        <f t="shared" si="50"/>
        <v>-3.7240369496076897E-2</v>
      </c>
      <c r="AA418" s="10">
        <f t="shared" si="51"/>
        <v>3.3946307914341167E-2</v>
      </c>
      <c r="AB418" s="5">
        <v>87100</v>
      </c>
      <c r="AC418" s="6">
        <f>Table1[[#This Row],[2022 U.S. Sales ($000)]]/SUMIF($E:$E, E418, $AB:$AB)</f>
        <v>3.7037337846303892E-3</v>
      </c>
      <c r="AD418" s="5">
        <v>22</v>
      </c>
      <c r="AE418" s="5">
        <f t="shared" si="52"/>
        <v>3959.090909090909</v>
      </c>
      <c r="AF418" s="5">
        <v>78800</v>
      </c>
      <c r="AG418" s="6">
        <f>Table1[[#This Row],[2021 U.S. Sales ($000)]]/SUMIF($E:$E, E418, $AF:$AF)</f>
        <v>3.6279750949638596E-3</v>
      </c>
      <c r="AH418" s="5">
        <v>21</v>
      </c>
      <c r="AI418" s="12">
        <f t="shared" si="53"/>
        <v>3752.3809523809523</v>
      </c>
      <c r="AJ418" s="5">
        <v>56700</v>
      </c>
      <c r="AK418" s="6">
        <f>Table1[[#This Row],[2020 U.S. Sales ($000)]]/SUMIF($E:$E, E418, $AJ:$AJ)</f>
        <v>3.4771843049344678E-3</v>
      </c>
      <c r="AL418" s="5">
        <v>21</v>
      </c>
      <c r="AM418" s="5">
        <f t="shared" si="54"/>
        <v>2700</v>
      </c>
      <c r="AN418" s="5">
        <v>99400</v>
      </c>
      <c r="AO418" s="6">
        <f>Table1[[#This Row],[2019 U.S. Sales ($000)]]/SUMIF($E:$E, E418, $AN:$AN)</f>
        <v>4.3526112558527072E-3</v>
      </c>
      <c r="AP418" s="5">
        <v>21</v>
      </c>
      <c r="AQ418" s="5">
        <f t="shared" si="55"/>
        <v>4733.333333333333</v>
      </c>
    </row>
    <row r="419" spans="1:43" x14ac:dyDescent="0.25">
      <c r="A419" t="s">
        <v>484</v>
      </c>
      <c r="B419">
        <v>797</v>
      </c>
      <c r="C419" t="s">
        <v>68</v>
      </c>
      <c r="D419" t="s">
        <v>133</v>
      </c>
      <c r="E419" t="s">
        <v>107</v>
      </c>
      <c r="F419" s="5">
        <v>323</v>
      </c>
      <c r="G419" s="5">
        <v>0</v>
      </c>
      <c r="H419" s="6">
        <f>Table1[[#This Row],[2024 U.S. Sales ($000)]]/SUMIF($E:$E, E419, $G:$G)</f>
        <v>0</v>
      </c>
      <c r="I419" s="5">
        <v>0</v>
      </c>
      <c r="J419" s="5" t="e">
        <f>Table1[[#This Row],[2024 U.S. Sales ($000)]]/Table1[[#This Row],[2024 U.S. Units]]</f>
        <v>#DIV/0!</v>
      </c>
      <c r="K419" s="6">
        <f>Table1[[#This Row],[2024 U.S. Units]]/Table1[[#This Row],[2023 U.S. Units]]-1</f>
        <v>-1</v>
      </c>
      <c r="L419" s="8">
        <f>(Table1[[#This Row],[2024 Market share (%)]]-Table1[[#This Row],[2023 Market share (%)]])*10000</f>
        <v>-203.28181583911274</v>
      </c>
      <c r="M419" s="6">
        <f>_xlfn.RRI(5,Table1[[#This Row],[2019 U.S. Sales ($000)]],Table1[[#This Row],[2024 U.S. Sales ($000)]])</f>
        <v>-1</v>
      </c>
      <c r="N419" s="9">
        <f>(Table1[[#This Row],[2024 Market share (%)]]-Table1[[#This Row],[2019 Market share (%)]])*10000</f>
        <v>-207.24808373289181</v>
      </c>
      <c r="O419" s="6" t="e">
        <f>IF(Table1[[#This Row],[2024 AUV]]=0,"",_xlfn.RRI(5,Table1[[#This Row],[2019 AUV]],Table1[[#This Row],[2024 AUV]]))</f>
        <v>#DIV/0!</v>
      </c>
      <c r="P419" s="6">
        <f>_xlfn.RRI(5,Table1[[#This Row],[2019 U.S. Units]],Table1[[#This Row],[2024 U.S. Units]])</f>
        <v>-1</v>
      </c>
      <c r="Q419" s="5">
        <v>104600</v>
      </c>
      <c r="R419" s="6">
        <f>Table1[[#This Row],[2023 U.S. Sales ($000)]]/SUMIF($E:$E, E419, $Q:$Q)</f>
        <v>2.0328181583911274E-2</v>
      </c>
      <c r="S419" s="8">
        <f>(Table1[[#This Row],[2023 Market share (%)]]-Table1[[#This Row],[2022 Market share (%)]])*10000</f>
        <v>17.157284740805661</v>
      </c>
      <c r="T419" s="10">
        <v>7.6131687242798354E-2</v>
      </c>
      <c r="U419" s="5">
        <v>24</v>
      </c>
      <c r="V419" s="5">
        <f t="shared" si="48"/>
        <v>4358.333333333333</v>
      </c>
      <c r="W419" s="10">
        <v>0</v>
      </c>
      <c r="X419" s="10">
        <f t="shared" si="49"/>
        <v>-4.7237976322188624E-3</v>
      </c>
      <c r="Y419" s="8">
        <f>(Table1[[#This Row],[2023 Market share (%)]]-Table1[[#This Row],[2019 Market share (%)]])*10000</f>
        <v>-3.9662678937790741</v>
      </c>
      <c r="Z419" s="10">
        <f t="shared" si="50"/>
        <v>1.5392956562200411E-2</v>
      </c>
      <c r="AA419" s="10">
        <f t="shared" si="51"/>
        <v>-1.9811792138610285E-2</v>
      </c>
      <c r="AB419" s="5">
        <v>97200</v>
      </c>
      <c r="AC419" s="6">
        <f>Table1[[#This Row],[2022 U.S. Sales ($000)]]/SUMIF($E:$E, E419, $AB:$AB)</f>
        <v>1.8612453109830708E-2</v>
      </c>
      <c r="AD419" s="5">
        <v>24</v>
      </c>
      <c r="AE419" s="5">
        <f t="shared" si="52"/>
        <v>4050</v>
      </c>
      <c r="AF419" s="5">
        <v>88200</v>
      </c>
      <c r="AG419" s="6">
        <f>Table1[[#This Row],[2021 U.S. Sales ($000)]]/SUMIF($E:$E, E419, $AF:$AF)</f>
        <v>1.8319408229111409E-2</v>
      </c>
      <c r="AH419" s="5">
        <v>24</v>
      </c>
      <c r="AI419" s="12">
        <f t="shared" si="53"/>
        <v>3675</v>
      </c>
      <c r="AJ419" s="5">
        <v>72500</v>
      </c>
      <c r="AK419" s="6">
        <f>Table1[[#This Row],[2020 U.S. Sales ($000)]]/SUMIF($E:$E, E419, $AJ:$AJ)</f>
        <v>2.1281935746166682E-2</v>
      </c>
      <c r="AL419" s="5">
        <v>25</v>
      </c>
      <c r="AM419" s="5">
        <f t="shared" si="54"/>
        <v>2900</v>
      </c>
      <c r="AN419" s="5">
        <v>106600</v>
      </c>
      <c r="AO419" s="6">
        <f>Table1[[#This Row],[2019 U.S. Sales ($000)]]/SUMIF($E:$E, E419, $AN:$AN)</f>
        <v>2.0724808373289182E-2</v>
      </c>
      <c r="AP419" s="5">
        <v>26</v>
      </c>
      <c r="AQ419" s="5">
        <f t="shared" si="55"/>
        <v>4100</v>
      </c>
    </row>
    <row r="420" spans="1:43" x14ac:dyDescent="0.25">
      <c r="A420" t="s">
        <v>485</v>
      </c>
      <c r="B420">
        <v>570</v>
      </c>
      <c r="C420" t="s">
        <v>44</v>
      </c>
      <c r="D420" t="s">
        <v>45</v>
      </c>
      <c r="E420" t="s">
        <v>112</v>
      </c>
      <c r="F420" s="5">
        <v>404</v>
      </c>
      <c r="G420" s="5">
        <v>0</v>
      </c>
      <c r="H420" s="6">
        <f>Table1[[#This Row],[2024 U.S. Sales ($000)]]/SUMIF($E:$E, E420, $G:$G)</f>
        <v>0</v>
      </c>
      <c r="I420" s="5">
        <v>0</v>
      </c>
      <c r="J420" s="5" t="e">
        <f>Table1[[#This Row],[2024 U.S. Sales ($000)]]/Table1[[#This Row],[2024 U.S. Units]]</f>
        <v>#DIV/0!</v>
      </c>
      <c r="K420" s="6">
        <f>Table1[[#This Row],[2024 U.S. Units]]/Table1[[#This Row],[2023 U.S. Units]]-1</f>
        <v>-1</v>
      </c>
      <c r="L420" s="8">
        <f>(Table1[[#This Row],[2024 Market share (%)]]-Table1[[#This Row],[2023 Market share (%)]])*10000</f>
        <v>-94.497730664791533</v>
      </c>
      <c r="M420" s="6">
        <f>_xlfn.RRI(5,Table1[[#This Row],[2019 U.S. Sales ($000)]],Table1[[#This Row],[2024 U.S. Sales ($000)]])</f>
        <v>-1</v>
      </c>
      <c r="N420" s="9">
        <f>(Table1[[#This Row],[2024 Market share (%)]]-Table1[[#This Row],[2019 Market share (%)]])*10000</f>
        <v>-164.51340784273918</v>
      </c>
      <c r="O420" s="6" t="e">
        <f>IF(Table1[[#This Row],[2024 AUV]]=0,"",_xlfn.RRI(5,Table1[[#This Row],[2019 AUV]],Table1[[#This Row],[2024 AUV]]))</f>
        <v>#DIV/0!</v>
      </c>
      <c r="P420" s="6">
        <f>_xlfn.RRI(5,Table1[[#This Row],[2019 U.S. Units]],Table1[[#This Row],[2024 U.S. Units]])</f>
        <v>-1</v>
      </c>
      <c r="Q420" s="5">
        <v>78200</v>
      </c>
      <c r="R420" s="6">
        <f>Table1[[#This Row],[2023 U.S. Sales ($000)]]/SUMIF($E:$E, E420, $Q:$Q)</f>
        <v>9.4497730664791536E-3</v>
      </c>
      <c r="S420" s="8">
        <f>(Table1[[#This Row],[2023 Market share (%)]]-Table1[[#This Row],[2022 Market share (%)]])*10000</f>
        <v>-10.238813568513253</v>
      </c>
      <c r="T420" s="10">
        <v>1.1642949547218629E-2</v>
      </c>
      <c r="U420" s="5">
        <v>341</v>
      </c>
      <c r="V420" s="5">
        <f t="shared" si="48"/>
        <v>229.32551319648093</v>
      </c>
      <c r="W420" s="10">
        <v>-1.1594202898550725E-2</v>
      </c>
      <c r="X420" s="10">
        <f t="shared" si="49"/>
        <v>-5.3621235220918662E-3</v>
      </c>
      <c r="Y420" s="8">
        <f>(Table1[[#This Row],[2023 Market share (%)]]-Table1[[#This Row],[2019 Market share (%)]])*10000</f>
        <v>-70.015677177947651</v>
      </c>
      <c r="Z420" s="10">
        <f t="shared" si="50"/>
        <v>4.6932557293446475E-3</v>
      </c>
      <c r="AA420" s="10">
        <f t="shared" si="51"/>
        <v>-1.0008407236830608E-2</v>
      </c>
      <c r="AB420" s="5">
        <v>77300</v>
      </c>
      <c r="AC420" s="6">
        <f>Table1[[#This Row],[2022 U.S. Sales ($000)]]/SUMIF($E:$E, E420, $AB:$AB)</f>
        <v>1.0473654423330479E-2</v>
      </c>
      <c r="AD420" s="5">
        <v>345</v>
      </c>
      <c r="AE420" s="5">
        <f t="shared" si="52"/>
        <v>224.05797101449275</v>
      </c>
      <c r="AF420" s="5">
        <v>75000</v>
      </c>
      <c r="AG420" s="6">
        <f>Table1[[#This Row],[2021 U.S. Sales ($000)]]/SUMIF($E:$E, E420, $AF:$AF)</f>
        <v>1.1988721011272595E-2</v>
      </c>
      <c r="AH420" s="5">
        <v>348</v>
      </c>
      <c r="AI420" s="12">
        <f t="shared" si="53"/>
        <v>215.51724137931035</v>
      </c>
      <c r="AJ420" s="5">
        <v>68700</v>
      </c>
      <c r="AK420" s="6">
        <f>Table1[[#This Row],[2020 U.S. Sales ($000)]]/SUMIF($E:$E, E420, $AJ:$AJ)</f>
        <v>1.4885137439435691E-2</v>
      </c>
      <c r="AL420" s="5">
        <v>350</v>
      </c>
      <c r="AM420" s="5">
        <f t="shared" si="54"/>
        <v>196.28571428571428</v>
      </c>
      <c r="AN420" s="5">
        <v>79900</v>
      </c>
      <c r="AO420" s="6">
        <f>Table1[[#This Row],[2019 U.S. Sales ($000)]]/SUMIF($E:$E, E420, $AN:$AN)</f>
        <v>1.6451340784273918E-2</v>
      </c>
      <c r="AP420" s="5">
        <v>355</v>
      </c>
      <c r="AQ420" s="5">
        <f t="shared" si="55"/>
        <v>225.07042253521126</v>
      </c>
    </row>
    <row r="421" spans="1:43" x14ac:dyDescent="0.25">
      <c r="A421" t="s">
        <v>486</v>
      </c>
      <c r="B421">
        <v>1759</v>
      </c>
      <c r="C421" t="s">
        <v>68</v>
      </c>
      <c r="D421" t="s">
        <v>69</v>
      </c>
      <c r="E421" t="s">
        <v>79</v>
      </c>
      <c r="F421" s="5">
        <v>392</v>
      </c>
      <c r="G421" s="5">
        <v>0</v>
      </c>
      <c r="H421" s="6">
        <f>Table1[[#This Row],[2024 U.S. Sales ($000)]]/SUMIF($E:$E, E421, $G:$G)</f>
        <v>0</v>
      </c>
      <c r="I421" s="5">
        <v>0</v>
      </c>
      <c r="J421" s="5" t="e">
        <f>Table1[[#This Row],[2024 U.S. Sales ($000)]]/Table1[[#This Row],[2024 U.S. Units]]</f>
        <v>#DIV/0!</v>
      </c>
      <c r="K421" s="6">
        <f>Table1[[#This Row],[2024 U.S. Units]]/Table1[[#This Row],[2023 U.S. Units]]-1</f>
        <v>-1</v>
      </c>
      <c r="L421" s="8">
        <f>(Table1[[#This Row],[2024 Market share (%)]]-Table1[[#This Row],[2023 Market share (%)]])*10000</f>
        <v>-33.13063893465263</v>
      </c>
      <c r="M421" s="6">
        <f>_xlfn.RRI(5,Table1[[#This Row],[2019 U.S. Sales ($000)]],Table1[[#This Row],[2024 U.S. Sales ($000)]])</f>
        <v>-1</v>
      </c>
      <c r="N421" s="9">
        <f>(Table1[[#This Row],[2024 Market share (%)]]-Table1[[#This Row],[2019 Market share (%)]])*10000</f>
        <v>-35.863064572870904</v>
      </c>
      <c r="O421" s="6" t="e">
        <f>IF(Table1[[#This Row],[2024 AUV]]=0,"",_xlfn.RRI(5,Table1[[#This Row],[2019 AUV]],Table1[[#This Row],[2024 AUV]]))</f>
        <v>#DIV/0!</v>
      </c>
      <c r="P421" s="6">
        <f>_xlfn.RRI(5,Table1[[#This Row],[2019 U.S. Units]],Table1[[#This Row],[2024 U.S. Units]])</f>
        <v>-1</v>
      </c>
      <c r="Q421" s="5">
        <v>79920</v>
      </c>
      <c r="R421" s="6">
        <f>Table1[[#This Row],[2023 U.S. Sales ($000)]]/SUMIF($E:$E, E421, $Q:$Q)</f>
        <v>3.3130638934652634E-3</v>
      </c>
      <c r="S421" s="8">
        <f>(Table1[[#This Row],[2023 Market share (%)]]-Table1[[#This Row],[2022 Market share (%)]])*10000</f>
        <v>-1.4412283624793896</v>
      </c>
      <c r="T421" s="10">
        <v>-1.6998351824063368E-2</v>
      </c>
      <c r="U421" s="5">
        <v>24</v>
      </c>
      <c r="V421" s="5">
        <f t="shared" si="48"/>
        <v>3330</v>
      </c>
      <c r="W421" s="10">
        <v>9.0909090909090912E-2</v>
      </c>
      <c r="X421" s="10">
        <f t="shared" si="49"/>
        <v>-6.0995359693547524E-3</v>
      </c>
      <c r="Y421" s="8">
        <f>(Table1[[#This Row],[2023 Market share (%)]]-Table1[[#This Row],[2019 Market share (%)]])*10000</f>
        <v>-2.7324256382182681</v>
      </c>
      <c r="Z421" s="10">
        <f t="shared" si="50"/>
        <v>-3.873106715229313E-2</v>
      </c>
      <c r="AA421" s="10">
        <f t="shared" si="51"/>
        <v>3.3946307914341167E-2</v>
      </c>
      <c r="AB421" s="5">
        <v>81302</v>
      </c>
      <c r="AC421" s="6">
        <f>Table1[[#This Row],[2022 U.S. Sales ($000)]]/SUMIF($E:$E, E421, $AB:$AB)</f>
        <v>3.4571867297132023E-3</v>
      </c>
      <c r="AD421" s="5">
        <v>22</v>
      </c>
      <c r="AE421" s="5">
        <f t="shared" si="52"/>
        <v>3695.5454545454545</v>
      </c>
      <c r="AF421" s="5">
        <v>76734</v>
      </c>
      <c r="AG421" s="6">
        <f>Table1[[#This Row],[2021 U.S. Sales ($000)]]/SUMIF($E:$E, E421, $AF:$AF)</f>
        <v>3.5328558494537666E-3</v>
      </c>
      <c r="AH421" s="5">
        <v>22</v>
      </c>
      <c r="AI421" s="12">
        <f t="shared" si="53"/>
        <v>3487.909090909091</v>
      </c>
      <c r="AJ421" s="5">
        <v>63100</v>
      </c>
      <c r="AK421" s="6">
        <f>Table1[[#This Row],[2020 U.S. Sales ($000)]]/SUMIF($E:$E, E421, $AJ:$AJ)</f>
        <v>3.8696707167789231E-3</v>
      </c>
      <c r="AL421" s="5">
        <v>21</v>
      </c>
      <c r="AM421" s="5">
        <f t="shared" si="54"/>
        <v>3004.7619047619046</v>
      </c>
      <c r="AN421" s="5">
        <v>81900</v>
      </c>
      <c r="AO421" s="6">
        <f>Table1[[#This Row],[2019 U.S. Sales ($000)]]/SUMIF($E:$E, E421, $AN:$AN)</f>
        <v>3.5863064572870902E-3</v>
      </c>
      <c r="AP421" s="5">
        <v>21</v>
      </c>
      <c r="AQ421" s="5">
        <f t="shared" si="55"/>
        <v>3900</v>
      </c>
    </row>
    <row r="422" spans="1:43" x14ac:dyDescent="0.25">
      <c r="A422" t="s">
        <v>487</v>
      </c>
      <c r="B422">
        <v>2536</v>
      </c>
      <c r="C422" t="s">
        <v>44</v>
      </c>
      <c r="D422" t="s">
        <v>45</v>
      </c>
      <c r="E422" t="s">
        <v>76</v>
      </c>
      <c r="F422" s="5">
        <v>359</v>
      </c>
      <c r="G422" s="5">
        <v>0</v>
      </c>
      <c r="H422" s="6">
        <f>Table1[[#This Row],[2024 U.S. Sales ($000)]]/SUMIF($E:$E, E422, $G:$G)</f>
        <v>0</v>
      </c>
      <c r="I422" s="5">
        <v>0</v>
      </c>
      <c r="J422" s="5" t="e">
        <f>Table1[[#This Row],[2024 U.S. Sales ($000)]]/Table1[[#This Row],[2024 U.S. Units]]</f>
        <v>#DIV/0!</v>
      </c>
      <c r="K422" s="6">
        <f>Table1[[#This Row],[2024 U.S. Units]]/Table1[[#This Row],[2023 U.S. Units]]-1</f>
        <v>-1</v>
      </c>
      <c r="L422" s="8">
        <f>(Table1[[#This Row],[2024 Market share (%)]]-Table1[[#This Row],[2023 Market share (%)]])*10000</f>
        <v>-113.88050533365016</v>
      </c>
      <c r="M422" s="6">
        <f>_xlfn.RRI(5,Table1[[#This Row],[2019 U.S. Sales ($000)]],Table1[[#This Row],[2024 U.S. Sales ($000)]])</f>
        <v>-1</v>
      </c>
      <c r="N422" s="9">
        <f>(Table1[[#This Row],[2024 Market share (%)]]-Table1[[#This Row],[2019 Market share (%)]])*10000</f>
        <v>-149.31113700430828</v>
      </c>
      <c r="O422" s="6" t="e">
        <f>IF(Table1[[#This Row],[2024 AUV]]=0,"",_xlfn.RRI(5,Table1[[#This Row],[2019 AUV]],Table1[[#This Row],[2024 AUV]]))</f>
        <v>#DIV/0!</v>
      </c>
      <c r="P422" s="6">
        <f>_xlfn.RRI(5,Table1[[#This Row],[2019 U.S. Units]],Table1[[#This Row],[2024 U.S. Units]])</f>
        <v>-1</v>
      </c>
      <c r="Q422" s="5">
        <v>92400</v>
      </c>
      <c r="R422" s="6">
        <f>Table1[[#This Row],[2023 U.S. Sales ($000)]]/SUMIF($E:$E, E422, $Q:$Q)</f>
        <v>1.1388050533365016E-2</v>
      </c>
      <c r="S422" s="8">
        <f>(Table1[[#This Row],[2023 Market share (%)]]-Table1[[#This Row],[2022 Market share (%)]])*10000</f>
        <v>-7.2395524002440323</v>
      </c>
      <c r="T422" s="10">
        <v>1.3157894736842105E-2</v>
      </c>
      <c r="U422" s="5">
        <v>151</v>
      </c>
      <c r="V422" s="5">
        <f t="shared" si="48"/>
        <v>611.92052980132451</v>
      </c>
      <c r="W422" s="10">
        <v>-3.8216560509554139E-2</v>
      </c>
      <c r="X422" s="10">
        <f t="shared" si="49"/>
        <v>-6.3901035460840472E-3</v>
      </c>
      <c r="Y422" s="8">
        <f>(Table1[[#This Row],[2023 Market share (%)]]-Table1[[#This Row],[2019 Market share (%)]])*10000</f>
        <v>-35.430631670658137</v>
      </c>
      <c r="Z422" s="10">
        <f t="shared" si="50"/>
        <v>3.093476202234835E-2</v>
      </c>
      <c r="AA422" s="10">
        <f t="shared" si="51"/>
        <v>-3.6204876334961833E-2</v>
      </c>
      <c r="AB422" s="5">
        <v>91200</v>
      </c>
      <c r="AC422" s="6">
        <f>Table1[[#This Row],[2022 U.S. Sales ($000)]]/SUMIF($E:$E, E422, $AB:$AB)</f>
        <v>1.2112005773389419E-2</v>
      </c>
      <c r="AD422" s="5">
        <v>157</v>
      </c>
      <c r="AE422" s="5">
        <f t="shared" si="52"/>
        <v>580.89171974522299</v>
      </c>
      <c r="AF422" s="5">
        <v>89100</v>
      </c>
      <c r="AG422" s="6">
        <f>Table1[[#This Row],[2021 U.S. Sales ($000)]]/SUMIF($E:$E, E422, $AF:$AF)</f>
        <v>1.220372077886858E-2</v>
      </c>
      <c r="AH422" s="5">
        <v>163</v>
      </c>
      <c r="AI422" s="12">
        <f t="shared" si="53"/>
        <v>546.62576687116564</v>
      </c>
      <c r="AJ422" s="5">
        <v>80400</v>
      </c>
      <c r="AK422" s="6">
        <f>Table1[[#This Row],[2020 U.S. Sales ($000)]]/SUMIF($E:$E, E422, $AJ:$AJ)</f>
        <v>1.258173826416455E-2</v>
      </c>
      <c r="AL422" s="5">
        <v>167</v>
      </c>
      <c r="AM422" s="5">
        <f t="shared" si="54"/>
        <v>481.43712574850298</v>
      </c>
      <c r="AN422" s="5">
        <v>94800</v>
      </c>
      <c r="AO422" s="6">
        <f>Table1[[#This Row],[2019 U.S. Sales ($000)]]/SUMIF($E:$E, E422, $AN:$AN)</f>
        <v>1.4931113700430829E-2</v>
      </c>
      <c r="AP422" s="5">
        <v>175</v>
      </c>
      <c r="AQ422" s="5">
        <f t="shared" si="55"/>
        <v>541.71428571428567</v>
      </c>
    </row>
    <row r="423" spans="1:43" x14ac:dyDescent="0.25">
      <c r="A423" t="s">
        <v>488</v>
      </c>
      <c r="B423">
        <v>5231</v>
      </c>
      <c r="C423" t="s">
        <v>68</v>
      </c>
      <c r="D423" t="s">
        <v>69</v>
      </c>
      <c r="E423" t="s">
        <v>70</v>
      </c>
      <c r="F423" s="5">
        <v>371</v>
      </c>
      <c r="G423" s="5">
        <v>0</v>
      </c>
      <c r="H423" s="6">
        <f>Table1[[#This Row],[2024 U.S. Sales ($000)]]/SUMIF($E:$E, E423, $G:$G)</f>
        <v>0</v>
      </c>
      <c r="I423" s="5">
        <v>0</v>
      </c>
      <c r="J423" s="5" t="e">
        <f>Table1[[#This Row],[2024 U.S. Sales ($000)]]/Table1[[#This Row],[2024 U.S. Units]]</f>
        <v>#DIV/0!</v>
      </c>
      <c r="K423" s="6">
        <f>Table1[[#This Row],[2024 U.S. Units]]/Table1[[#This Row],[2023 U.S. Units]]-1</f>
        <v>-1</v>
      </c>
      <c r="L423" s="8">
        <f>(Table1[[#This Row],[2024 Market share (%)]]-Table1[[#This Row],[2023 Market share (%)]])*10000</f>
        <v>-54.932090594479845</v>
      </c>
      <c r="M423" s="6">
        <f>_xlfn.RRI(5,Table1[[#This Row],[2019 U.S. Sales ($000)]],Table1[[#This Row],[2024 U.S. Sales ($000)]])</f>
        <v>-1</v>
      </c>
      <c r="N423" s="9">
        <f>(Table1[[#This Row],[2024 Market share (%)]]-Table1[[#This Row],[2019 Market share (%)]])*10000</f>
        <v>-74.488151160224731</v>
      </c>
      <c r="O423" s="6" t="e">
        <f>IF(Table1[[#This Row],[2024 AUV]]=0,"",_xlfn.RRI(5,Table1[[#This Row],[2019 AUV]],Table1[[#This Row],[2024 AUV]]))</f>
        <v>#DIV/0!</v>
      </c>
      <c r="P423" s="6">
        <f>_xlfn.RRI(5,Table1[[#This Row],[2019 U.S. Units]],Table1[[#This Row],[2024 U.S. Units]])</f>
        <v>-1</v>
      </c>
      <c r="Q423" s="5">
        <v>87700</v>
      </c>
      <c r="R423" s="6">
        <f>Table1[[#This Row],[2023 U.S. Sales ($000)]]/SUMIF($E:$E, E423, $Q:$Q)</f>
        <v>5.4932090594479845E-3</v>
      </c>
      <c r="S423" s="8">
        <f>(Table1[[#This Row],[2023 Market share (%)]]-Table1[[#This Row],[2022 Market share (%)]])*10000</f>
        <v>-5.5537728682176004</v>
      </c>
      <c r="T423" s="10">
        <v>-9.0395480225988704E-3</v>
      </c>
      <c r="U423" s="5">
        <v>37</v>
      </c>
      <c r="V423" s="5">
        <f t="shared" si="48"/>
        <v>2370.2702702702704</v>
      </c>
      <c r="W423" s="10">
        <v>0</v>
      </c>
      <c r="X423" s="10">
        <f t="shared" si="49"/>
        <v>-1.5619098158083045E-2</v>
      </c>
      <c r="Y423" s="8">
        <f>(Table1[[#This Row],[2023 Market share (%)]]-Table1[[#This Row],[2019 Market share (%)]])*10000</f>
        <v>-19.556060565744886</v>
      </c>
      <c r="Z423" s="10">
        <f t="shared" si="50"/>
        <v>-9.0342434544568029E-3</v>
      </c>
      <c r="AA423" s="10">
        <f t="shared" si="51"/>
        <v>-6.6448862234964601E-3</v>
      </c>
      <c r="AB423" s="5">
        <v>88500</v>
      </c>
      <c r="AC423" s="6">
        <f>Table1[[#This Row],[2022 U.S. Sales ($000)]]/SUMIF($E:$E, E423, $AB:$AB)</f>
        <v>6.0485863462697445E-3</v>
      </c>
      <c r="AD423" s="5">
        <v>37</v>
      </c>
      <c r="AE423" s="5">
        <f t="shared" si="52"/>
        <v>2391.8918918918921</v>
      </c>
      <c r="AF423" s="5">
        <v>85500</v>
      </c>
      <c r="AG423" s="6">
        <f>Table1[[#This Row],[2021 U.S. Sales ($000)]]/SUMIF($E:$E, E423, $AF:$AF)</f>
        <v>6.5782108882084991E-3</v>
      </c>
      <c r="AH423" s="5">
        <v>38</v>
      </c>
      <c r="AI423" s="12">
        <f t="shared" si="53"/>
        <v>2250</v>
      </c>
      <c r="AJ423" s="5">
        <v>67600</v>
      </c>
      <c r="AK423" s="6">
        <f>Table1[[#This Row],[2020 U.S. Sales ($000)]]/SUMIF($E:$E, E423, $AJ:$AJ)</f>
        <v>7.1979966569777655E-3</v>
      </c>
      <c r="AL423" s="5">
        <v>38</v>
      </c>
      <c r="AM423" s="5">
        <f t="shared" si="54"/>
        <v>1778.9473684210527</v>
      </c>
      <c r="AN423" s="5">
        <v>93400</v>
      </c>
      <c r="AO423" s="6">
        <f>Table1[[#This Row],[2019 U.S. Sales ($000)]]/SUMIF($E:$E, E423, $AN:$AN)</f>
        <v>7.448815116022473E-3</v>
      </c>
      <c r="AP423" s="5">
        <v>38</v>
      </c>
      <c r="AQ423" s="5">
        <f t="shared" si="55"/>
        <v>2457.8947368421054</v>
      </c>
    </row>
    <row r="424" spans="1:43" x14ac:dyDescent="0.25">
      <c r="A424" t="s">
        <v>489</v>
      </c>
      <c r="B424">
        <v>6021</v>
      </c>
      <c r="C424" t="s">
        <v>68</v>
      </c>
      <c r="D424" t="s">
        <v>69</v>
      </c>
      <c r="E424" t="s">
        <v>79</v>
      </c>
      <c r="F424" s="5">
        <v>316</v>
      </c>
      <c r="G424" s="5">
        <v>0</v>
      </c>
      <c r="H424" s="6">
        <f>Table1[[#This Row],[2024 U.S. Sales ($000)]]/SUMIF($E:$E, E424, $G:$G)</f>
        <v>0</v>
      </c>
      <c r="I424" s="5">
        <v>0</v>
      </c>
      <c r="J424" s="5" t="e">
        <f>Table1[[#This Row],[2024 U.S. Sales ($000)]]/Table1[[#This Row],[2024 U.S. Units]]</f>
        <v>#DIV/0!</v>
      </c>
      <c r="K424" s="6">
        <f>Table1[[#This Row],[2024 U.S. Units]]/Table1[[#This Row],[2023 U.S. Units]]-1</f>
        <v>-1</v>
      </c>
      <c r="L424" s="8">
        <f>(Table1[[#This Row],[2024 Market share (%)]]-Table1[[#This Row],[2023 Market share (%)]])*10000</f>
        <v>-44.31513140783742</v>
      </c>
      <c r="M424" s="6">
        <f>_xlfn.RRI(5,Table1[[#This Row],[2019 U.S. Sales ($000)]],Table1[[#This Row],[2024 U.S. Sales ($000)]])</f>
        <v>-1</v>
      </c>
      <c r="N424" s="9">
        <f>(Table1[[#This Row],[2024 Market share (%)]]-Table1[[#This Row],[2019 Market share (%)]])*10000</f>
        <v>-50.444750168433799</v>
      </c>
      <c r="O424" s="6" t="e">
        <f>IF(Table1[[#This Row],[2024 AUV]]=0,"",_xlfn.RRI(5,Table1[[#This Row],[2019 AUV]],Table1[[#This Row],[2024 AUV]]))</f>
        <v>#DIV/0!</v>
      </c>
      <c r="P424" s="6">
        <f>_xlfn.RRI(5,Table1[[#This Row],[2019 U.S. Units]],Table1[[#This Row],[2024 U.S. Units]])</f>
        <v>-1</v>
      </c>
      <c r="Q424" s="5">
        <v>106900</v>
      </c>
      <c r="R424" s="6">
        <f>Table1[[#This Row],[2023 U.S. Sales ($000)]]/SUMIF($E:$E, E424, $Q:$Q)</f>
        <v>4.4315131407837421E-3</v>
      </c>
      <c r="S424" s="8">
        <f>(Table1[[#This Row],[2023 Market share (%)]]-Table1[[#This Row],[2022 Market share (%)]])*10000</f>
        <v>-2.6725360091152828</v>
      </c>
      <c r="T424" s="10">
        <v>-3.2579185520361993E-2</v>
      </c>
      <c r="U424" s="5">
        <v>48</v>
      </c>
      <c r="V424" s="5">
        <f t="shared" si="48"/>
        <v>2227.0833333333335</v>
      </c>
      <c r="W424" s="10">
        <v>-2.0408163265306121E-2</v>
      </c>
      <c r="X424" s="10">
        <f t="shared" si="49"/>
        <v>-1.8520333811541612E-2</v>
      </c>
      <c r="Y424" s="8">
        <f>(Table1[[#This Row],[2023 Market share (%)]]-Table1[[#This Row],[2019 Market share (%)]])*10000</f>
        <v>-6.1296187605963759</v>
      </c>
      <c r="Z424" s="10">
        <f t="shared" si="50"/>
        <v>2.0041882164832936E-2</v>
      </c>
      <c r="AA424" s="10">
        <f t="shared" si="51"/>
        <v>-3.7804541804238534E-2</v>
      </c>
      <c r="AB424" s="5">
        <v>110500</v>
      </c>
      <c r="AC424" s="6">
        <f>Table1[[#This Row],[2022 U.S. Sales ($000)]]/SUMIF($E:$E, E424, $AB:$AB)</f>
        <v>4.6987667416952704E-3</v>
      </c>
      <c r="AD424" s="5">
        <v>49</v>
      </c>
      <c r="AE424" s="5">
        <f t="shared" si="52"/>
        <v>2255.1020408163267</v>
      </c>
      <c r="AF424" s="5">
        <v>102900</v>
      </c>
      <c r="AG424" s="6">
        <f>Table1[[#This Row],[2021 U.S. Sales ($000)]]/SUMIF($E:$E, E424, $AF:$AF)</f>
        <v>4.737546158271334E-3</v>
      </c>
      <c r="AH424" s="5">
        <v>49</v>
      </c>
      <c r="AI424" s="12">
        <f t="shared" si="53"/>
        <v>2100</v>
      </c>
      <c r="AJ424" s="5">
        <v>80600</v>
      </c>
      <c r="AK424" s="6">
        <f>Table1[[#This Row],[2020 U.S. Sales ($000)]]/SUMIF($E:$E, E424, $AJ:$AJ)</f>
        <v>4.9428757491661044E-3</v>
      </c>
      <c r="AL424" s="5">
        <v>49</v>
      </c>
      <c r="AM424" s="5">
        <f t="shared" si="54"/>
        <v>1644.8979591836735</v>
      </c>
      <c r="AN424" s="5">
        <v>115200</v>
      </c>
      <c r="AO424" s="6">
        <f>Table1[[#This Row],[2019 U.S. Sales ($000)]]/SUMIF($E:$E, E424, $AN:$AN)</f>
        <v>5.0444750168433796E-3</v>
      </c>
      <c r="AP424" s="5">
        <v>56</v>
      </c>
      <c r="AQ424" s="5">
        <f t="shared" si="55"/>
        <v>2057.1428571428573</v>
      </c>
    </row>
    <row r="425" spans="1:43" x14ac:dyDescent="0.25">
      <c r="A425" t="s">
        <v>490</v>
      </c>
      <c r="B425">
        <v>5959</v>
      </c>
      <c r="C425" t="s">
        <v>68</v>
      </c>
      <c r="D425" t="s">
        <v>69</v>
      </c>
      <c r="E425" t="s">
        <v>87</v>
      </c>
      <c r="F425" s="5">
        <v>268</v>
      </c>
      <c r="G425" s="5">
        <v>0</v>
      </c>
      <c r="H425" s="6">
        <f>Table1[[#This Row],[2024 U.S. Sales ($000)]]/SUMIF($E:$E, E425, $G:$G)</f>
        <v>0</v>
      </c>
      <c r="I425" s="5">
        <v>0</v>
      </c>
      <c r="J425" s="5" t="e">
        <f>Table1[[#This Row],[2024 U.S. Sales ($000)]]/Table1[[#This Row],[2024 U.S. Units]]</f>
        <v>#DIV/0!</v>
      </c>
      <c r="K425" s="6">
        <f>Table1[[#This Row],[2024 U.S. Units]]/Table1[[#This Row],[2023 U.S. Units]]-1</f>
        <v>-1</v>
      </c>
      <c r="L425" s="8">
        <f>(Table1[[#This Row],[2024 Market share (%)]]-Table1[[#This Row],[2023 Market share (%)]])*10000</f>
        <v>-137.628250916197</v>
      </c>
      <c r="M425" s="6">
        <f>_xlfn.RRI(5,Table1[[#This Row],[2019 U.S. Sales ($000)]],Table1[[#This Row],[2024 U.S. Sales ($000)]])</f>
        <v>-1</v>
      </c>
      <c r="N425" s="9">
        <f>(Table1[[#This Row],[2024 Market share (%)]]-Table1[[#This Row],[2019 Market share (%)]])*10000</f>
        <v>-169.0647297090778</v>
      </c>
      <c r="O425" s="6" t="e">
        <f>IF(Table1[[#This Row],[2024 AUV]]=0,"",_xlfn.RRI(5,Table1[[#This Row],[2019 AUV]],Table1[[#This Row],[2024 AUV]]))</f>
        <v>#DIV/0!</v>
      </c>
      <c r="P425" s="6">
        <f>_xlfn.RRI(5,Table1[[#This Row],[2019 U.S. Units]],Table1[[#This Row],[2024 U.S. Units]])</f>
        <v>-1</v>
      </c>
      <c r="Q425" s="5">
        <v>134200</v>
      </c>
      <c r="R425" s="6">
        <f>Table1[[#This Row],[2023 U.S. Sales ($000)]]/SUMIF($E:$E, E425, $Q:$Q)</f>
        <v>1.3762825091619701E-2</v>
      </c>
      <c r="S425" s="8">
        <f>(Table1[[#This Row],[2023 Market share (%)]]-Table1[[#This Row],[2022 Market share (%)]])*10000</f>
        <v>-12.323175074870838</v>
      </c>
      <c r="T425" s="10">
        <v>-4.4159544159544158E-2</v>
      </c>
      <c r="U425" s="5">
        <v>32</v>
      </c>
      <c r="V425" s="5">
        <f t="shared" si="48"/>
        <v>4193.75</v>
      </c>
      <c r="W425" s="10">
        <v>-3.0303030303030304E-2</v>
      </c>
      <c r="X425" s="10">
        <f t="shared" si="49"/>
        <v>-1.8656622151907221E-2</v>
      </c>
      <c r="Y425" s="8">
        <f>(Table1[[#This Row],[2023 Market share (%)]]-Table1[[#This Row],[2019 Market share (%)]])*10000</f>
        <v>-31.436478792880791</v>
      </c>
      <c r="Z425" s="10">
        <f t="shared" si="50"/>
        <v>-3.6699460471496526E-3</v>
      </c>
      <c r="AA425" s="10">
        <f t="shared" si="51"/>
        <v>-1.504187898909537E-2</v>
      </c>
      <c r="AB425" s="5">
        <v>140400</v>
      </c>
      <c r="AC425" s="6">
        <f>Table1[[#This Row],[2022 U.S. Sales ($000)]]/SUMIF($E:$E, E425, $AB:$AB)</f>
        <v>1.4995142599106785E-2</v>
      </c>
      <c r="AD425" s="5">
        <v>33</v>
      </c>
      <c r="AE425" s="5">
        <f t="shared" si="52"/>
        <v>4254.545454545455</v>
      </c>
      <c r="AF425" s="5">
        <v>134000</v>
      </c>
      <c r="AG425" s="6">
        <f>Table1[[#This Row],[2021 U.S. Sales ($000)]]/SUMIF($E:$E, E425, $AF:$AF)</f>
        <v>1.5711917536352569E-2</v>
      </c>
      <c r="AH425" s="5">
        <v>33</v>
      </c>
      <c r="AI425" s="12">
        <f t="shared" si="53"/>
        <v>4060.6060606060605</v>
      </c>
      <c r="AJ425" s="5">
        <v>113600</v>
      </c>
      <c r="AK425" s="6">
        <f>Table1[[#This Row],[2020 U.S. Sales ($000)]]/SUMIF($E:$E, E425, $AJ:$AJ)</f>
        <v>1.714573862740212E-2</v>
      </c>
      <c r="AL425" s="5">
        <v>34</v>
      </c>
      <c r="AM425" s="5">
        <f t="shared" si="54"/>
        <v>3341.1764705882351</v>
      </c>
      <c r="AN425" s="5">
        <v>144700</v>
      </c>
      <c r="AO425" s="6">
        <f>Table1[[#This Row],[2019 U.S. Sales ($000)]]/SUMIF($E:$E, E425, $AN:$AN)</f>
        <v>1.690647297090778E-2</v>
      </c>
      <c r="AP425" s="5">
        <v>34</v>
      </c>
      <c r="AQ425" s="5">
        <f t="shared" si="55"/>
        <v>4255.8823529411766</v>
      </c>
    </row>
    <row r="426" spans="1:43" x14ac:dyDescent="0.25">
      <c r="A426" t="s">
        <v>491</v>
      </c>
      <c r="B426">
        <v>31346</v>
      </c>
      <c r="C426" t="s">
        <v>44</v>
      </c>
      <c r="D426" t="s">
        <v>56</v>
      </c>
      <c r="E426" t="s">
        <v>59</v>
      </c>
      <c r="F426" s="5">
        <v>475</v>
      </c>
      <c r="G426" s="5">
        <v>0</v>
      </c>
      <c r="H426" s="6">
        <f>Table1[[#This Row],[2024 U.S. Sales ($000)]]/SUMIF($E:$E, E426, $G:$G)</f>
        <v>0</v>
      </c>
      <c r="I426" s="5">
        <v>0</v>
      </c>
      <c r="J426" s="5" t="e">
        <f>Table1[[#This Row],[2024 U.S. Sales ($000)]]/Table1[[#This Row],[2024 U.S. Units]]</f>
        <v>#DIV/0!</v>
      </c>
      <c r="K426" s="6">
        <f>Table1[[#This Row],[2024 U.S. Units]]/Table1[[#This Row],[2023 U.S. Units]]-1</f>
        <v>-1</v>
      </c>
      <c r="L426" s="8">
        <f>(Table1[[#This Row],[2024 Market share (%)]]-Table1[[#This Row],[2023 Market share (%)]])*10000</f>
        <v>-16.529377670638361</v>
      </c>
      <c r="M426" s="6">
        <f>_xlfn.RRI(5,Table1[[#This Row],[2019 U.S. Sales ($000)]],Table1[[#This Row],[2024 U.S. Sales ($000)]])</f>
        <v>-1</v>
      </c>
      <c r="N426" s="9">
        <f>(Table1[[#This Row],[2024 Market share (%)]]-Table1[[#This Row],[2019 Market share (%)]])*10000</f>
        <v>-20.694989167581411</v>
      </c>
      <c r="O426" s="6" t="e">
        <f>IF(Table1[[#This Row],[2024 AUV]]=0,"",_xlfn.RRI(5,Table1[[#This Row],[2019 AUV]],Table1[[#This Row],[2024 AUV]]))</f>
        <v>#DIV/0!</v>
      </c>
      <c r="P426" s="6">
        <f>_xlfn.RRI(5,Table1[[#This Row],[2019 U.S. Units]],Table1[[#This Row],[2024 U.S. Units]])</f>
        <v>-1</v>
      </c>
      <c r="Q426" s="5">
        <v>62433</v>
      </c>
      <c r="R426" s="6">
        <f>Table1[[#This Row],[2023 U.S. Sales ($000)]]/SUMIF($E:$E, E426, $Q:$Q)</f>
        <v>1.6529377670638362E-3</v>
      </c>
      <c r="S426" s="8">
        <f>(Table1[[#This Row],[2023 Market share (%)]]-Table1[[#This Row],[2022 Market share (%)]])*10000</f>
        <v>0.71098268268843023</v>
      </c>
      <c r="T426" s="10">
        <v>0.10305653710247349</v>
      </c>
      <c r="U426" s="5">
        <v>26</v>
      </c>
      <c r="V426" s="5">
        <f t="shared" si="48"/>
        <v>2401.2692307692309</v>
      </c>
      <c r="W426" s="10">
        <v>0.04</v>
      </c>
      <c r="X426" s="10">
        <f t="shared" si="49"/>
        <v>-1.9682225640116013E-2</v>
      </c>
      <c r="Y426" s="8">
        <f>(Table1[[#This Row],[2023 Market share (%)]]-Table1[[#This Row],[2019 Market share (%)]])*10000</f>
        <v>-4.1656114969430487</v>
      </c>
      <c r="Z426" s="10">
        <f t="shared" si="50"/>
        <v>-1.9682225640116013E-2</v>
      </c>
      <c r="AA426" s="10">
        <f t="shared" si="51"/>
        <v>0</v>
      </c>
      <c r="AB426" s="5">
        <v>56600</v>
      </c>
      <c r="AC426" s="6">
        <f>Table1[[#This Row],[2022 U.S. Sales ($000)]]/SUMIF($E:$E, E426, $AB:$AB)</f>
        <v>1.5818394987949932E-3</v>
      </c>
      <c r="AD426" s="5">
        <v>25</v>
      </c>
      <c r="AE426" s="5">
        <f t="shared" si="52"/>
        <v>2264</v>
      </c>
      <c r="AF426" s="5">
        <v>55000</v>
      </c>
      <c r="AG426" s="6">
        <f>Table1[[#This Row],[2021 U.S. Sales ($000)]]/SUMIF($E:$E, E426, $AF:$AF)</f>
        <v>1.6577173039826146E-3</v>
      </c>
      <c r="AH426" s="5">
        <v>25</v>
      </c>
      <c r="AI426" s="12">
        <f t="shared" si="53"/>
        <v>2200</v>
      </c>
      <c r="AJ426" s="5">
        <v>52400</v>
      </c>
      <c r="AK426" s="6">
        <f>Table1[[#This Row],[2020 U.S. Sales ($000)]]/SUMIF($E:$E, E426, $AJ:$AJ)</f>
        <v>1.8399227850419615E-3</v>
      </c>
      <c r="AL426" s="5">
        <v>25</v>
      </c>
      <c r="AM426" s="5">
        <f t="shared" si="54"/>
        <v>2096</v>
      </c>
      <c r="AN426" s="5">
        <v>67600</v>
      </c>
      <c r="AO426" s="6">
        <f>Table1[[#This Row],[2019 U.S. Sales ($000)]]/SUMIF($E:$E, E426, $AN:$AN)</f>
        <v>2.0694989167581411E-3</v>
      </c>
      <c r="AP426" s="5">
        <v>26</v>
      </c>
      <c r="AQ426" s="5">
        <f t="shared" si="55"/>
        <v>2600</v>
      </c>
    </row>
    <row r="427" spans="1:43" x14ac:dyDescent="0.25">
      <c r="A427" t="s">
        <v>492</v>
      </c>
      <c r="B427">
        <v>33367</v>
      </c>
      <c r="C427" t="s">
        <v>44</v>
      </c>
      <c r="D427" t="s">
        <v>45</v>
      </c>
      <c r="E427" t="s">
        <v>112</v>
      </c>
      <c r="F427" s="5">
        <v>489</v>
      </c>
      <c r="G427" s="5">
        <v>0</v>
      </c>
      <c r="H427" s="6">
        <f>Table1[[#This Row],[2024 U.S. Sales ($000)]]/SUMIF($E:$E, E427, $G:$G)</f>
        <v>0</v>
      </c>
      <c r="I427" s="5">
        <v>0</v>
      </c>
      <c r="J427" s="5" t="e">
        <f>Table1[[#This Row],[2024 U.S. Sales ($000)]]/Table1[[#This Row],[2024 U.S. Units]]</f>
        <v>#DIV/0!</v>
      </c>
      <c r="K427" s="6">
        <f>Table1[[#This Row],[2024 U.S. Units]]/Table1[[#This Row],[2023 U.S. Units]]-1</f>
        <v>-1</v>
      </c>
      <c r="L427" s="8">
        <f>(Table1[[#This Row],[2024 Market share (%)]]-Table1[[#This Row],[2023 Market share (%)]])*10000</f>
        <v>-68.637737874170824</v>
      </c>
      <c r="M427" s="6">
        <f>_xlfn.RRI(5,Table1[[#This Row],[2019 U.S. Sales ($000)]],Table1[[#This Row],[2024 U.S. Sales ($000)]])</f>
        <v>-1</v>
      </c>
      <c r="N427" s="9">
        <f>(Table1[[#This Row],[2024 Market share (%)]]-Table1[[#This Row],[2019 Market share (%)]])*10000</f>
        <v>-127.45156377303574</v>
      </c>
      <c r="O427" s="6" t="e">
        <f>IF(Table1[[#This Row],[2024 AUV]]=0,"",_xlfn.RRI(5,Table1[[#This Row],[2019 AUV]],Table1[[#This Row],[2024 AUV]]))</f>
        <v>#DIV/0!</v>
      </c>
      <c r="P427" s="6">
        <f>_xlfn.RRI(5,Table1[[#This Row],[2019 U.S. Units]],Table1[[#This Row],[2024 U.S. Units]])</f>
        <v>-1</v>
      </c>
      <c r="Q427" s="5">
        <v>56800</v>
      </c>
      <c r="R427" s="6">
        <f>Table1[[#This Row],[2023 U.S. Sales ($000)]]/SUMIF($E:$E, E427, $Q:$Q)</f>
        <v>6.863773787417083E-3</v>
      </c>
      <c r="S427" s="8">
        <f>(Table1[[#This Row],[2023 Market share (%)]]-Table1[[#This Row],[2022 Market share (%)]])*10000</f>
        <v>-5.0707744970035584</v>
      </c>
      <c r="T427" s="10">
        <v>4.4117647058823532E-2</v>
      </c>
      <c r="U427" s="5">
        <v>170</v>
      </c>
      <c r="V427" s="5">
        <f t="shared" si="48"/>
        <v>334.11764705882354</v>
      </c>
      <c r="W427" s="10">
        <v>5.9171597633136093E-3</v>
      </c>
      <c r="X427" s="10">
        <f t="shared" si="49"/>
        <v>-2.1266571872398776E-2</v>
      </c>
      <c r="Y427" s="8">
        <f>(Table1[[#This Row],[2023 Market share (%)]]-Table1[[#This Row],[2019 Market share (%)]])*10000</f>
        <v>-58.813825898864913</v>
      </c>
      <c r="Z427" s="10">
        <f t="shared" si="50"/>
        <v>-3.1501187783796736E-2</v>
      </c>
      <c r="AA427" s="10">
        <f t="shared" si="51"/>
        <v>1.056750486660718E-2</v>
      </c>
      <c r="AB427" s="5">
        <v>54400</v>
      </c>
      <c r="AC427" s="6">
        <f>Table1[[#This Row],[2022 U.S. Sales ($000)]]/SUMIF($E:$E, E427, $AB:$AB)</f>
        <v>7.3708512371174388E-3</v>
      </c>
      <c r="AD427" s="5">
        <v>169</v>
      </c>
      <c r="AE427" s="5">
        <f t="shared" si="52"/>
        <v>321.89349112426038</v>
      </c>
      <c r="AF427" s="5">
        <v>52600</v>
      </c>
      <c r="AG427" s="6">
        <f>Table1[[#This Row],[2021 U.S. Sales ($000)]]/SUMIF($E:$E, E427, $AF:$AF)</f>
        <v>8.4080896692391802E-3</v>
      </c>
      <c r="AH427" s="5">
        <v>166</v>
      </c>
      <c r="AI427" s="12">
        <f t="shared" si="53"/>
        <v>316.86746987951807</v>
      </c>
      <c r="AJ427" s="5">
        <v>47300</v>
      </c>
      <c r="AK427" s="6">
        <f>Table1[[#This Row],[2020 U.S. Sales ($000)]]/SUMIF($E:$E, E427, $AJ:$AJ)</f>
        <v>1.0248427960484835E-2</v>
      </c>
      <c r="AL427" s="5">
        <v>163</v>
      </c>
      <c r="AM427" s="5">
        <f t="shared" si="54"/>
        <v>290.18404907975463</v>
      </c>
      <c r="AN427" s="5">
        <v>61900</v>
      </c>
      <c r="AO427" s="6">
        <f>Table1[[#This Row],[2019 U.S. Sales ($000)]]/SUMIF($E:$E, E427, $AN:$AN)</f>
        <v>1.2745156377303574E-2</v>
      </c>
      <c r="AP427" s="5">
        <v>163</v>
      </c>
      <c r="AQ427" s="5">
        <f t="shared" si="55"/>
        <v>379.75460122699388</v>
      </c>
    </row>
    <row r="428" spans="1:43" x14ac:dyDescent="0.25">
      <c r="A428" t="s">
        <v>493</v>
      </c>
      <c r="B428">
        <v>8343</v>
      </c>
      <c r="C428" t="s">
        <v>68</v>
      </c>
      <c r="D428" t="s">
        <v>69</v>
      </c>
      <c r="E428" t="s">
        <v>87</v>
      </c>
      <c r="F428" s="5">
        <v>491</v>
      </c>
      <c r="G428" s="5">
        <v>0</v>
      </c>
      <c r="H428" s="6">
        <f>Table1[[#This Row],[2024 U.S. Sales ($000)]]/SUMIF($E:$E, E428, $G:$G)</f>
        <v>0</v>
      </c>
      <c r="I428" s="5">
        <v>0</v>
      </c>
      <c r="J428" s="5" t="e">
        <f>Table1[[#This Row],[2024 U.S. Sales ($000)]]/Table1[[#This Row],[2024 U.S. Units]]</f>
        <v>#DIV/0!</v>
      </c>
      <c r="K428" s="6">
        <f>Table1[[#This Row],[2024 U.S. Units]]/Table1[[#This Row],[2023 U.S. Units]]-1</f>
        <v>-1</v>
      </c>
      <c r="L428" s="8">
        <f>(Table1[[#This Row],[2024 Market share (%)]]-Table1[[#This Row],[2023 Market share (%)]])*10000</f>
        <v>-58.045894201615127</v>
      </c>
      <c r="M428" s="6">
        <f>_xlfn.RRI(5,Table1[[#This Row],[2019 U.S. Sales ($000)]],Table1[[#This Row],[2024 U.S. Sales ($000)]])</f>
        <v>-1</v>
      </c>
      <c r="N428" s="9">
        <f>(Table1[[#This Row],[2024 Market share (%)]]-Table1[[#This Row],[2019 Market share (%)]])*10000</f>
        <v>-72.322783476101691</v>
      </c>
      <c r="O428" s="6" t="e">
        <f>IF(Table1[[#This Row],[2024 AUV]]=0,"",_xlfn.RRI(5,Table1[[#This Row],[2019 AUV]],Table1[[#This Row],[2024 AUV]]))</f>
        <v>#DIV/0!</v>
      </c>
      <c r="P428" s="6">
        <f>_xlfn.RRI(5,Table1[[#This Row],[2019 U.S. Units]],Table1[[#This Row],[2024 U.S. Units]])</f>
        <v>-1</v>
      </c>
      <c r="Q428" s="5">
        <v>56600</v>
      </c>
      <c r="R428" s="6">
        <f>Table1[[#This Row],[2023 U.S. Sales ($000)]]/SUMIF($E:$E, E428, $Q:$Q)</f>
        <v>5.804589420161513E-3</v>
      </c>
      <c r="S428" s="8">
        <f>(Table1[[#This Row],[2023 Market share (%)]]-Table1[[#This Row],[2022 Market share (%)]])*10000</f>
        <v>1.547101930051819</v>
      </c>
      <c r="T428" s="10">
        <v>6.9943289224952743E-2</v>
      </c>
      <c r="U428" s="5">
        <v>34</v>
      </c>
      <c r="V428" s="5">
        <f t="shared" si="48"/>
        <v>1664.7058823529412</v>
      </c>
      <c r="W428" s="10">
        <v>6.25E-2</v>
      </c>
      <c r="X428" s="10">
        <f t="shared" si="49"/>
        <v>-2.2129272955763724E-2</v>
      </c>
      <c r="Y428" s="8">
        <f>(Table1[[#This Row],[2023 Market share (%)]]-Table1[[#This Row],[2019 Market share (%)]])*10000</f>
        <v>-14.276889274486567</v>
      </c>
      <c r="Z428" s="10">
        <f t="shared" si="50"/>
        <v>-8.0555737186663867E-3</v>
      </c>
      <c r="AA428" s="10">
        <f t="shared" si="51"/>
        <v>-1.4187991649751708E-2</v>
      </c>
      <c r="AB428" s="5">
        <v>52900</v>
      </c>
      <c r="AC428" s="6">
        <f>Table1[[#This Row],[2022 U.S. Sales ($000)]]/SUMIF($E:$E, E428, $AB:$AB)</f>
        <v>5.6498792271563311E-3</v>
      </c>
      <c r="AD428" s="5">
        <v>32</v>
      </c>
      <c r="AE428" s="5">
        <f t="shared" si="52"/>
        <v>1653.125</v>
      </c>
      <c r="AF428" s="5">
        <v>56300</v>
      </c>
      <c r="AG428" s="6">
        <f>Table1[[#This Row],[2021 U.S. Sales ($000)]]/SUMIF($E:$E, E428, $AF:$AF)</f>
        <v>6.6013504275869378E-3</v>
      </c>
      <c r="AH428" s="5">
        <v>33</v>
      </c>
      <c r="AI428" s="12">
        <f t="shared" si="53"/>
        <v>1706.060606060606</v>
      </c>
      <c r="AJ428" s="5">
        <v>47400</v>
      </c>
      <c r="AK428" s="6">
        <f>Table1[[#This Row],[2020 U.S. Sales ($000)]]/SUMIF($E:$E, E428, $AJ:$AJ)</f>
        <v>7.1541198146026453E-3</v>
      </c>
      <c r="AL428" s="5">
        <v>34</v>
      </c>
      <c r="AM428" s="5">
        <f t="shared" si="54"/>
        <v>1394.1176470588234</v>
      </c>
      <c r="AN428" s="5">
        <v>61900</v>
      </c>
      <c r="AO428" s="6">
        <f>Table1[[#This Row],[2019 U.S. Sales ($000)]]/SUMIF($E:$E, E428, $AN:$AN)</f>
        <v>7.2322783476101698E-3</v>
      </c>
      <c r="AP428" s="5">
        <v>36</v>
      </c>
      <c r="AQ428" s="5">
        <f t="shared" si="55"/>
        <v>1719.4444444444443</v>
      </c>
    </row>
    <row r="429" spans="1:43" x14ac:dyDescent="0.25">
      <c r="A429" t="s">
        <v>494</v>
      </c>
      <c r="B429">
        <v>2672</v>
      </c>
      <c r="C429" t="s">
        <v>68</v>
      </c>
      <c r="D429" t="s">
        <v>133</v>
      </c>
      <c r="E429" t="s">
        <v>70</v>
      </c>
      <c r="F429" s="5">
        <v>497</v>
      </c>
      <c r="G429" s="5">
        <v>0</v>
      </c>
      <c r="H429" s="6">
        <f>Table1[[#This Row],[2024 U.S. Sales ($000)]]/SUMIF($E:$E, E429, $G:$G)</f>
        <v>0</v>
      </c>
      <c r="I429" s="5">
        <v>0</v>
      </c>
      <c r="J429" s="5" t="e">
        <f>Table1[[#This Row],[2024 U.S. Sales ($000)]]/Table1[[#This Row],[2024 U.S. Units]]</f>
        <v>#DIV/0!</v>
      </c>
      <c r="K429" s="6">
        <f>Table1[[#This Row],[2024 U.S. Units]]/Table1[[#This Row],[2023 U.S. Units]]-1</f>
        <v>-1</v>
      </c>
      <c r="L429" s="8">
        <f>(Table1[[#This Row],[2024 Market share (%)]]-Table1[[#This Row],[2023 Market share (%)]])*10000</f>
        <v>-34.387363439417825</v>
      </c>
      <c r="M429" s="6">
        <f>_xlfn.RRI(5,Table1[[#This Row],[2019 U.S. Sales ($000)]],Table1[[#This Row],[2024 U.S. Sales ($000)]])</f>
        <v>-1</v>
      </c>
      <c r="N429" s="9">
        <f>(Table1[[#This Row],[2024 Market share (%)]]-Table1[[#This Row],[2019 Market share (%)]])*10000</f>
        <v>-47.930812470337322</v>
      </c>
      <c r="O429" s="6" t="e">
        <f>IF(Table1[[#This Row],[2024 AUV]]=0,"",_xlfn.RRI(5,Table1[[#This Row],[2019 AUV]],Table1[[#This Row],[2024 AUV]]))</f>
        <v>#DIV/0!</v>
      </c>
      <c r="P429" s="6">
        <f>_xlfn.RRI(5,Table1[[#This Row],[2019 U.S. Units]],Table1[[#This Row],[2024 U.S. Units]])</f>
        <v>-1</v>
      </c>
      <c r="Q429" s="5">
        <v>54900</v>
      </c>
      <c r="R429" s="6">
        <f>Table1[[#This Row],[2023 U.S. Sales ($000)]]/SUMIF($E:$E, E429, $Q:$Q)</f>
        <v>3.4387363439417826E-3</v>
      </c>
      <c r="S429" s="8">
        <f>(Table1[[#This Row],[2023 Market share (%)]]-Table1[[#This Row],[2022 Market share (%)]])*10000</f>
        <v>-0.87897051171424279</v>
      </c>
      <c r="T429" s="10">
        <v>6.3953488372093026E-2</v>
      </c>
      <c r="U429" s="5">
        <v>12</v>
      </c>
      <c r="V429" s="5">
        <f t="shared" si="48"/>
        <v>4575</v>
      </c>
      <c r="W429" s="10">
        <v>0</v>
      </c>
      <c r="X429" s="10">
        <f t="shared" si="49"/>
        <v>-2.2370116942600937E-2</v>
      </c>
      <c r="Y429" s="8">
        <f>(Table1[[#This Row],[2023 Market share (%)]]-Table1[[#This Row],[2019 Market share (%)]])*10000</f>
        <v>-13.543449030919497</v>
      </c>
      <c r="Z429" s="10">
        <f t="shared" si="50"/>
        <v>-2.6100342602288773E-3</v>
      </c>
      <c r="AA429" s="10">
        <f t="shared" si="51"/>
        <v>-1.9811792138610285E-2</v>
      </c>
      <c r="AB429" s="5">
        <v>51600</v>
      </c>
      <c r="AC429" s="6">
        <f>Table1[[#This Row],[2022 U.S. Sales ($000)]]/SUMIF($E:$E, E429, $AB:$AB)</f>
        <v>3.5266333951132068E-3</v>
      </c>
      <c r="AD429" s="5">
        <v>12</v>
      </c>
      <c r="AE429" s="5">
        <f t="shared" si="52"/>
        <v>4300</v>
      </c>
      <c r="AF429" s="5">
        <v>48000</v>
      </c>
      <c r="AG429" s="6">
        <f>Table1[[#This Row],[2021 U.S. Sales ($000)]]/SUMIF($E:$E, E429, $AF:$AF)</f>
        <v>3.6930306740819646E-3</v>
      </c>
      <c r="AH429" s="5">
        <v>12</v>
      </c>
      <c r="AI429" s="12">
        <f t="shared" si="53"/>
        <v>4000</v>
      </c>
      <c r="AJ429" s="5">
        <v>34600</v>
      </c>
      <c r="AK429" s="6">
        <f>Table1[[#This Row],[2020 U.S. Sales ($000)]]/SUMIF($E:$E, E429, $AJ:$AJ)</f>
        <v>3.6841817208791523E-3</v>
      </c>
      <c r="AL429" s="5">
        <v>12</v>
      </c>
      <c r="AM429" s="5">
        <f t="shared" si="54"/>
        <v>2883.3333333333335</v>
      </c>
      <c r="AN429" s="5">
        <v>60100</v>
      </c>
      <c r="AO429" s="6">
        <f>Table1[[#This Row],[2019 U.S. Sales ($000)]]/SUMIF($E:$E, E429, $AN:$AN)</f>
        <v>4.7930812470337323E-3</v>
      </c>
      <c r="AP429" s="5">
        <v>13</v>
      </c>
      <c r="AQ429" s="5">
        <f t="shared" si="55"/>
        <v>4623.0769230769229</v>
      </c>
    </row>
    <row r="430" spans="1:43" x14ac:dyDescent="0.25">
      <c r="A430" t="s">
        <v>495</v>
      </c>
      <c r="B430">
        <v>31591</v>
      </c>
      <c r="C430" t="s">
        <v>68</v>
      </c>
      <c r="D430" t="s">
        <v>69</v>
      </c>
      <c r="E430" t="s">
        <v>79</v>
      </c>
      <c r="F430" s="5">
        <v>356</v>
      </c>
      <c r="G430" s="5">
        <v>0</v>
      </c>
      <c r="H430" s="6">
        <f>Table1[[#This Row],[2024 U.S. Sales ($000)]]/SUMIF($E:$E, E430, $G:$G)</f>
        <v>0</v>
      </c>
      <c r="I430" s="5">
        <v>0</v>
      </c>
      <c r="J430" s="5" t="e">
        <f>Table1[[#This Row],[2024 U.S. Sales ($000)]]/Table1[[#This Row],[2024 U.S. Units]]</f>
        <v>#DIV/0!</v>
      </c>
      <c r="K430" s="6">
        <f>Table1[[#This Row],[2024 U.S. Units]]/Table1[[#This Row],[2023 U.S. Units]]-1</f>
        <v>-1</v>
      </c>
      <c r="L430" s="8">
        <f>(Table1[[#This Row],[2024 Market share (%)]]-Table1[[#This Row],[2023 Market share (%)]])*10000</f>
        <v>-38.967468216433275</v>
      </c>
      <c r="M430" s="6">
        <f>_xlfn.RRI(5,Table1[[#This Row],[2019 U.S. Sales ($000)]],Table1[[#This Row],[2024 U.S. Sales ($000)]])</f>
        <v>-1</v>
      </c>
      <c r="N430" s="9">
        <f>(Table1[[#This Row],[2024 Market share (%)]]-Table1[[#This Row],[2019 Market share (%)]])*10000</f>
        <v>-45.10251100129063</v>
      </c>
      <c r="O430" s="6" t="e">
        <f>IF(Table1[[#This Row],[2024 AUV]]=0,"",_xlfn.RRI(5,Table1[[#This Row],[2019 AUV]],Table1[[#This Row],[2024 AUV]]))</f>
        <v>#DIV/0!</v>
      </c>
      <c r="P430" s="6">
        <f>_xlfn.RRI(5,Table1[[#This Row],[2019 U.S. Units]],Table1[[#This Row],[2024 U.S. Units]])</f>
        <v>-1</v>
      </c>
      <c r="Q430" s="5">
        <v>94000</v>
      </c>
      <c r="R430" s="6">
        <f>Table1[[#This Row],[2023 U.S. Sales ($000)]]/SUMIF($E:$E, E430, $Q:$Q)</f>
        <v>3.8967468216433276E-3</v>
      </c>
      <c r="S430" s="8">
        <f>(Table1[[#This Row],[2023 Market share (%)]]-Table1[[#This Row],[2022 Market share (%)]])*10000</f>
        <v>2.3128353536158763</v>
      </c>
      <c r="T430" s="10">
        <v>9.0487238979118326E-2</v>
      </c>
      <c r="U430" s="5">
        <v>23</v>
      </c>
      <c r="V430" s="5">
        <f t="shared" si="48"/>
        <v>4086.9565217391305</v>
      </c>
      <c r="W430" s="10">
        <v>0</v>
      </c>
      <c r="X430" s="10">
        <f t="shared" si="49"/>
        <v>-2.2599274127585334E-2</v>
      </c>
      <c r="Y430" s="8">
        <f>(Table1[[#This Row],[2023 Market share (%)]]-Table1[[#This Row],[2019 Market share (%)]])*10000</f>
        <v>-6.1350427848573528</v>
      </c>
      <c r="Z430" s="10">
        <f t="shared" si="50"/>
        <v>-5.6160394861351937E-2</v>
      </c>
      <c r="AA430" s="10">
        <f t="shared" si="51"/>
        <v>3.5558076341622114E-2</v>
      </c>
      <c r="AB430" s="5">
        <v>86200</v>
      </c>
      <c r="AC430" s="6">
        <f>Table1[[#This Row],[2022 U.S. Sales ($000)]]/SUMIF($E:$E, E430, $AB:$AB)</f>
        <v>3.6654632862817399E-3</v>
      </c>
      <c r="AD430" s="5">
        <v>23</v>
      </c>
      <c r="AE430" s="5">
        <f t="shared" si="52"/>
        <v>3747.8260869565215</v>
      </c>
      <c r="AF430" s="5">
        <v>74000</v>
      </c>
      <c r="AG430" s="6">
        <f>Table1[[#This Row],[2021 U.S. Sales ($000)]]/SUMIF($E:$E, E430, $AF:$AF)</f>
        <v>3.4069816881640304E-3</v>
      </c>
      <c r="AH430" s="5">
        <v>20</v>
      </c>
      <c r="AI430" s="12">
        <f t="shared" si="53"/>
        <v>3700</v>
      </c>
      <c r="AJ430" s="5">
        <v>56000</v>
      </c>
      <c r="AK430" s="6">
        <f>Table1[[#This Row],[2020 U.S. Sales ($000)]]/SUMIF($E:$E, E430, $AJ:$AJ)</f>
        <v>3.4342561036389808E-3</v>
      </c>
      <c r="AL430" s="5">
        <v>20</v>
      </c>
      <c r="AM430" s="5">
        <f t="shared" si="54"/>
        <v>2800</v>
      </c>
      <c r="AN430" s="5">
        <v>103000</v>
      </c>
      <c r="AO430" s="6">
        <f>Table1[[#This Row],[2019 U.S. Sales ($000)]]/SUMIF($E:$E, E430, $AN:$AN)</f>
        <v>4.5102511001290629E-3</v>
      </c>
      <c r="AP430" s="5">
        <v>20</v>
      </c>
      <c r="AQ430" s="5">
        <f t="shared" si="55"/>
        <v>5150</v>
      </c>
    </row>
    <row r="431" spans="1:43" x14ac:dyDescent="0.25">
      <c r="A431" t="s">
        <v>496</v>
      </c>
      <c r="B431">
        <v>36547</v>
      </c>
      <c r="C431" t="s">
        <v>44</v>
      </c>
      <c r="D431" t="s">
        <v>56</v>
      </c>
      <c r="E431" t="s">
        <v>59</v>
      </c>
      <c r="F431" s="5">
        <v>259</v>
      </c>
      <c r="G431" s="5">
        <v>0</v>
      </c>
      <c r="H431" s="6">
        <f>Table1[[#This Row],[2024 U.S. Sales ($000)]]/SUMIF($E:$E, E431, $G:$G)</f>
        <v>0</v>
      </c>
      <c r="I431" s="5">
        <v>0</v>
      </c>
      <c r="J431" s="5" t="e">
        <f>Table1[[#This Row],[2024 U.S. Sales ($000)]]/Table1[[#This Row],[2024 U.S. Units]]</f>
        <v>#DIV/0!</v>
      </c>
      <c r="K431" s="6">
        <f>Table1[[#This Row],[2024 U.S. Units]]/Table1[[#This Row],[2023 U.S. Units]]-1</f>
        <v>-1</v>
      </c>
      <c r="L431" s="8">
        <f>(Table1[[#This Row],[2024 Market share (%)]]-Table1[[#This Row],[2023 Market share (%)]])*10000</f>
        <v>-37.674474116762589</v>
      </c>
      <c r="M431" s="6">
        <f>_xlfn.RRI(5,Table1[[#This Row],[2019 U.S. Sales ($000)]],Table1[[#This Row],[2024 U.S. Sales ($000)]])</f>
        <v>-1</v>
      </c>
      <c r="N431" s="9">
        <f>(Table1[[#This Row],[2024 Market share (%)]]-Table1[[#This Row],[2019 Market share (%)]])*10000</f>
        <v>-48.094420092115968</v>
      </c>
      <c r="O431" s="6" t="e">
        <f>IF(Table1[[#This Row],[2024 AUV]]=0,"",_xlfn.RRI(5,Table1[[#This Row],[2019 AUV]],Table1[[#This Row],[2024 AUV]]))</f>
        <v>#DIV/0!</v>
      </c>
      <c r="P431" s="6">
        <f>_xlfn.RRI(5,Table1[[#This Row],[2019 U.S. Units]],Table1[[#This Row],[2024 U.S. Units]])</f>
        <v>-1</v>
      </c>
      <c r="Q431" s="5">
        <v>142300</v>
      </c>
      <c r="R431" s="6">
        <f>Table1[[#This Row],[2023 U.S. Sales ($000)]]/SUMIF($E:$E, E431, $Q:$Q)</f>
        <v>3.7674474116762592E-3</v>
      </c>
      <c r="S431" s="8">
        <f>(Table1[[#This Row],[2023 Market share (%)]]-Table1[[#This Row],[2022 Market share (%)]])*10000</f>
        <v>-4.19117198208723</v>
      </c>
      <c r="T431" s="10">
        <v>-5.0066755674232306E-2</v>
      </c>
      <c r="U431" s="5">
        <v>156</v>
      </c>
      <c r="V431" s="5">
        <f t="shared" si="48"/>
        <v>912.17948717948718</v>
      </c>
      <c r="W431" s="10">
        <v>-3.7037037037037035E-2</v>
      </c>
      <c r="X431" s="10">
        <f t="shared" si="49"/>
        <v>-2.4432825852228834E-2</v>
      </c>
      <c r="Y431" s="8">
        <f>(Table1[[#This Row],[2023 Market share (%)]]-Table1[[#This Row],[2019 Market share (%)]])*10000</f>
        <v>-10.419945975353373</v>
      </c>
      <c r="Z431" s="10">
        <f t="shared" si="50"/>
        <v>2.5668516869989944E-3</v>
      </c>
      <c r="AA431" s="10">
        <f t="shared" si="51"/>
        <v>-2.6930550809450837E-2</v>
      </c>
      <c r="AB431" s="5">
        <v>149800</v>
      </c>
      <c r="AC431" s="6">
        <f>Table1[[#This Row],[2022 U.S. Sales ($000)]]/SUMIF($E:$E, E431, $AB:$AB)</f>
        <v>4.1865646098849822E-3</v>
      </c>
      <c r="AD431" s="5">
        <v>162</v>
      </c>
      <c r="AE431" s="5">
        <f t="shared" si="52"/>
        <v>924.69135802469134</v>
      </c>
      <c r="AF431" s="5">
        <v>152600</v>
      </c>
      <c r="AG431" s="6">
        <f>Table1[[#This Row],[2021 U.S. Sales ($000)]]/SUMIF($E:$E, E431, $AF:$AF)</f>
        <v>4.5994120106863092E-3</v>
      </c>
      <c r="AH431" s="5">
        <v>169</v>
      </c>
      <c r="AI431" s="12">
        <f t="shared" si="53"/>
        <v>902.95857988165676</v>
      </c>
      <c r="AJ431" s="5">
        <v>134100</v>
      </c>
      <c r="AK431" s="6">
        <f>Table1[[#This Row],[2020 U.S. Sales ($000)]]/SUMIF($E:$E, E431, $AJ:$AJ)</f>
        <v>4.7086573563764698E-3</v>
      </c>
      <c r="AL431" s="5">
        <v>172</v>
      </c>
      <c r="AM431" s="5">
        <f t="shared" si="54"/>
        <v>779.65116279069764</v>
      </c>
      <c r="AN431" s="5">
        <v>157100</v>
      </c>
      <c r="AO431" s="6">
        <f>Table1[[#This Row],[2019 U.S. Sales ($000)]]/SUMIF($E:$E, E431, $AN:$AN)</f>
        <v>4.8094420092115965E-3</v>
      </c>
      <c r="AP431" s="5">
        <v>174</v>
      </c>
      <c r="AQ431" s="5">
        <f t="shared" si="55"/>
        <v>902.87356321839081</v>
      </c>
    </row>
    <row r="432" spans="1:43" x14ac:dyDescent="0.25">
      <c r="A432" t="s">
        <v>497</v>
      </c>
      <c r="B432">
        <v>5208</v>
      </c>
      <c r="C432" t="s">
        <v>68</v>
      </c>
      <c r="D432" t="s">
        <v>69</v>
      </c>
      <c r="E432" t="s">
        <v>52</v>
      </c>
      <c r="F432" s="5">
        <v>278</v>
      </c>
      <c r="G432" s="5">
        <v>0</v>
      </c>
      <c r="H432" s="6">
        <f>Table1[[#This Row],[2024 U.S. Sales ($000)]]/SUMIF($E:$E, E432, $G:$G)</f>
        <v>0</v>
      </c>
      <c r="I432" s="5">
        <v>0</v>
      </c>
      <c r="J432" s="5" t="e">
        <f>Table1[[#This Row],[2024 U.S. Sales ($000)]]/Table1[[#This Row],[2024 U.S. Units]]</f>
        <v>#DIV/0!</v>
      </c>
      <c r="K432" s="6">
        <f>Table1[[#This Row],[2024 U.S. Units]]/Table1[[#This Row],[2023 U.S. Units]]-1</f>
        <v>-1</v>
      </c>
      <c r="L432" s="8">
        <f>(Table1[[#This Row],[2024 Market share (%)]]-Table1[[#This Row],[2023 Market share (%)]])*10000</f>
        <v>-39.167279461319353</v>
      </c>
      <c r="M432" s="6">
        <f>_xlfn.RRI(5,Table1[[#This Row],[2019 U.S. Sales ($000)]],Table1[[#This Row],[2024 U.S. Sales ($000)]])</f>
        <v>-1</v>
      </c>
      <c r="N432" s="9">
        <f>(Table1[[#This Row],[2024 Market share (%)]]-Table1[[#This Row],[2019 Market share (%)]])*10000</f>
        <v>-59.2753312323659</v>
      </c>
      <c r="O432" s="6" t="e">
        <f>IF(Table1[[#This Row],[2024 AUV]]=0,"",_xlfn.RRI(5,Table1[[#This Row],[2019 AUV]],Table1[[#This Row],[2024 AUV]]))</f>
        <v>#DIV/0!</v>
      </c>
      <c r="P432" s="6">
        <f>_xlfn.RRI(5,Table1[[#This Row],[2019 U.S. Units]],Table1[[#This Row],[2024 U.S. Units]])</f>
        <v>-1</v>
      </c>
      <c r="Q432" s="5">
        <v>129600</v>
      </c>
      <c r="R432" s="6">
        <f>Table1[[#This Row],[2023 U.S. Sales ($000)]]/SUMIF($E:$E, E432, $Q:$Q)</f>
        <v>3.916727946131935E-3</v>
      </c>
      <c r="S432" s="8">
        <f>(Table1[[#This Row],[2023 Market share (%)]]-Table1[[#This Row],[2022 Market share (%)]])*10000</f>
        <v>-5.2060312204953858</v>
      </c>
      <c r="T432" s="10">
        <v>-3.5714285714285712E-2</v>
      </c>
      <c r="U432" s="5">
        <v>23</v>
      </c>
      <c r="V432" s="5">
        <f t="shared" si="48"/>
        <v>5634.782608695652</v>
      </c>
      <c r="W432" s="10">
        <v>-4.1666666666666664E-2</v>
      </c>
      <c r="X432" s="10">
        <f t="shared" si="49"/>
        <v>-2.5488298384366725E-2</v>
      </c>
      <c r="Y432" s="8">
        <f>(Table1[[#This Row],[2023 Market share (%)]]-Table1[[#This Row],[2019 Market share (%)]])*10000</f>
        <v>-20.108051771046547</v>
      </c>
      <c r="Z432" s="10">
        <f t="shared" si="50"/>
        <v>-4.9610034280599402E-3</v>
      </c>
      <c r="AA432" s="10">
        <f t="shared" si="51"/>
        <v>-2.0629638664440675E-2</v>
      </c>
      <c r="AB432" s="5">
        <v>134400</v>
      </c>
      <c r="AC432" s="6">
        <f>Table1[[#This Row],[2022 U.S. Sales ($000)]]/SUMIF($E:$E, E432, $AB:$AB)</f>
        <v>4.4373310681814736E-3</v>
      </c>
      <c r="AD432" s="5">
        <v>24</v>
      </c>
      <c r="AE432" s="5">
        <f t="shared" si="52"/>
        <v>5600</v>
      </c>
      <c r="AF432" s="5">
        <v>126000</v>
      </c>
      <c r="AG432" s="6">
        <f>Table1[[#This Row],[2021 U.S. Sales ($000)]]/SUMIF($E:$E, E432, $AF:$AF)</f>
        <v>4.5969872367203251E-3</v>
      </c>
      <c r="AH432" s="5">
        <v>24</v>
      </c>
      <c r="AI432" s="12">
        <f t="shared" si="53"/>
        <v>5250</v>
      </c>
      <c r="AJ432" s="5">
        <v>99200</v>
      </c>
      <c r="AK432" s="6">
        <f>Table1[[#This Row],[2020 U.S. Sales ($000)]]/SUMIF($E:$E, E432, $AJ:$AJ)</f>
        <v>4.2084476356054525E-3</v>
      </c>
      <c r="AL432" s="5">
        <v>24</v>
      </c>
      <c r="AM432" s="5">
        <f t="shared" si="54"/>
        <v>4133.333333333333</v>
      </c>
      <c r="AN432" s="5">
        <v>143700</v>
      </c>
      <c r="AO432" s="6">
        <f>Table1[[#This Row],[2019 U.S. Sales ($000)]]/SUMIF($E:$E, E432, $AN:$AN)</f>
        <v>5.9275331232365898E-3</v>
      </c>
      <c r="AP432" s="5">
        <v>25</v>
      </c>
      <c r="AQ432" s="5">
        <f t="shared" si="55"/>
        <v>5748</v>
      </c>
    </row>
    <row r="433" spans="1:43" x14ac:dyDescent="0.25">
      <c r="A433" t="s">
        <v>498</v>
      </c>
      <c r="B433">
        <v>1127</v>
      </c>
      <c r="C433" t="s">
        <v>68</v>
      </c>
      <c r="D433" t="s">
        <v>133</v>
      </c>
      <c r="E433" t="s">
        <v>70</v>
      </c>
      <c r="F433" s="5">
        <v>362</v>
      </c>
      <c r="G433" s="5">
        <v>0</v>
      </c>
      <c r="H433" s="6">
        <f>Table1[[#This Row],[2024 U.S. Sales ($000)]]/SUMIF($E:$E, E433, $G:$G)</f>
        <v>0</v>
      </c>
      <c r="I433" s="5">
        <v>0</v>
      </c>
      <c r="J433" s="5" t="e">
        <f>Table1[[#This Row],[2024 U.S. Sales ($000)]]/Table1[[#This Row],[2024 U.S. Units]]</f>
        <v>#DIV/0!</v>
      </c>
      <c r="K433" s="6">
        <f>Table1[[#This Row],[2024 U.S. Units]]/Table1[[#This Row],[2023 U.S. Units]]-1</f>
        <v>-1</v>
      </c>
      <c r="L433" s="8">
        <f>(Table1[[#This Row],[2024 Market share (%)]]-Table1[[#This Row],[2023 Market share (%)]])*10000</f>
        <v>-57.374908762307342</v>
      </c>
      <c r="M433" s="6">
        <f>_xlfn.RRI(5,Table1[[#This Row],[2019 U.S. Sales ($000)]],Table1[[#This Row],[2024 U.S. Sales ($000)]])</f>
        <v>-1</v>
      </c>
      <c r="N433" s="9">
        <f>(Table1[[#This Row],[2024 Market share (%)]]-Table1[[#This Row],[2019 Market share (%)]])*10000</f>
        <v>-81.187299658574702</v>
      </c>
      <c r="O433" s="6" t="e">
        <f>IF(Table1[[#This Row],[2024 AUV]]=0,"",_xlfn.RRI(5,Table1[[#This Row],[2019 AUV]],Table1[[#This Row],[2024 AUV]]))</f>
        <v>#DIV/0!</v>
      </c>
      <c r="P433" s="6">
        <f>_xlfn.RRI(5,Table1[[#This Row],[2019 U.S. Units]],Table1[[#This Row],[2024 U.S. Units]])</f>
        <v>-1</v>
      </c>
      <c r="Q433" s="5">
        <v>91600</v>
      </c>
      <c r="R433" s="6">
        <f>Table1[[#This Row],[2023 U.S. Sales ($000)]]/SUMIF($E:$E, E433, $Q:$Q)</f>
        <v>5.7374908762307343E-3</v>
      </c>
      <c r="S433" s="8">
        <f>(Table1[[#This Row],[2023 Market share (%)]]-Table1[[#This Row],[2022 Market share (%)]])*10000</f>
        <v>-0.99224083898488169</v>
      </c>
      <c r="T433" s="10">
        <v>7.2599531615925056E-2</v>
      </c>
      <c r="U433" s="5">
        <v>7</v>
      </c>
      <c r="V433" s="5">
        <f t="shared" si="48"/>
        <v>13085.714285714286</v>
      </c>
      <c r="W433" s="10">
        <v>0</v>
      </c>
      <c r="X433" s="10">
        <f t="shared" si="49"/>
        <v>-2.6049412464049793E-2</v>
      </c>
      <c r="Y433" s="8">
        <f>(Table1[[#This Row],[2023 Market share (%)]]-Table1[[#This Row],[2019 Market share (%)]])*10000</f>
        <v>-23.81239089626736</v>
      </c>
      <c r="Z433" s="10">
        <f t="shared" si="50"/>
        <v>7.0126140737991616E-3</v>
      </c>
      <c r="AA433" s="10">
        <f t="shared" si="51"/>
        <v>-3.2831789866165306E-2</v>
      </c>
      <c r="AB433" s="5">
        <v>85400</v>
      </c>
      <c r="AC433" s="6">
        <f>Table1[[#This Row],[2022 U.S. Sales ($000)]]/SUMIF($E:$E, E433, $AB:$AB)</f>
        <v>5.8367149601292224E-3</v>
      </c>
      <c r="AD433" s="5">
        <v>7</v>
      </c>
      <c r="AE433" s="5">
        <f t="shared" si="52"/>
        <v>12200</v>
      </c>
      <c r="AF433" s="5">
        <v>71000</v>
      </c>
      <c r="AG433" s="6">
        <f>Table1[[#This Row],[2021 U.S. Sales ($000)]]/SUMIF($E:$E, E433, $AF:$AF)</f>
        <v>5.4626078720795722E-3</v>
      </c>
      <c r="AH433" s="5">
        <v>7</v>
      </c>
      <c r="AI433" s="12">
        <f t="shared" si="53"/>
        <v>10142.857142857143</v>
      </c>
      <c r="AJ433" s="5">
        <v>44800</v>
      </c>
      <c r="AK433" s="6">
        <f>Table1[[#This Row],[2020 U.S. Sales ($000)]]/SUMIF($E:$E, E433, $AJ:$AJ)</f>
        <v>4.7702699738550874E-3</v>
      </c>
      <c r="AL433" s="5">
        <v>7</v>
      </c>
      <c r="AM433" s="5">
        <f t="shared" si="54"/>
        <v>6400</v>
      </c>
      <c r="AN433" s="5">
        <v>101800</v>
      </c>
      <c r="AO433" s="6">
        <f>Table1[[#This Row],[2019 U.S. Sales ($000)]]/SUMIF($E:$E, E433, $AN:$AN)</f>
        <v>8.1187299658574703E-3</v>
      </c>
      <c r="AP433" s="5">
        <v>8</v>
      </c>
      <c r="AQ433" s="5">
        <f t="shared" si="55"/>
        <v>12725</v>
      </c>
    </row>
    <row r="434" spans="1:43" x14ac:dyDescent="0.25">
      <c r="A434" t="s">
        <v>499</v>
      </c>
      <c r="B434">
        <v>2566</v>
      </c>
      <c r="C434" t="s">
        <v>44</v>
      </c>
      <c r="D434" t="s">
        <v>45</v>
      </c>
      <c r="E434" t="s">
        <v>52</v>
      </c>
      <c r="F434" s="5">
        <v>451</v>
      </c>
      <c r="G434" s="5">
        <v>0</v>
      </c>
      <c r="H434" s="6">
        <f>Table1[[#This Row],[2024 U.S. Sales ($000)]]/SUMIF($E:$E, E434, $G:$G)</f>
        <v>0</v>
      </c>
      <c r="I434" s="5">
        <v>0</v>
      </c>
      <c r="J434" s="5" t="e">
        <f>Table1[[#This Row],[2024 U.S. Sales ($000)]]/Table1[[#This Row],[2024 U.S. Units]]</f>
        <v>#DIV/0!</v>
      </c>
      <c r="K434" s="6">
        <f>Table1[[#This Row],[2024 U.S. Units]]/Table1[[#This Row],[2023 U.S. Units]]-1</f>
        <v>-1</v>
      </c>
      <c r="L434" s="8">
        <f>(Table1[[#This Row],[2024 Market share (%)]]-Table1[[#This Row],[2023 Market share (%)]])*10000</f>
        <v>-20.308959720684104</v>
      </c>
      <c r="M434" s="6">
        <f>_xlfn.RRI(5,Table1[[#This Row],[2019 U.S. Sales ($000)]],Table1[[#This Row],[2024 U.S. Sales ($000)]])</f>
        <v>-1</v>
      </c>
      <c r="N434" s="9">
        <f>(Table1[[#This Row],[2024 Market share (%)]]-Table1[[#This Row],[2019 Market share (%)]])*10000</f>
        <v>-30.937020476182621</v>
      </c>
      <c r="O434" s="6" t="e">
        <f>IF(Table1[[#This Row],[2024 AUV]]=0,"",_xlfn.RRI(5,Table1[[#This Row],[2019 AUV]],Table1[[#This Row],[2024 AUV]]))</f>
        <v>#DIV/0!</v>
      </c>
      <c r="P434" s="6">
        <f>_xlfn.RRI(5,Table1[[#This Row],[2019 U.S. Units]],Table1[[#This Row],[2024 U.S. Units]])</f>
        <v>-1</v>
      </c>
      <c r="Q434" s="5">
        <v>67200</v>
      </c>
      <c r="R434" s="6">
        <f>Table1[[#This Row],[2023 U.S. Sales ($000)]]/SUMIF($E:$E, E434, $Q:$Q)</f>
        <v>2.0308959720684106E-3</v>
      </c>
      <c r="S434" s="8">
        <f>(Table1[[#This Row],[2023 Market share (%)]]-Table1[[#This Row],[2022 Market share (%)]])*10000</f>
        <v>-2.5710285996266178</v>
      </c>
      <c r="T434" s="10">
        <v>-3.0303030303030304E-2</v>
      </c>
      <c r="U434" s="5">
        <v>100</v>
      </c>
      <c r="V434" s="5">
        <f t="shared" si="48"/>
        <v>672</v>
      </c>
      <c r="W434" s="10">
        <v>-4.7619047619047616E-2</v>
      </c>
      <c r="X434" s="10">
        <f t="shared" si="49"/>
        <v>-2.7080288360885052E-2</v>
      </c>
      <c r="Y434" s="8">
        <f>(Table1[[#This Row],[2023 Market share (%)]]-Table1[[#This Row],[2019 Market share (%)]])*10000</f>
        <v>-10.628060755498515</v>
      </c>
      <c r="Z434" s="10">
        <f t="shared" si="50"/>
        <v>2.2508578043769045E-2</v>
      </c>
      <c r="AA434" s="10">
        <f t="shared" si="51"/>
        <v>-4.8497261998061703E-2</v>
      </c>
      <c r="AB434" s="5">
        <v>69300</v>
      </c>
      <c r="AC434" s="6">
        <f>Table1[[#This Row],[2022 U.S. Sales ($000)]]/SUMIF($E:$E, E434, $AB:$AB)</f>
        <v>2.2879988320310724E-3</v>
      </c>
      <c r="AD434" s="5">
        <v>105</v>
      </c>
      <c r="AE434" s="5">
        <f t="shared" si="52"/>
        <v>660</v>
      </c>
      <c r="AF434" s="5">
        <v>70500</v>
      </c>
      <c r="AG434" s="6">
        <f>Table1[[#This Row],[2021 U.S. Sales ($000)]]/SUMIF($E:$E, E434, $AF:$AF)</f>
        <v>2.5721238110220867E-3</v>
      </c>
      <c r="AH434" s="5">
        <v>108</v>
      </c>
      <c r="AI434" s="12">
        <f t="shared" si="53"/>
        <v>652.77777777777783</v>
      </c>
      <c r="AJ434" s="5">
        <v>69000</v>
      </c>
      <c r="AK434" s="6">
        <f>Table1[[#This Row],[2020 U.S. Sales ($000)]]/SUMIF($E:$E, E434, $AJ:$AJ)</f>
        <v>2.9272468433142766E-3</v>
      </c>
      <c r="AL434" s="5">
        <v>112</v>
      </c>
      <c r="AM434" s="5">
        <f t="shared" si="54"/>
        <v>616.07142857142856</v>
      </c>
      <c r="AN434" s="5">
        <v>75000</v>
      </c>
      <c r="AO434" s="6">
        <f>Table1[[#This Row],[2019 U.S. Sales ($000)]]/SUMIF($E:$E, E434, $AN:$AN)</f>
        <v>3.093702047618262E-3</v>
      </c>
      <c r="AP434" s="5">
        <v>122</v>
      </c>
      <c r="AQ434" s="5">
        <f t="shared" si="55"/>
        <v>614.75409836065569</v>
      </c>
    </row>
    <row r="435" spans="1:43" x14ac:dyDescent="0.25">
      <c r="A435" t="s">
        <v>500</v>
      </c>
      <c r="B435">
        <v>2620</v>
      </c>
      <c r="C435" t="s">
        <v>68</v>
      </c>
      <c r="D435" t="s">
        <v>69</v>
      </c>
      <c r="E435" t="s">
        <v>73</v>
      </c>
      <c r="F435" s="5">
        <v>254</v>
      </c>
      <c r="G435" s="5">
        <v>0</v>
      </c>
      <c r="H435" s="6">
        <f>Table1[[#This Row],[2024 U.S. Sales ($000)]]/SUMIF($E:$E, E435, $G:$G)</f>
        <v>0</v>
      </c>
      <c r="I435" s="5">
        <v>0</v>
      </c>
      <c r="J435" s="5" t="e">
        <f>Table1[[#This Row],[2024 U.S. Sales ($000)]]/Table1[[#This Row],[2024 U.S. Units]]</f>
        <v>#DIV/0!</v>
      </c>
      <c r="K435" s="6">
        <f>Table1[[#This Row],[2024 U.S. Units]]/Table1[[#This Row],[2023 U.S. Units]]-1</f>
        <v>-1</v>
      </c>
      <c r="L435" s="8">
        <f>(Table1[[#This Row],[2024 Market share (%)]]-Table1[[#This Row],[2023 Market share (%)]])*10000</f>
        <v>-153.17372949831545</v>
      </c>
      <c r="M435" s="6">
        <f>_xlfn.RRI(5,Table1[[#This Row],[2019 U.S. Sales ($000)]],Table1[[#This Row],[2024 U.S. Sales ($000)]])</f>
        <v>-1</v>
      </c>
      <c r="N435" s="9">
        <f>(Table1[[#This Row],[2024 Market share (%)]]-Table1[[#This Row],[2019 Market share (%)]])*10000</f>
        <v>-180.2377823122271</v>
      </c>
      <c r="O435" s="6" t="e">
        <f>IF(Table1[[#This Row],[2024 AUV]]=0,"",_xlfn.RRI(5,Table1[[#This Row],[2019 AUV]],Table1[[#This Row],[2024 AUV]]))</f>
        <v>#DIV/0!</v>
      </c>
      <c r="P435" s="6">
        <f>_xlfn.RRI(5,Table1[[#This Row],[2019 U.S. Units]],Table1[[#This Row],[2024 U.S. Units]])</f>
        <v>-1</v>
      </c>
      <c r="Q435" s="5">
        <v>147200</v>
      </c>
      <c r="R435" s="6">
        <f>Table1[[#This Row],[2023 U.S. Sales ($000)]]/SUMIF($E:$E, E435, $Q:$Q)</f>
        <v>1.5317372949831546E-2</v>
      </c>
      <c r="S435" s="8">
        <f>(Table1[[#This Row],[2023 Market share (%)]]-Table1[[#This Row],[2022 Market share (%)]])*10000</f>
        <v>-2.3163102104434286</v>
      </c>
      <c r="T435" s="10">
        <v>3.081232492997199E-2</v>
      </c>
      <c r="U435" s="5">
        <v>62</v>
      </c>
      <c r="V435" s="5">
        <f t="shared" si="48"/>
        <v>2374.1935483870966</v>
      </c>
      <c r="W435" s="10">
        <v>-4.6153846153846156E-2</v>
      </c>
      <c r="X435" s="10">
        <f t="shared" si="49"/>
        <v>-2.7249418260649305E-2</v>
      </c>
      <c r="Y435" s="8">
        <f>(Table1[[#This Row],[2023 Market share (%)]]-Table1[[#This Row],[2019 Market share (%)]])*10000</f>
        <v>-27.064052813911623</v>
      </c>
      <c r="Z435" s="10">
        <f t="shared" si="50"/>
        <v>-4.5239749064138746E-3</v>
      </c>
      <c r="AA435" s="10">
        <f t="shared" si="51"/>
        <v>-2.2828719910254924E-2</v>
      </c>
      <c r="AB435" s="5">
        <v>142800</v>
      </c>
      <c r="AC435" s="6">
        <f>Table1[[#This Row],[2022 U.S. Sales ($000)]]/SUMIF($E:$E, E435, $AB:$AB)</f>
        <v>1.5549003970875889E-2</v>
      </c>
      <c r="AD435" s="5">
        <v>65</v>
      </c>
      <c r="AE435" s="5">
        <f t="shared" si="52"/>
        <v>2196.9230769230771</v>
      </c>
      <c r="AF435" s="5">
        <v>142400</v>
      </c>
      <c r="AG435" s="6">
        <f>Table1[[#This Row],[2021 U.S. Sales ($000)]]/SUMIF($E:$E, E435, $AF:$AF)</f>
        <v>1.7006148725936119E-2</v>
      </c>
      <c r="AH435" s="5">
        <v>70</v>
      </c>
      <c r="AI435" s="12">
        <f t="shared" si="53"/>
        <v>2034.2857142857142</v>
      </c>
      <c r="AJ435" s="5">
        <v>120700</v>
      </c>
      <c r="AK435" s="6">
        <f>Table1[[#This Row],[2020 U.S. Sales ($000)]]/SUMIF($E:$E, E435, $AJ:$AJ)</f>
        <v>1.7495596023643843E-2</v>
      </c>
      <c r="AL435" s="5">
        <v>68</v>
      </c>
      <c r="AM435" s="5">
        <f t="shared" si="54"/>
        <v>1775</v>
      </c>
      <c r="AN435" s="5">
        <v>164400</v>
      </c>
      <c r="AO435" s="6">
        <f>Table1[[#This Row],[2019 U.S. Sales ($000)]]/SUMIF($E:$E, E435, $AN:$AN)</f>
        <v>1.8023778231222708E-2</v>
      </c>
      <c r="AP435" s="5">
        <v>68</v>
      </c>
      <c r="AQ435" s="5">
        <f t="shared" si="55"/>
        <v>2417.6470588235293</v>
      </c>
    </row>
    <row r="436" spans="1:43" x14ac:dyDescent="0.25">
      <c r="A436" t="s">
        <v>501</v>
      </c>
      <c r="B436">
        <v>1609</v>
      </c>
      <c r="C436" t="s">
        <v>44</v>
      </c>
      <c r="D436" t="s">
        <v>45</v>
      </c>
      <c r="E436" t="s">
        <v>61</v>
      </c>
      <c r="F436" s="5">
        <v>369</v>
      </c>
      <c r="G436" s="5">
        <v>0</v>
      </c>
      <c r="H436" s="6">
        <f>Table1[[#This Row],[2024 U.S. Sales ($000)]]/SUMIF($E:$E, E436, $G:$G)</f>
        <v>0</v>
      </c>
      <c r="I436" s="5">
        <v>0</v>
      </c>
      <c r="J436" s="5" t="e">
        <f>Table1[[#This Row],[2024 U.S. Sales ($000)]]/Table1[[#This Row],[2024 U.S. Units]]</f>
        <v>#DIV/0!</v>
      </c>
      <c r="K436" s="6">
        <f>Table1[[#This Row],[2024 U.S. Units]]/Table1[[#This Row],[2023 U.S. Units]]-1</f>
        <v>-1</v>
      </c>
      <c r="L436" s="8">
        <f>(Table1[[#This Row],[2024 Market share (%)]]-Table1[[#This Row],[2023 Market share (%)]])*10000</f>
        <v>-28.939223277139842</v>
      </c>
      <c r="M436" s="6">
        <f>_xlfn.RRI(5,Table1[[#This Row],[2019 U.S. Sales ($000)]],Table1[[#This Row],[2024 U.S. Sales ($000)]])</f>
        <v>-1</v>
      </c>
      <c r="N436" s="9">
        <f>(Table1[[#This Row],[2024 Market share (%)]]-Table1[[#This Row],[2019 Market share (%)]])*10000</f>
        <v>-38.514208623873763</v>
      </c>
      <c r="O436" s="6" t="e">
        <f>IF(Table1[[#This Row],[2024 AUV]]=0,"",_xlfn.RRI(5,Table1[[#This Row],[2019 AUV]],Table1[[#This Row],[2024 AUV]]))</f>
        <v>#DIV/0!</v>
      </c>
      <c r="P436" s="6">
        <f>_xlfn.RRI(5,Table1[[#This Row],[2019 U.S. Units]],Table1[[#This Row],[2024 U.S. Units]])</f>
        <v>-1</v>
      </c>
      <c r="Q436" s="5">
        <v>88400</v>
      </c>
      <c r="R436" s="6">
        <f>Table1[[#This Row],[2023 U.S. Sales ($000)]]/SUMIF($E:$E, E436, $Q:$Q)</f>
        <v>2.8939223277139841E-3</v>
      </c>
      <c r="S436" s="8">
        <f>(Table1[[#This Row],[2023 Market share (%)]]-Table1[[#This Row],[2022 Market share (%)]])*10000</f>
        <v>-1.9868030155074197</v>
      </c>
      <c r="T436" s="10">
        <v>-3.7037037037037035E-2</v>
      </c>
      <c r="U436" s="5">
        <v>194</v>
      </c>
      <c r="V436" s="5">
        <f t="shared" si="48"/>
        <v>455.67010309278351</v>
      </c>
      <c r="W436" s="10">
        <v>-2.5125628140703519E-2</v>
      </c>
      <c r="X436" s="10">
        <f t="shared" si="49"/>
        <v>-2.8894374035205339E-2</v>
      </c>
      <c r="Y436" s="8">
        <f>(Table1[[#This Row],[2023 Market share (%)]]-Table1[[#This Row],[2019 Market share (%)]])*10000</f>
        <v>-9.5749853467339214</v>
      </c>
      <c r="Z436" s="10">
        <f t="shared" si="50"/>
        <v>-1.1829530210873851E-2</v>
      </c>
      <c r="AA436" s="10">
        <f t="shared" si="51"/>
        <v>-1.7269129513628467E-2</v>
      </c>
      <c r="AB436" s="5">
        <v>91800</v>
      </c>
      <c r="AC436" s="6">
        <f>Table1[[#This Row],[2022 U.S. Sales ($000)]]/SUMIF($E:$E, E436, $AB:$AB)</f>
        <v>3.0926026292647261E-3</v>
      </c>
      <c r="AD436" s="5">
        <v>199</v>
      </c>
      <c r="AE436" s="5">
        <f t="shared" si="52"/>
        <v>461.3065326633166</v>
      </c>
      <c r="AF436" s="5">
        <v>93500</v>
      </c>
      <c r="AG436" s="6">
        <f>Table1[[#This Row],[2021 U.S. Sales ($000)]]/SUMIF($E:$E, E436, $AF:$AF)</f>
        <v>3.2165336019396901E-3</v>
      </c>
      <c r="AH436" s="5">
        <v>200</v>
      </c>
      <c r="AI436" s="12">
        <f t="shared" si="53"/>
        <v>467.5</v>
      </c>
      <c r="AJ436" s="5">
        <v>97400</v>
      </c>
      <c r="AK436" s="6">
        <f>Table1[[#This Row],[2020 U.S. Sales ($000)]]/SUMIF($E:$E, E436, $AJ:$AJ)</f>
        <v>3.5984886200014121E-3</v>
      </c>
      <c r="AL436" s="5">
        <v>202</v>
      </c>
      <c r="AM436" s="5">
        <f t="shared" si="54"/>
        <v>482.1782178217822</v>
      </c>
      <c r="AN436" s="5">
        <v>99400</v>
      </c>
      <c r="AO436" s="6">
        <f>Table1[[#This Row],[2019 U.S. Sales ($000)]]/SUMIF($E:$E, E436, $AN:$AN)</f>
        <v>3.8514208623873763E-3</v>
      </c>
      <c r="AP436" s="5">
        <v>208</v>
      </c>
      <c r="AQ436" s="5">
        <f t="shared" si="55"/>
        <v>477.88461538461536</v>
      </c>
    </row>
    <row r="437" spans="1:43" x14ac:dyDescent="0.25">
      <c r="A437" t="s">
        <v>502</v>
      </c>
      <c r="B437">
        <v>584</v>
      </c>
      <c r="C437" t="s">
        <v>68</v>
      </c>
      <c r="D437" t="s">
        <v>133</v>
      </c>
      <c r="E437" t="s">
        <v>73</v>
      </c>
      <c r="F437" s="5">
        <v>357</v>
      </c>
      <c r="G437" s="5">
        <v>0</v>
      </c>
      <c r="H437" s="6">
        <f>Table1[[#This Row],[2024 U.S. Sales ($000)]]/SUMIF($E:$E, E437, $G:$G)</f>
        <v>0</v>
      </c>
      <c r="I437" s="5">
        <v>0</v>
      </c>
      <c r="J437" s="5" t="e">
        <f>Table1[[#This Row],[2024 U.S. Sales ($000)]]/Table1[[#This Row],[2024 U.S. Units]]</f>
        <v>#DIV/0!</v>
      </c>
      <c r="K437" s="6">
        <f>Table1[[#This Row],[2024 U.S. Units]]/Table1[[#This Row],[2023 U.S. Units]]-1</f>
        <v>-1</v>
      </c>
      <c r="L437" s="8">
        <f>(Table1[[#This Row],[2024 Market share (%)]]-Table1[[#This Row],[2023 Market share (%)]])*10000</f>
        <v>-97.398512778820148</v>
      </c>
      <c r="M437" s="6">
        <f>_xlfn.RRI(5,Table1[[#This Row],[2019 U.S. Sales ($000)]],Table1[[#This Row],[2024 U.S. Sales ($000)]])</f>
        <v>-1</v>
      </c>
      <c r="N437" s="9">
        <f>(Table1[[#This Row],[2024 Market share (%)]]-Table1[[#This Row],[2019 Market share (%)]])*10000</f>
        <v>-116.43097616519779</v>
      </c>
      <c r="O437" s="6" t="e">
        <f>IF(Table1[[#This Row],[2024 AUV]]=0,"",_xlfn.RRI(5,Table1[[#This Row],[2019 AUV]],Table1[[#This Row],[2024 AUV]]))</f>
        <v>#DIV/0!</v>
      </c>
      <c r="P437" s="6">
        <f>_xlfn.RRI(5,Table1[[#This Row],[2019 U.S. Units]],Table1[[#This Row],[2024 U.S. Units]])</f>
        <v>-1</v>
      </c>
      <c r="Q437" s="5">
        <v>93600</v>
      </c>
      <c r="R437" s="6">
        <f>Table1[[#This Row],[2023 U.S. Sales ($000)]]/SUMIF($E:$E, E437, $Q:$Q)</f>
        <v>9.739851277882015E-3</v>
      </c>
      <c r="S437" s="8">
        <f>(Table1[[#This Row],[2023 Market share (%)]]-Table1[[#This Row],[2022 Market share (%)]])*10000</f>
        <v>1.4694336587805363</v>
      </c>
      <c r="T437" s="10">
        <v>6.2429057888762768E-2</v>
      </c>
      <c r="U437" s="5">
        <v>18</v>
      </c>
      <c r="V437" s="5">
        <f t="shared" si="48"/>
        <v>5200</v>
      </c>
      <c r="W437" s="10">
        <v>0</v>
      </c>
      <c r="X437" s="10">
        <f t="shared" si="49"/>
        <v>-3.1080195229577057E-2</v>
      </c>
      <c r="Y437" s="8">
        <f>(Table1[[#This Row],[2023 Market share (%)]]-Table1[[#This Row],[2019 Market share (%)]])*10000</f>
        <v>-19.032463386377646</v>
      </c>
      <c r="Z437" s="10">
        <f t="shared" si="50"/>
        <v>-5.219632546109243E-3</v>
      </c>
      <c r="AA437" s="10">
        <f t="shared" si="51"/>
        <v>-2.5996253574703254E-2</v>
      </c>
      <c r="AB437" s="5">
        <v>88100</v>
      </c>
      <c r="AC437" s="6">
        <f>Table1[[#This Row],[2022 U.S. Sales ($000)]]/SUMIF($E:$E, E437, $AB:$AB)</f>
        <v>9.5929079120039614E-3</v>
      </c>
      <c r="AD437" s="5">
        <v>18</v>
      </c>
      <c r="AE437" s="5">
        <f t="shared" si="52"/>
        <v>4894.4444444444443</v>
      </c>
      <c r="AF437" s="5">
        <v>82100</v>
      </c>
      <c r="AG437" s="6">
        <f>Table1[[#This Row],[2021 U.S. Sales ($000)]]/SUMIF($E:$E, E437, $AF:$AF)</f>
        <v>9.8048090617932262E-3</v>
      </c>
      <c r="AH437" s="5">
        <v>19</v>
      </c>
      <c r="AI437" s="12">
        <f t="shared" si="53"/>
        <v>4321.0526315789475</v>
      </c>
      <c r="AJ437" s="5">
        <v>60500</v>
      </c>
      <c r="AK437" s="6">
        <f>Table1[[#This Row],[2020 U.S. Sales ($000)]]/SUMIF($E:$E, E437, $AJ:$AJ)</f>
        <v>8.7695406746516359E-3</v>
      </c>
      <c r="AL437" s="5">
        <v>19</v>
      </c>
      <c r="AM437" s="5">
        <f t="shared" si="54"/>
        <v>3184.2105263157896</v>
      </c>
      <c r="AN437" s="5">
        <v>106200</v>
      </c>
      <c r="AO437" s="6">
        <f>Table1[[#This Row],[2019 U.S. Sales ($000)]]/SUMIF($E:$E, E437, $AN:$AN)</f>
        <v>1.1643097616519779E-2</v>
      </c>
      <c r="AP437" s="5">
        <v>20</v>
      </c>
      <c r="AQ437" s="5">
        <f t="shared" si="55"/>
        <v>5310</v>
      </c>
    </row>
    <row r="438" spans="1:43" x14ac:dyDescent="0.25">
      <c r="A438" t="s">
        <v>503</v>
      </c>
      <c r="B438">
        <v>2475</v>
      </c>
      <c r="C438" t="s">
        <v>68</v>
      </c>
      <c r="D438" t="s">
        <v>69</v>
      </c>
      <c r="E438" t="s">
        <v>79</v>
      </c>
      <c r="F438" s="5">
        <v>337</v>
      </c>
      <c r="G438" s="5">
        <v>0</v>
      </c>
      <c r="H438" s="6">
        <f>Table1[[#This Row],[2024 U.S. Sales ($000)]]/SUMIF($E:$E, E438, $G:$G)</f>
        <v>0</v>
      </c>
      <c r="I438" s="5">
        <v>0</v>
      </c>
      <c r="J438" s="5" t="e">
        <f>Table1[[#This Row],[2024 U.S. Sales ($000)]]/Table1[[#This Row],[2024 U.S. Units]]</f>
        <v>#DIV/0!</v>
      </c>
      <c r="K438" s="6">
        <f>Table1[[#This Row],[2024 U.S. Units]]/Table1[[#This Row],[2023 U.S. Units]]-1</f>
        <v>-1</v>
      </c>
      <c r="L438" s="8">
        <f>(Table1[[#This Row],[2024 Market share (%)]]-Table1[[#This Row],[2023 Market share (%)]])*10000</f>
        <v>-41.164570147785362</v>
      </c>
      <c r="M438" s="6">
        <f>_xlfn.RRI(5,Table1[[#This Row],[2019 U.S. Sales ($000)]],Table1[[#This Row],[2024 U.S. Sales ($000)]])</f>
        <v>-1</v>
      </c>
      <c r="N438" s="9">
        <f>(Table1[[#This Row],[2024 Market share (%)]]-Table1[[#This Row],[2019 Market share (%)]])*10000</f>
        <v>-49.393817873258094</v>
      </c>
      <c r="O438" s="6" t="e">
        <f>IF(Table1[[#This Row],[2024 AUV]]=0,"",_xlfn.RRI(5,Table1[[#This Row],[2019 AUV]],Table1[[#This Row],[2024 AUV]]))</f>
        <v>#DIV/0!</v>
      </c>
      <c r="P438" s="6">
        <f>_xlfn.RRI(5,Table1[[#This Row],[2019 U.S. Units]],Table1[[#This Row],[2024 U.S. Units]])</f>
        <v>-1</v>
      </c>
      <c r="Q438" s="5">
        <v>99300</v>
      </c>
      <c r="R438" s="6">
        <f>Table1[[#This Row],[2023 U.S. Sales ($000)]]/SUMIF($E:$E, E438, $Q:$Q)</f>
        <v>4.1164570147785365E-3</v>
      </c>
      <c r="S438" s="8">
        <f>(Table1[[#This Row],[2023 Market share (%)]]-Table1[[#This Row],[2022 Market share (%)]])*10000</f>
        <v>-2.8039801772183384</v>
      </c>
      <c r="T438" s="10">
        <v>-3.9651837524177946E-2</v>
      </c>
      <c r="U438" s="5">
        <v>38</v>
      </c>
      <c r="V438" s="5">
        <f t="shared" si="48"/>
        <v>2613.1578947368421</v>
      </c>
      <c r="W438" s="10">
        <v>-2.564102564102564E-2</v>
      </c>
      <c r="X438" s="10">
        <f t="shared" si="49"/>
        <v>-3.1365268277623204E-2</v>
      </c>
      <c r="Y438" s="8">
        <f>(Table1[[#This Row],[2023 Market share (%)]]-Table1[[#This Row],[2019 Market share (%)]])*10000</f>
        <v>-8.2292477254727281</v>
      </c>
      <c r="Z438" s="10">
        <f t="shared" si="50"/>
        <v>-9.6373831705542923E-4</v>
      </c>
      <c r="AA438" s="10">
        <f t="shared" si="51"/>
        <v>-3.0430857343810902E-2</v>
      </c>
      <c r="AB438" s="5">
        <v>103400</v>
      </c>
      <c r="AC438" s="6">
        <f>Table1[[#This Row],[2022 U.S. Sales ($000)]]/SUMIF($E:$E, E438, $AB:$AB)</f>
        <v>4.3968550325003703E-3</v>
      </c>
      <c r="AD438" s="5">
        <v>39</v>
      </c>
      <c r="AE438" s="5">
        <f t="shared" si="52"/>
        <v>2651.2820512820513</v>
      </c>
      <c r="AF438" s="5">
        <v>98000</v>
      </c>
      <c r="AG438" s="6">
        <f>Table1[[#This Row],[2021 U.S. Sales ($000)]]/SUMIF($E:$E, E438, $AF:$AF)</f>
        <v>4.5119487221631756E-3</v>
      </c>
      <c r="AH438" s="5">
        <v>39</v>
      </c>
      <c r="AI438" s="12">
        <f t="shared" si="53"/>
        <v>2512.8205128205127</v>
      </c>
      <c r="AJ438" s="5">
        <v>81200</v>
      </c>
      <c r="AK438" s="6">
        <f>Table1[[#This Row],[2020 U.S. Sales ($000)]]/SUMIF($E:$E, E438, $AJ:$AJ)</f>
        <v>4.9796713502765219E-3</v>
      </c>
      <c r="AL438" s="5">
        <v>40</v>
      </c>
      <c r="AM438" s="5">
        <f t="shared" si="54"/>
        <v>2030</v>
      </c>
      <c r="AN438" s="5">
        <v>112800</v>
      </c>
      <c r="AO438" s="6">
        <f>Table1[[#This Row],[2019 U.S. Sales ($000)]]/SUMIF($E:$E, E438, $AN:$AN)</f>
        <v>4.9393817873258092E-3</v>
      </c>
      <c r="AP438" s="5">
        <v>43</v>
      </c>
      <c r="AQ438" s="5">
        <f t="shared" si="55"/>
        <v>2623.2558139534885</v>
      </c>
    </row>
    <row r="439" spans="1:43" x14ac:dyDescent="0.25">
      <c r="A439" t="s">
        <v>504</v>
      </c>
      <c r="B439">
        <v>5604</v>
      </c>
      <c r="C439" t="s">
        <v>68</v>
      </c>
      <c r="D439" t="s">
        <v>69</v>
      </c>
      <c r="E439" t="s">
        <v>79</v>
      </c>
      <c r="F439" s="5">
        <v>324</v>
      </c>
      <c r="G439" s="5">
        <v>0</v>
      </c>
      <c r="H439" s="6">
        <f>Table1[[#This Row],[2024 U.S. Sales ($000)]]/SUMIF($E:$E, E439, $G:$G)</f>
        <v>0</v>
      </c>
      <c r="I439" s="5">
        <v>0</v>
      </c>
      <c r="J439" s="5" t="e">
        <f>Table1[[#This Row],[2024 U.S. Sales ($000)]]/Table1[[#This Row],[2024 U.S. Units]]</f>
        <v>#DIV/0!</v>
      </c>
      <c r="K439" s="6">
        <f>Table1[[#This Row],[2024 U.S. Units]]/Table1[[#This Row],[2023 U.S. Units]]-1</f>
        <v>-1</v>
      </c>
      <c r="L439" s="8">
        <f>(Table1[[#This Row],[2024 Market share (%)]]-Table1[[#This Row],[2023 Market share (%)]])*10000</f>
        <v>-42.988579298341818</v>
      </c>
      <c r="M439" s="6">
        <f>_xlfn.RRI(5,Table1[[#This Row],[2019 U.S. Sales ($000)]],Table1[[#This Row],[2024 U.S. Sales ($000)]])</f>
        <v>-1</v>
      </c>
      <c r="N439" s="9">
        <f>(Table1[[#This Row],[2024 Market share (%)]]-Table1[[#This Row],[2019 Market share (%)]])*10000</f>
        <v>-51.670837846138788</v>
      </c>
      <c r="O439" s="6" t="e">
        <f>IF(Table1[[#This Row],[2024 AUV]]=0,"",_xlfn.RRI(5,Table1[[#This Row],[2019 AUV]],Table1[[#This Row],[2024 AUV]]))</f>
        <v>#DIV/0!</v>
      </c>
      <c r="P439" s="6">
        <f>_xlfn.RRI(5,Table1[[#This Row],[2019 U.S. Units]],Table1[[#This Row],[2024 U.S. Units]])</f>
        <v>-1</v>
      </c>
      <c r="Q439" s="5">
        <v>103700</v>
      </c>
      <c r="R439" s="6">
        <f>Table1[[#This Row],[2023 U.S. Sales ($000)]]/SUMIF($E:$E, E439, $Q:$Q)</f>
        <v>4.2988579298341816E-3</v>
      </c>
      <c r="S439" s="8">
        <f>(Table1[[#This Row],[2023 Market share (%)]]-Table1[[#This Row],[2022 Market share (%)]])*10000</f>
        <v>-2.7234048403225724</v>
      </c>
      <c r="T439" s="10">
        <v>-3.5348837209302326E-2</v>
      </c>
      <c r="U439" s="5">
        <v>20</v>
      </c>
      <c r="V439" s="5">
        <f t="shared" si="48"/>
        <v>5185</v>
      </c>
      <c r="W439" s="10">
        <v>-4.7619047619047616E-2</v>
      </c>
      <c r="X439" s="10">
        <f t="shared" si="49"/>
        <v>-3.1779692596612175E-2</v>
      </c>
      <c r="Y439" s="8">
        <f>(Table1[[#This Row],[2023 Market share (%)]]-Table1[[#This Row],[2019 Market share (%)]])*10000</f>
        <v>-8.6822585477969696</v>
      </c>
      <c r="Z439" s="10">
        <f t="shared" si="50"/>
        <v>2.6483590095462972E-3</v>
      </c>
      <c r="AA439" s="10">
        <f t="shared" si="51"/>
        <v>-3.4337114599347518E-2</v>
      </c>
      <c r="AB439" s="5">
        <v>107500</v>
      </c>
      <c r="AC439" s="6">
        <f>Table1[[#This Row],[2022 U.S. Sales ($000)]]/SUMIF($E:$E, E439, $AB:$AB)</f>
        <v>4.5711984138664388E-3</v>
      </c>
      <c r="AD439" s="5">
        <v>21</v>
      </c>
      <c r="AE439" s="5">
        <f t="shared" si="52"/>
        <v>5119.0476190476193</v>
      </c>
      <c r="AF439" s="5">
        <v>103200</v>
      </c>
      <c r="AG439" s="6">
        <f>Table1[[#This Row],[2021 U.S. Sales ($000)]]/SUMIF($E:$E, E439, $AF:$AF)</f>
        <v>4.7513582461963235E-3</v>
      </c>
      <c r="AH439" s="5">
        <v>21</v>
      </c>
      <c r="AI439" s="12">
        <f t="shared" si="53"/>
        <v>4914.2857142857147</v>
      </c>
      <c r="AJ439" s="5">
        <v>89400</v>
      </c>
      <c r="AK439" s="6">
        <f>Table1[[#This Row],[2020 U.S. Sales ($000)]]/SUMIF($E:$E, E439, $AJ:$AJ)</f>
        <v>5.48254456545223E-3</v>
      </c>
      <c r="AL439" s="5">
        <v>22</v>
      </c>
      <c r="AM439" s="5">
        <f t="shared" si="54"/>
        <v>4063.6363636363635</v>
      </c>
      <c r="AN439" s="5">
        <v>118000</v>
      </c>
      <c r="AO439" s="6">
        <f>Table1[[#This Row],[2019 U.S. Sales ($000)]]/SUMIF($E:$E, E439, $AN:$AN)</f>
        <v>5.1670837846138785E-3</v>
      </c>
      <c r="AP439" s="5">
        <v>23</v>
      </c>
      <c r="AQ439" s="5">
        <f t="shared" si="55"/>
        <v>5130.434782608696</v>
      </c>
    </row>
    <row r="440" spans="1:43" x14ac:dyDescent="0.25">
      <c r="A440" t="s">
        <v>505</v>
      </c>
      <c r="B440">
        <v>2488</v>
      </c>
      <c r="C440" t="s">
        <v>44</v>
      </c>
      <c r="D440" t="s">
        <v>56</v>
      </c>
      <c r="E440" t="s">
        <v>52</v>
      </c>
      <c r="F440" s="5">
        <v>431</v>
      </c>
      <c r="G440" s="5">
        <v>0</v>
      </c>
      <c r="H440" s="6">
        <f>Table1[[#This Row],[2024 U.S. Sales ($000)]]/SUMIF($E:$E, E440, $G:$G)</f>
        <v>0</v>
      </c>
      <c r="I440" s="5">
        <v>0</v>
      </c>
      <c r="J440" s="5" t="e">
        <f>Table1[[#This Row],[2024 U.S. Sales ($000)]]/Table1[[#This Row],[2024 U.S. Units]]</f>
        <v>#DIV/0!</v>
      </c>
      <c r="K440" s="6">
        <f>Table1[[#This Row],[2024 U.S. Units]]/Table1[[#This Row],[2023 U.S. Units]]-1</f>
        <v>-1</v>
      </c>
      <c r="L440" s="8">
        <f>(Table1[[#This Row],[2024 Market share (%)]]-Table1[[#This Row],[2023 Market share (%)]])*10000</f>
        <v>-21.967222547877469</v>
      </c>
      <c r="M440" s="6">
        <f>_xlfn.RRI(5,Table1[[#This Row],[2019 U.S. Sales ($000)]],Table1[[#This Row],[2024 U.S. Sales ($000)]])</f>
        <v>-1</v>
      </c>
      <c r="N440" s="9">
        <f>(Table1[[#This Row],[2024 Market share (%)]]-Table1[[#This Row],[2019 Market share (%)]])*10000</f>
        <v>-34.154470605705612</v>
      </c>
      <c r="O440" s="6" t="e">
        <f>IF(Table1[[#This Row],[2024 AUV]]=0,"",_xlfn.RRI(5,Table1[[#This Row],[2019 AUV]],Table1[[#This Row],[2024 AUV]]))</f>
        <v>#DIV/0!</v>
      </c>
      <c r="P440" s="6">
        <f>_xlfn.RRI(5,Table1[[#This Row],[2019 U.S. Units]],Table1[[#This Row],[2024 U.S. Units]])</f>
        <v>-1</v>
      </c>
      <c r="Q440" s="5">
        <v>72687</v>
      </c>
      <c r="R440" s="6">
        <f>Table1[[#This Row],[2023 U.S. Sales ($000)]]/SUMIF($E:$E, E440, $Q:$Q)</f>
        <v>2.1967222547877468E-3</v>
      </c>
      <c r="S440" s="8">
        <f>(Table1[[#This Row],[2023 Market share (%)]]-Table1[[#This Row],[2022 Market share (%)]])*10000</f>
        <v>-1.8137684870959958</v>
      </c>
      <c r="T440" s="10">
        <v>9.1352094295353257E-3</v>
      </c>
      <c r="U440" s="5">
        <v>69</v>
      </c>
      <c r="V440" s="5">
        <f t="shared" si="48"/>
        <v>1053.4347826086957</v>
      </c>
      <c r="W440" s="10">
        <v>-2.8169014084507043E-2</v>
      </c>
      <c r="X440" s="10">
        <f t="shared" si="49"/>
        <v>-3.2041802921636386E-2</v>
      </c>
      <c r="Y440" s="8">
        <f>(Table1[[#This Row],[2023 Market share (%)]]-Table1[[#This Row],[2019 Market share (%)]])*10000</f>
        <v>-12.187248057828143</v>
      </c>
      <c r="Z440" s="10">
        <f t="shared" si="50"/>
        <v>4.4234095658799433E-3</v>
      </c>
      <c r="AA440" s="10">
        <f t="shared" si="51"/>
        <v>-3.6304622274063503E-2</v>
      </c>
      <c r="AB440" s="5">
        <v>72029</v>
      </c>
      <c r="AC440" s="6">
        <f>Table1[[#This Row],[2022 U.S. Sales ($000)]]/SUMIF($E:$E, E440, $AB:$AB)</f>
        <v>2.3780991034973464E-3</v>
      </c>
      <c r="AD440" s="5">
        <v>71</v>
      </c>
      <c r="AE440" s="5">
        <f t="shared" si="52"/>
        <v>1014.4929577464789</v>
      </c>
      <c r="AF440" s="5">
        <v>70600</v>
      </c>
      <c r="AG440" s="6">
        <f>Table1[[#This Row],[2021 U.S. Sales ($000)]]/SUMIF($E:$E, E440, $AF:$AF)</f>
        <v>2.5757722135909124E-3</v>
      </c>
      <c r="AH440" s="5">
        <v>73</v>
      </c>
      <c r="AI440" s="12">
        <f t="shared" si="53"/>
        <v>967.1232876712329</v>
      </c>
      <c r="AJ440" s="5">
        <v>68400</v>
      </c>
      <c r="AK440" s="6">
        <f>Table1[[#This Row],[2020 U.S. Sales ($000)]]/SUMIF($E:$E, E440, $AJ:$AJ)</f>
        <v>2.9017925229376305E-3</v>
      </c>
      <c r="AL440" s="5">
        <v>72</v>
      </c>
      <c r="AM440" s="5">
        <f t="shared" si="54"/>
        <v>950</v>
      </c>
      <c r="AN440" s="5">
        <v>82800</v>
      </c>
      <c r="AO440" s="6">
        <f>Table1[[#This Row],[2019 U.S. Sales ($000)]]/SUMIF($E:$E, E440, $AN:$AN)</f>
        <v>3.415447060570561E-3</v>
      </c>
      <c r="AP440" s="5">
        <v>80</v>
      </c>
      <c r="AQ440" s="5">
        <f t="shared" si="55"/>
        <v>1035</v>
      </c>
    </row>
    <row r="441" spans="1:43" x14ac:dyDescent="0.25">
      <c r="A441" t="s">
        <v>506</v>
      </c>
      <c r="B441">
        <v>824</v>
      </c>
      <c r="C441" t="s">
        <v>44</v>
      </c>
      <c r="D441" t="s">
        <v>45</v>
      </c>
      <c r="E441" t="s">
        <v>61</v>
      </c>
      <c r="F441" s="5">
        <v>364</v>
      </c>
      <c r="G441" s="5">
        <v>0</v>
      </c>
      <c r="H441" s="6">
        <f>Table1[[#This Row],[2024 U.S. Sales ($000)]]/SUMIF($E:$E, E441, $G:$G)</f>
        <v>0</v>
      </c>
      <c r="I441" s="5">
        <v>0</v>
      </c>
      <c r="J441" s="5" t="e">
        <f>Table1[[#This Row],[2024 U.S. Sales ($000)]]/Table1[[#This Row],[2024 U.S. Units]]</f>
        <v>#DIV/0!</v>
      </c>
      <c r="K441" s="6">
        <f>Table1[[#This Row],[2024 U.S. Units]]/Table1[[#This Row],[2023 U.S. Units]]-1</f>
        <v>-1</v>
      </c>
      <c r="L441" s="8">
        <f>(Table1[[#This Row],[2024 Market share (%)]]-Table1[[#This Row],[2023 Market share (%)]])*10000</f>
        <v>-29.888586936684021</v>
      </c>
      <c r="M441" s="6">
        <f>_xlfn.RRI(5,Table1[[#This Row],[2019 U.S. Sales ($000)]],Table1[[#This Row],[2024 U.S. Sales ($000)]])</f>
        <v>-1</v>
      </c>
      <c r="N441" s="9">
        <f>(Table1[[#This Row],[2024 Market share (%)]]-Table1[[#This Row],[2019 Market share (%)]])*10000</f>
        <v>-40.490289750450792</v>
      </c>
      <c r="O441" s="6" t="e">
        <f>IF(Table1[[#This Row],[2024 AUV]]=0,"",_xlfn.RRI(5,Table1[[#This Row],[2019 AUV]],Table1[[#This Row],[2024 AUV]]))</f>
        <v>#DIV/0!</v>
      </c>
      <c r="P441" s="6">
        <f>_xlfn.RRI(5,Table1[[#This Row],[2019 U.S. Units]],Table1[[#This Row],[2024 U.S. Units]])</f>
        <v>-1</v>
      </c>
      <c r="Q441" s="5">
        <v>91300</v>
      </c>
      <c r="R441" s="6">
        <f>Table1[[#This Row],[2023 U.S. Sales ($000)]]/SUMIF($E:$E, E441, $Q:$Q)</f>
        <v>2.9888586936684023E-3</v>
      </c>
      <c r="S441" s="8">
        <f>(Table1[[#This Row],[2023 Market share (%)]]-Table1[[#This Row],[2022 Market share (%)]])*10000</f>
        <v>-3.3956330819820888</v>
      </c>
      <c r="T441" s="10">
        <v>-7.5910931174089064E-2</v>
      </c>
      <c r="U441" s="5">
        <v>106</v>
      </c>
      <c r="V441" s="5">
        <f t="shared" si="48"/>
        <v>861.32075471698113</v>
      </c>
      <c r="W441" s="10">
        <v>-7.0175438596491224E-2</v>
      </c>
      <c r="X441" s="10">
        <f t="shared" si="49"/>
        <v>-3.3195592153628994E-2</v>
      </c>
      <c r="Y441" s="8">
        <f>(Table1[[#This Row],[2023 Market share (%)]]-Table1[[#This Row],[2019 Market share (%)]])*10000</f>
        <v>-10.601702813766767</v>
      </c>
      <c r="Z441" s="10">
        <f t="shared" si="50"/>
        <v>-2.7421422242988047E-3</v>
      </c>
      <c r="AA441" s="10">
        <f t="shared" si="51"/>
        <v>-3.0537187239871977E-2</v>
      </c>
      <c r="AB441" s="5">
        <v>98800</v>
      </c>
      <c r="AC441" s="6">
        <f>Table1[[#This Row],[2022 U.S. Sales ($000)]]/SUMIF($E:$E, E441, $AB:$AB)</f>
        <v>3.3284220018666112E-3</v>
      </c>
      <c r="AD441" s="5">
        <v>114</v>
      </c>
      <c r="AE441" s="5">
        <f t="shared" si="52"/>
        <v>866.66666666666663</v>
      </c>
      <c r="AF441" s="5">
        <v>98700</v>
      </c>
      <c r="AG441" s="6">
        <f>Table1[[#This Row],[2021 U.S. Sales ($000)]]/SUMIF($E:$E, E441, $AF:$AF)</f>
        <v>3.3954210322079937E-3</v>
      </c>
      <c r="AH441" s="5">
        <v>117</v>
      </c>
      <c r="AI441" s="12">
        <f t="shared" si="53"/>
        <v>843.58974358974353</v>
      </c>
      <c r="AJ441" s="5">
        <v>90500</v>
      </c>
      <c r="AK441" s="6">
        <f>Table1[[#This Row],[2020 U.S. Sales ($000)]]/SUMIF($E:$E, E441, $AJ:$AJ)</f>
        <v>3.3435648881943304E-3</v>
      </c>
      <c r="AL441" s="5">
        <v>118</v>
      </c>
      <c r="AM441" s="5">
        <f t="shared" si="54"/>
        <v>766.94915254237287</v>
      </c>
      <c r="AN441" s="5">
        <v>104500</v>
      </c>
      <c r="AO441" s="6">
        <f>Table1[[#This Row],[2019 U.S. Sales ($000)]]/SUMIF($E:$E, E441, $AN:$AN)</f>
        <v>4.0490289750450791E-3</v>
      </c>
      <c r="AP441" s="5">
        <v>120</v>
      </c>
      <c r="AQ441" s="5">
        <f t="shared" si="55"/>
        <v>870.83333333333337</v>
      </c>
    </row>
    <row r="442" spans="1:43" x14ac:dyDescent="0.25">
      <c r="A442" t="s">
        <v>507</v>
      </c>
      <c r="B442">
        <v>2766</v>
      </c>
      <c r="C442" t="s">
        <v>44</v>
      </c>
      <c r="D442" t="s">
        <v>45</v>
      </c>
      <c r="E442" t="s">
        <v>128</v>
      </c>
      <c r="F442" s="5">
        <v>479</v>
      </c>
      <c r="G442" s="5">
        <v>0</v>
      </c>
      <c r="H442" s="6">
        <f>Table1[[#This Row],[2024 U.S. Sales ($000)]]/SUMIF($E:$E, E442, $G:$G)</f>
        <v>0</v>
      </c>
      <c r="I442" s="5">
        <v>0</v>
      </c>
      <c r="J442" s="5" t="e">
        <f>Table1[[#This Row],[2024 U.S. Sales ($000)]]/Table1[[#This Row],[2024 U.S. Units]]</f>
        <v>#DIV/0!</v>
      </c>
      <c r="K442" s="6">
        <f>Table1[[#This Row],[2024 U.S. Units]]/Table1[[#This Row],[2023 U.S. Units]]-1</f>
        <v>-1</v>
      </c>
      <c r="L442" s="8">
        <f>(Table1[[#This Row],[2024 Market share (%)]]-Table1[[#This Row],[2023 Market share (%)]])*10000</f>
        <v>-115.6366983548419</v>
      </c>
      <c r="M442" s="6">
        <f>_xlfn.RRI(5,Table1[[#This Row],[2019 U.S. Sales ($000)]],Table1[[#This Row],[2024 U.S. Sales ($000)]])</f>
        <v>-1</v>
      </c>
      <c r="N442" s="9">
        <f>(Table1[[#This Row],[2024 Market share (%)]]-Table1[[#This Row],[2019 Market share (%)]])*10000</f>
        <v>-192.79220559046956</v>
      </c>
      <c r="O442" s="6" t="e">
        <f>IF(Table1[[#This Row],[2024 AUV]]=0,"",_xlfn.RRI(5,Table1[[#This Row],[2019 AUV]],Table1[[#This Row],[2024 AUV]]))</f>
        <v>#DIV/0!</v>
      </c>
      <c r="P442" s="6">
        <f>_xlfn.RRI(5,Table1[[#This Row],[2019 U.S. Units]],Table1[[#This Row],[2024 U.S. Units]])</f>
        <v>-1</v>
      </c>
      <c r="Q442" s="5">
        <v>60100</v>
      </c>
      <c r="R442" s="6">
        <f>Table1[[#This Row],[2023 U.S. Sales ($000)]]/SUMIF($E:$E, E442, $Q:$Q)</f>
        <v>1.1563669835484189E-2</v>
      </c>
      <c r="S442" s="8">
        <f>(Table1[[#This Row],[2023 Market share (%)]]-Table1[[#This Row],[2022 Market share (%)]])*10000</f>
        <v>-22.960874788108647</v>
      </c>
      <c r="T442" s="10">
        <v>-2.1172638436482084E-2</v>
      </c>
      <c r="U442" s="5">
        <v>61</v>
      </c>
      <c r="V442" s="5">
        <f t="shared" si="48"/>
        <v>985.24590163934431</v>
      </c>
      <c r="W442" s="10">
        <v>-3.1746031746031744E-2</v>
      </c>
      <c r="X442" s="10">
        <f t="shared" si="49"/>
        <v>-3.3233688232645275E-2</v>
      </c>
      <c r="Y442" s="8">
        <f>(Table1[[#This Row],[2023 Market share (%)]]-Table1[[#This Row],[2019 Market share (%)]])*10000</f>
        <v>-77.155507235627681</v>
      </c>
      <c r="Z442" s="10">
        <f t="shared" si="50"/>
        <v>1.8015441510527586E-2</v>
      </c>
      <c r="AA442" s="10">
        <f t="shared" si="51"/>
        <v>-5.0342192911268291E-2</v>
      </c>
      <c r="AB442" s="5">
        <v>61400</v>
      </c>
      <c r="AC442" s="6">
        <f>Table1[[#This Row],[2022 U.S. Sales ($000)]]/SUMIF($E:$E, E442, $AB:$AB)</f>
        <v>1.3859757314295054E-2</v>
      </c>
      <c r="AD442" s="5">
        <v>63</v>
      </c>
      <c r="AE442" s="5">
        <f t="shared" si="52"/>
        <v>974.60317460317458</v>
      </c>
      <c r="AF442" s="5">
        <v>61507</v>
      </c>
      <c r="AG442" s="6">
        <f>Table1[[#This Row],[2021 U.S. Sales ($000)]]/SUMIF($E:$E, E442, $AF:$AF)</f>
        <v>1.6302538559729945E-2</v>
      </c>
      <c r="AH442" s="5">
        <v>65</v>
      </c>
      <c r="AI442" s="12">
        <f t="shared" si="53"/>
        <v>946.26153846153841</v>
      </c>
      <c r="AJ442" s="5">
        <v>52638</v>
      </c>
      <c r="AK442" s="6">
        <f>Table1[[#This Row],[2020 U.S. Sales ($000)]]/SUMIF($E:$E, E442, $AJ:$AJ)</f>
        <v>1.7177429618486017E-2</v>
      </c>
      <c r="AL442" s="5">
        <v>70</v>
      </c>
      <c r="AM442" s="5">
        <f t="shared" si="54"/>
        <v>751.97142857142853</v>
      </c>
      <c r="AN442" s="5">
        <v>68800</v>
      </c>
      <c r="AO442" s="6">
        <f>Table1[[#This Row],[2019 U.S. Sales ($000)]]/SUMIF($E:$E, E442, $AN:$AN)</f>
        <v>1.9279220559046958E-2</v>
      </c>
      <c r="AP442" s="5">
        <v>75</v>
      </c>
      <c r="AQ442" s="5">
        <f t="shared" si="55"/>
        <v>917.33333333333337</v>
      </c>
    </row>
    <row r="443" spans="1:43" x14ac:dyDescent="0.25">
      <c r="A443" t="s">
        <v>508</v>
      </c>
      <c r="B443">
        <v>2419</v>
      </c>
      <c r="C443" t="s">
        <v>44</v>
      </c>
      <c r="D443" t="s">
        <v>56</v>
      </c>
      <c r="E443" t="s">
        <v>128</v>
      </c>
      <c r="F443" s="5">
        <v>376</v>
      </c>
      <c r="G443" s="5">
        <v>0</v>
      </c>
      <c r="H443" s="6">
        <f>Table1[[#This Row],[2024 U.S. Sales ($000)]]/SUMIF($E:$E, E443, $G:$G)</f>
        <v>0</v>
      </c>
      <c r="I443" s="5">
        <v>0</v>
      </c>
      <c r="J443" s="5" t="e">
        <f>Table1[[#This Row],[2024 U.S. Sales ($000)]]/Table1[[#This Row],[2024 U.S. Units]]</f>
        <v>#DIV/0!</v>
      </c>
      <c r="K443" s="6">
        <f>Table1[[#This Row],[2024 U.S. Units]]/Table1[[#This Row],[2023 U.S. Units]]-1</f>
        <v>-1</v>
      </c>
      <c r="L443" s="8">
        <f>(Table1[[#This Row],[2024 Market share (%)]]-Table1[[#This Row],[2023 Market share (%)]])*10000</f>
        <v>-162.19922913998622</v>
      </c>
      <c r="M443" s="6">
        <f>_xlfn.RRI(5,Table1[[#This Row],[2019 U.S. Sales ($000)]],Table1[[#This Row],[2024 U.S. Sales ($000)]])</f>
        <v>-1</v>
      </c>
      <c r="N443" s="9">
        <f>(Table1[[#This Row],[2024 Market share (%)]]-Table1[[#This Row],[2019 Market share (%)]])*10000</f>
        <v>-271.53437095518171</v>
      </c>
      <c r="O443" s="6" t="e">
        <f>IF(Table1[[#This Row],[2024 AUV]]=0,"",_xlfn.RRI(5,Table1[[#This Row],[2019 AUV]],Table1[[#This Row],[2024 AUV]]))</f>
        <v>#DIV/0!</v>
      </c>
      <c r="P443" s="6">
        <f>_xlfn.RRI(5,Table1[[#This Row],[2019 U.S. Units]],Table1[[#This Row],[2024 U.S. Units]])</f>
        <v>-1</v>
      </c>
      <c r="Q443" s="5">
        <v>84300</v>
      </c>
      <c r="R443" s="6">
        <f>Table1[[#This Row],[2023 U.S. Sales ($000)]]/SUMIF($E:$E, E443, $Q:$Q)</f>
        <v>1.6219922913998621E-2</v>
      </c>
      <c r="S443" s="8">
        <f>(Table1[[#This Row],[2023 Market share (%)]]-Table1[[#This Row],[2022 Market share (%)]])*10000</f>
        <v>-35.539327982529528</v>
      </c>
      <c r="T443" s="10">
        <v>-3.7671232876712327E-2</v>
      </c>
      <c r="U443" s="5">
        <v>48</v>
      </c>
      <c r="V443" s="5">
        <f t="shared" si="48"/>
        <v>1756.25</v>
      </c>
      <c r="W443" s="10">
        <v>-0.04</v>
      </c>
      <c r="X443" s="10">
        <f t="shared" si="49"/>
        <v>-3.4225021554212365E-2</v>
      </c>
      <c r="Y443" s="8">
        <f>(Table1[[#This Row],[2023 Market share (%)]]-Table1[[#This Row],[2019 Market share (%)]])*10000</f>
        <v>-109.33514181519547</v>
      </c>
      <c r="Z443" s="10">
        <f t="shared" si="50"/>
        <v>2.1182709158505952E-2</v>
      </c>
      <c r="AA443" s="10">
        <f t="shared" si="51"/>
        <v>-5.4258390996824168E-2</v>
      </c>
      <c r="AB443" s="5">
        <v>87600</v>
      </c>
      <c r="AC443" s="6">
        <f>Table1[[#This Row],[2022 U.S. Sales ($000)]]/SUMIF($E:$E, E443, $AB:$AB)</f>
        <v>1.9773855712251574E-2</v>
      </c>
      <c r="AD443" s="5">
        <v>50</v>
      </c>
      <c r="AE443" s="5">
        <f t="shared" si="52"/>
        <v>1752</v>
      </c>
      <c r="AF443" s="5">
        <v>87200</v>
      </c>
      <c r="AG443" s="6">
        <f>Table1[[#This Row],[2021 U.S. Sales ($000)]]/SUMIF($E:$E, E443, $AF:$AF)</f>
        <v>2.3112513411619021E-2</v>
      </c>
      <c r="AH443" s="5">
        <v>54</v>
      </c>
      <c r="AI443" s="12">
        <f t="shared" si="53"/>
        <v>1614.8148148148148</v>
      </c>
      <c r="AJ443" s="5">
        <v>74500</v>
      </c>
      <c r="AK443" s="6">
        <f>Table1[[#This Row],[2020 U.S. Sales ($000)]]/SUMIF($E:$E, E443, $AJ:$AJ)</f>
        <v>2.431168559932384E-2</v>
      </c>
      <c r="AL443" s="5">
        <v>56</v>
      </c>
      <c r="AM443" s="5">
        <f t="shared" si="54"/>
        <v>1330.3571428571429</v>
      </c>
      <c r="AN443" s="5">
        <v>96900</v>
      </c>
      <c r="AO443" s="6">
        <f>Table1[[#This Row],[2019 U.S. Sales ($000)]]/SUMIF($E:$E, E443, $AN:$AN)</f>
        <v>2.7153437095518169E-2</v>
      </c>
      <c r="AP443" s="5">
        <v>60</v>
      </c>
      <c r="AQ443" s="5">
        <f t="shared" si="55"/>
        <v>1615</v>
      </c>
    </row>
    <row r="444" spans="1:43" x14ac:dyDescent="0.25">
      <c r="A444" t="s">
        <v>509</v>
      </c>
      <c r="B444">
        <v>828</v>
      </c>
      <c r="C444" t="s">
        <v>68</v>
      </c>
      <c r="D444" t="s">
        <v>92</v>
      </c>
      <c r="E444" t="s">
        <v>93</v>
      </c>
      <c r="F444" s="5">
        <v>274</v>
      </c>
      <c r="G444" s="5">
        <v>0</v>
      </c>
      <c r="H444" s="6">
        <f>Table1[[#This Row],[2024 U.S. Sales ($000)]]/SUMIF($E:$E, E444, $G:$G)</f>
        <v>0</v>
      </c>
      <c r="I444" s="5">
        <v>0</v>
      </c>
      <c r="J444" s="5" t="e">
        <f>Table1[[#This Row],[2024 U.S. Sales ($000)]]/Table1[[#This Row],[2024 U.S. Units]]</f>
        <v>#DIV/0!</v>
      </c>
      <c r="K444" s="6">
        <f>Table1[[#This Row],[2024 U.S. Units]]/Table1[[#This Row],[2023 U.S. Units]]-1</f>
        <v>-1</v>
      </c>
      <c r="L444" s="8">
        <f>(Table1[[#This Row],[2024 Market share (%)]]-Table1[[#This Row],[2023 Market share (%)]])*10000</f>
        <v>-75.19851751494042</v>
      </c>
      <c r="M444" s="6">
        <f>_xlfn.RRI(5,Table1[[#This Row],[2019 U.S. Sales ($000)]],Table1[[#This Row],[2024 U.S. Sales ($000)]])</f>
        <v>-1</v>
      </c>
      <c r="N444" s="9">
        <f>(Table1[[#This Row],[2024 Market share (%)]]-Table1[[#This Row],[2019 Market share (%)]])*10000</f>
        <v>-89.705073913735006</v>
      </c>
      <c r="O444" s="6" t="e">
        <f>IF(Table1[[#This Row],[2024 AUV]]=0,"",_xlfn.RRI(5,Table1[[#This Row],[2019 AUV]],Table1[[#This Row],[2024 AUV]]))</f>
        <v>#DIV/0!</v>
      </c>
      <c r="P444" s="6">
        <f>_xlfn.RRI(5,Table1[[#This Row],[2019 U.S. Units]],Table1[[#This Row],[2024 U.S. Units]])</f>
        <v>-1</v>
      </c>
      <c r="Q444" s="5">
        <v>131600</v>
      </c>
      <c r="R444" s="6">
        <f>Table1[[#This Row],[2023 U.S. Sales ($000)]]/SUMIF($E:$E, E444, $Q:$Q)</f>
        <v>7.5198517514940416E-3</v>
      </c>
      <c r="S444" s="8">
        <f>(Table1[[#This Row],[2023 Market share (%)]]-Table1[[#This Row],[2022 Market share (%)]])*10000</f>
        <v>-4.1773544238664186</v>
      </c>
      <c r="T444" s="10">
        <v>3.8138825324180014E-3</v>
      </c>
      <c r="U444" s="5">
        <v>56</v>
      </c>
      <c r="V444" s="5">
        <f t="shared" si="48"/>
        <v>2350</v>
      </c>
      <c r="W444" s="10">
        <v>-1.7543859649122806E-2</v>
      </c>
      <c r="X444" s="10">
        <f t="shared" si="49"/>
        <v>-3.5387078268341643E-2</v>
      </c>
      <c r="Y444" s="8">
        <f>(Table1[[#This Row],[2023 Market share (%)]]-Table1[[#This Row],[2019 Market share (%)]])*10000</f>
        <v>-14.506556398794588</v>
      </c>
      <c r="Z444" s="10">
        <f t="shared" si="50"/>
        <v>-6.5609986144409271E-3</v>
      </c>
      <c r="AA444" s="10">
        <f t="shared" si="51"/>
        <v>-2.9016456585353123E-2</v>
      </c>
      <c r="AB444" s="5">
        <v>131100</v>
      </c>
      <c r="AC444" s="6">
        <f>Table1[[#This Row],[2022 U.S. Sales ($000)]]/SUMIF($E:$E, E444, $AB:$AB)</f>
        <v>7.9375871938806835E-3</v>
      </c>
      <c r="AD444" s="5">
        <v>57</v>
      </c>
      <c r="AE444" s="5">
        <f t="shared" si="52"/>
        <v>2300</v>
      </c>
      <c r="AF444" s="5">
        <v>125900</v>
      </c>
      <c r="AG444" s="6">
        <f>Table1[[#This Row],[2021 U.S. Sales ($000)]]/SUMIF($E:$E, E444, $AF:$AF)</f>
        <v>8.3390831499320119E-3</v>
      </c>
      <c r="AH444" s="5">
        <v>57</v>
      </c>
      <c r="AI444" s="12">
        <f t="shared" si="53"/>
        <v>2208.7719298245615</v>
      </c>
      <c r="AJ444" s="5">
        <v>104900</v>
      </c>
      <c r="AK444" s="6">
        <f>Table1[[#This Row],[2020 U.S. Sales ($000)]]/SUMIF($E:$E, E444, $AJ:$AJ)</f>
        <v>9.8295422441210395E-3</v>
      </c>
      <c r="AL444" s="5">
        <v>59</v>
      </c>
      <c r="AM444" s="5">
        <f t="shared" si="54"/>
        <v>1777.9661016949153</v>
      </c>
      <c r="AN444" s="5">
        <v>152000</v>
      </c>
      <c r="AO444" s="6">
        <f>Table1[[#This Row],[2019 U.S. Sales ($000)]]/SUMIF($E:$E, E444, $AN:$AN)</f>
        <v>8.9705073913735004E-3</v>
      </c>
      <c r="AP444" s="5">
        <v>63</v>
      </c>
      <c r="AQ444" s="5">
        <f t="shared" si="55"/>
        <v>2412.6984126984125</v>
      </c>
    </row>
    <row r="445" spans="1:43" x14ac:dyDescent="0.25">
      <c r="A445" t="s">
        <v>510</v>
      </c>
      <c r="B445">
        <v>6514</v>
      </c>
      <c r="C445" t="s">
        <v>68</v>
      </c>
      <c r="D445" t="s">
        <v>69</v>
      </c>
      <c r="E445" t="s">
        <v>73</v>
      </c>
      <c r="F445" s="5">
        <v>282</v>
      </c>
      <c r="G445" s="5">
        <v>0</v>
      </c>
      <c r="H445" s="6">
        <f>Table1[[#This Row],[2024 U.S. Sales ($000)]]/SUMIF($E:$E, E445, $G:$G)</f>
        <v>0</v>
      </c>
      <c r="I445" s="5">
        <v>0</v>
      </c>
      <c r="J445" s="5" t="e">
        <f>Table1[[#This Row],[2024 U.S. Sales ($000)]]/Table1[[#This Row],[2024 U.S. Units]]</f>
        <v>#DIV/0!</v>
      </c>
      <c r="K445" s="6">
        <f>Table1[[#This Row],[2024 U.S. Units]]/Table1[[#This Row],[2023 U.S. Units]]-1</f>
        <v>-1</v>
      </c>
      <c r="L445" s="8">
        <f>(Table1[[#This Row],[2024 Market share (%)]]-Table1[[#This Row],[2023 Market share (%)]])*10000</f>
        <v>-130.78663971280758</v>
      </c>
      <c r="M445" s="6">
        <f>_xlfn.RRI(5,Table1[[#This Row],[2019 U.S. Sales ($000)]],Table1[[#This Row],[2024 U.S. Sales ($000)]])</f>
        <v>-1</v>
      </c>
      <c r="N445" s="9">
        <f>(Table1[[#This Row],[2024 Market share (%)]]-Table1[[#This Row],[2019 Market share (%)]])*10000</f>
        <v>-159.1881143049597</v>
      </c>
      <c r="O445" s="6" t="e">
        <f>IF(Table1[[#This Row],[2024 AUV]]=0,"",_xlfn.RRI(5,Table1[[#This Row],[2019 AUV]],Table1[[#This Row],[2024 AUV]]))</f>
        <v>#DIV/0!</v>
      </c>
      <c r="P445" s="6">
        <f>_xlfn.RRI(5,Table1[[#This Row],[2019 U.S. Units]],Table1[[#This Row],[2024 U.S. Units]])</f>
        <v>-1</v>
      </c>
      <c r="Q445" s="5">
        <v>125686</v>
      </c>
      <c r="R445" s="6">
        <f>Table1[[#This Row],[2023 U.S. Sales ($000)]]/SUMIF($E:$E, E445, $Q:$Q)</f>
        <v>1.3078663971280758E-2</v>
      </c>
      <c r="S445" s="8">
        <f>(Table1[[#This Row],[2023 Market share (%)]]-Table1[[#This Row],[2022 Market share (%)]])*10000</f>
        <v>-9.4799669065384276</v>
      </c>
      <c r="T445" s="10">
        <v>-2.432094644423571E-2</v>
      </c>
      <c r="U445" s="5">
        <v>59</v>
      </c>
      <c r="V445" s="5">
        <f t="shared" si="48"/>
        <v>2130.2711864406779</v>
      </c>
      <c r="W445" s="10">
        <v>-1.6666666666666666E-2</v>
      </c>
      <c r="X445" s="10">
        <f t="shared" si="49"/>
        <v>-3.5438169407518982E-2</v>
      </c>
      <c r="Y445" s="8">
        <f>(Table1[[#This Row],[2023 Market share (%)]]-Table1[[#This Row],[2019 Market share (%)]])*10000</f>
        <v>-28.401474592152123</v>
      </c>
      <c r="Z445" s="10">
        <f t="shared" si="50"/>
        <v>-8.0196871309552442E-3</v>
      </c>
      <c r="AA445" s="10">
        <f t="shared" si="51"/>
        <v>-2.7640147612670751E-2</v>
      </c>
      <c r="AB445" s="5">
        <v>128819</v>
      </c>
      <c r="AC445" s="6">
        <f>Table1[[#This Row],[2022 U.S. Sales ($000)]]/SUMIF($E:$E, E445, $AB:$AB)</f>
        <v>1.4026660661934601E-2</v>
      </c>
      <c r="AD445" s="5">
        <v>60</v>
      </c>
      <c r="AE445" s="5">
        <f t="shared" si="52"/>
        <v>2146.9833333333331</v>
      </c>
      <c r="AF445" s="5">
        <v>125900</v>
      </c>
      <c r="AG445" s="6">
        <f>Table1[[#This Row],[2021 U.S. Sales ($000)]]/SUMIF($E:$E, E445, $AF:$AF)</f>
        <v>1.5035632897439309E-2</v>
      </c>
      <c r="AH445" s="5">
        <v>61</v>
      </c>
      <c r="AI445" s="12">
        <f t="shared" si="53"/>
        <v>2063.9344262295081</v>
      </c>
      <c r="AJ445" s="5">
        <v>113500</v>
      </c>
      <c r="AK445" s="6">
        <f>Table1[[#This Row],[2020 U.S. Sales ($000)]]/SUMIF($E:$E, E445, $AJ:$AJ)</f>
        <v>1.6451948207817532E-2</v>
      </c>
      <c r="AL445" s="5">
        <v>63</v>
      </c>
      <c r="AM445" s="5">
        <f t="shared" si="54"/>
        <v>1801.5873015873017</v>
      </c>
      <c r="AN445" s="5">
        <v>145200</v>
      </c>
      <c r="AO445" s="6">
        <f>Table1[[#This Row],[2019 U.S. Sales ($000)]]/SUMIF($E:$E, E445, $AN:$AN)</f>
        <v>1.591881143049597E-2</v>
      </c>
      <c r="AP445" s="5">
        <v>66</v>
      </c>
      <c r="AQ445" s="5">
        <f t="shared" si="55"/>
        <v>2200</v>
      </c>
    </row>
    <row r="446" spans="1:43" x14ac:dyDescent="0.25">
      <c r="A446" t="s">
        <v>511</v>
      </c>
      <c r="B446">
        <v>29830</v>
      </c>
      <c r="C446" t="s">
        <v>44</v>
      </c>
      <c r="D446" t="s">
        <v>45</v>
      </c>
      <c r="E446" t="s">
        <v>112</v>
      </c>
      <c r="F446" s="5">
        <v>417</v>
      </c>
      <c r="G446" s="5">
        <v>0</v>
      </c>
      <c r="H446" s="6">
        <f>Table1[[#This Row],[2024 U.S. Sales ($000)]]/SUMIF($E:$E, E446, $G:$G)</f>
        <v>0</v>
      </c>
      <c r="I446" s="5">
        <v>0</v>
      </c>
      <c r="J446" s="5" t="e">
        <f>Table1[[#This Row],[2024 U.S. Sales ($000)]]/Table1[[#This Row],[2024 U.S. Units]]</f>
        <v>#DIV/0!</v>
      </c>
      <c r="K446" s="6">
        <f>Table1[[#This Row],[2024 U.S. Units]]/Table1[[#This Row],[2023 U.S. Units]]-1</f>
        <v>-1</v>
      </c>
      <c r="L446" s="8">
        <f>(Table1[[#This Row],[2024 Market share (%)]]-Table1[[#This Row],[2023 Market share (%)]])*10000</f>
        <v>-91.235021294012284</v>
      </c>
      <c r="M446" s="6">
        <f>_xlfn.RRI(5,Table1[[#This Row],[2019 U.S. Sales ($000)]],Table1[[#This Row],[2024 U.S. Sales ($000)]])</f>
        <v>-1</v>
      </c>
      <c r="N446" s="9">
        <f>(Table1[[#This Row],[2024 Market share (%)]]-Table1[[#This Row],[2019 Market share (%)]])*10000</f>
        <v>-181.80893507526747</v>
      </c>
      <c r="O446" s="6" t="e">
        <f>IF(Table1[[#This Row],[2024 AUV]]=0,"",_xlfn.RRI(5,Table1[[#This Row],[2019 AUV]],Table1[[#This Row],[2024 AUV]]))</f>
        <v>#DIV/0!</v>
      </c>
      <c r="P446" s="6">
        <f>_xlfn.RRI(5,Table1[[#This Row],[2019 U.S. Units]],Table1[[#This Row],[2024 U.S. Units]])</f>
        <v>-1</v>
      </c>
      <c r="Q446" s="5">
        <v>75500</v>
      </c>
      <c r="R446" s="6">
        <f>Table1[[#This Row],[2023 U.S. Sales ($000)]]/SUMIF($E:$E, E446, $Q:$Q)</f>
        <v>9.1235021294012279E-3</v>
      </c>
      <c r="S446" s="8">
        <f>(Table1[[#This Row],[2023 Market share (%)]]-Table1[[#This Row],[2022 Market share (%)]])*10000</f>
        <v>-15.533926773056498</v>
      </c>
      <c r="T446" s="10">
        <v>-4.1878172588832488E-2</v>
      </c>
      <c r="U446" s="5">
        <v>154</v>
      </c>
      <c r="V446" s="5">
        <f t="shared" si="48"/>
        <v>490.25974025974028</v>
      </c>
      <c r="W446" s="10">
        <v>-6.097560975609756E-2</v>
      </c>
      <c r="X446" s="10">
        <f t="shared" si="49"/>
        <v>-3.8395333956937727E-2</v>
      </c>
      <c r="Y446" s="8">
        <f>(Table1[[#This Row],[2023 Market share (%)]]-Table1[[#This Row],[2019 Market share (%)]])*10000</f>
        <v>-90.573913781255186</v>
      </c>
      <c r="Z446" s="10">
        <f t="shared" si="50"/>
        <v>1.3455728943789547E-2</v>
      </c>
      <c r="AA446" s="10">
        <f t="shared" si="51"/>
        <v>-5.1162632387273477E-2</v>
      </c>
      <c r="AB446" s="5">
        <v>78800</v>
      </c>
      <c r="AC446" s="6">
        <f>Table1[[#This Row],[2022 U.S. Sales ($000)]]/SUMIF($E:$E, E446, $AB:$AB)</f>
        <v>1.0676894806706878E-2</v>
      </c>
      <c r="AD446" s="5">
        <v>164</v>
      </c>
      <c r="AE446" s="5">
        <f t="shared" si="52"/>
        <v>480.48780487804879</v>
      </c>
      <c r="AF446" s="5">
        <v>80400</v>
      </c>
      <c r="AG446" s="6">
        <f>Table1[[#This Row],[2021 U.S. Sales ($000)]]/SUMIF($E:$E, E446, $AF:$AF)</f>
        <v>1.2851908924084221E-2</v>
      </c>
      <c r="AH446" s="5">
        <v>175</v>
      </c>
      <c r="AI446" s="12">
        <f t="shared" si="53"/>
        <v>459.42857142857144</v>
      </c>
      <c r="AJ446" s="5">
        <v>74500</v>
      </c>
      <c r="AK446" s="6">
        <f>Table1[[#This Row],[2020 U.S. Sales ($000)]]/SUMIF($E:$E, E446, $AJ:$AJ)</f>
        <v>1.6141815709431719E-2</v>
      </c>
      <c r="AL446" s="5">
        <v>187</v>
      </c>
      <c r="AM446" s="5">
        <f t="shared" si="54"/>
        <v>398.39572192513367</v>
      </c>
      <c r="AN446" s="5">
        <v>88300</v>
      </c>
      <c r="AO446" s="6">
        <f>Table1[[#This Row],[2019 U.S. Sales ($000)]]/SUMIF($E:$E, E446, $AN:$AN)</f>
        <v>1.8180893507526746E-2</v>
      </c>
      <c r="AP446" s="5">
        <v>190</v>
      </c>
      <c r="AQ446" s="5">
        <f t="shared" si="55"/>
        <v>464.73684210526318</v>
      </c>
    </row>
    <row r="447" spans="1:43" x14ac:dyDescent="0.25">
      <c r="A447" t="s">
        <v>512</v>
      </c>
      <c r="B447">
        <v>469</v>
      </c>
      <c r="C447" t="s">
        <v>68</v>
      </c>
      <c r="D447" t="s">
        <v>92</v>
      </c>
      <c r="E447" t="s">
        <v>93</v>
      </c>
      <c r="F447" s="5">
        <v>216</v>
      </c>
      <c r="G447" s="5">
        <v>0</v>
      </c>
      <c r="H447" s="6">
        <f>Table1[[#This Row],[2024 U.S. Sales ($000)]]/SUMIF($E:$E, E447, $G:$G)</f>
        <v>0</v>
      </c>
      <c r="I447" s="5">
        <v>0</v>
      </c>
      <c r="J447" s="5" t="e">
        <f>Table1[[#This Row],[2024 U.S. Sales ($000)]]/Table1[[#This Row],[2024 U.S. Units]]</f>
        <v>#DIV/0!</v>
      </c>
      <c r="K447" s="6">
        <f>Table1[[#This Row],[2024 U.S. Units]]/Table1[[#This Row],[2023 U.S. Units]]-1</f>
        <v>-1</v>
      </c>
      <c r="L447" s="8">
        <f>(Table1[[#This Row],[2024 Market share (%)]]-Table1[[#This Row],[2023 Market share (%)]])*10000</f>
        <v>-104.96935917549055</v>
      </c>
      <c r="M447" s="6">
        <f>_xlfn.RRI(5,Table1[[#This Row],[2019 U.S. Sales ($000)]],Table1[[#This Row],[2024 U.S. Sales ($000)]])</f>
        <v>-1</v>
      </c>
      <c r="N447" s="9">
        <f>(Table1[[#This Row],[2024 Market share (%)]]-Table1[[#This Row],[2019 Market share (%)]])*10000</f>
        <v>-126.88546639113831</v>
      </c>
      <c r="O447" s="6" t="e">
        <f>IF(Table1[[#This Row],[2024 AUV]]=0,"",_xlfn.RRI(5,Table1[[#This Row],[2019 AUV]],Table1[[#This Row],[2024 AUV]]))</f>
        <v>#DIV/0!</v>
      </c>
      <c r="P447" s="6">
        <f>_xlfn.RRI(5,Table1[[#This Row],[2019 U.S. Units]],Table1[[#This Row],[2024 U.S. Units]])</f>
        <v>-1</v>
      </c>
      <c r="Q447" s="5">
        <v>183700</v>
      </c>
      <c r="R447" s="6">
        <f>Table1[[#This Row],[2023 U.S. Sales ($000)]]/SUMIF($E:$E, E447, $Q:$Q)</f>
        <v>1.0496935917549055E-2</v>
      </c>
      <c r="S447" s="8">
        <f>(Table1[[#This Row],[2023 Market share (%)]]-Table1[[#This Row],[2022 Market share (%)]])*10000</f>
        <v>-12.683120300306591</v>
      </c>
      <c r="T447" s="10">
        <v>-5.4647255286410491E-2</v>
      </c>
      <c r="U447" s="5">
        <v>95</v>
      </c>
      <c r="V447" s="5">
        <f t="shared" si="48"/>
        <v>1933.6842105263158</v>
      </c>
      <c r="W447" s="10">
        <v>-6.8627450980392163E-2</v>
      </c>
      <c r="X447" s="10">
        <f t="shared" si="49"/>
        <v>-3.8569989867456411E-2</v>
      </c>
      <c r="Y447" s="8">
        <f>(Table1[[#This Row],[2023 Market share (%)]]-Table1[[#This Row],[2019 Market share (%)]])*10000</f>
        <v>-21.916107215647767</v>
      </c>
      <c r="Z447" s="10">
        <f t="shared" si="50"/>
        <v>1.2822260996034895E-2</v>
      </c>
      <c r="AA447" s="10">
        <f t="shared" si="51"/>
        <v>-5.0741628460013177E-2</v>
      </c>
      <c r="AB447" s="5">
        <v>194319</v>
      </c>
      <c r="AC447" s="6">
        <f>Table1[[#This Row],[2022 U.S. Sales ($000)]]/SUMIF($E:$E, E447, $AB:$AB)</f>
        <v>1.1765247947579714E-2</v>
      </c>
      <c r="AD447" s="5">
        <v>102</v>
      </c>
      <c r="AE447" s="5">
        <f t="shared" si="52"/>
        <v>1905.0882352941176</v>
      </c>
      <c r="AF447" s="5">
        <v>184583</v>
      </c>
      <c r="AG447" s="6">
        <f>Table1[[#This Row],[2021 U.S. Sales ($000)]]/SUMIF($E:$E, E447, $AF:$AF)</f>
        <v>1.2225996704240672E-2</v>
      </c>
      <c r="AH447" s="5">
        <v>103</v>
      </c>
      <c r="AI447" s="12">
        <f t="shared" si="53"/>
        <v>1792.0679611650485</v>
      </c>
      <c r="AJ447" s="5">
        <v>161300</v>
      </c>
      <c r="AK447" s="6">
        <f>Table1[[#This Row],[2020 U.S. Sales ($000)]]/SUMIF($E:$E, E447, $AJ:$AJ)</f>
        <v>1.5114443889196602E-2</v>
      </c>
      <c r="AL447" s="5">
        <v>104</v>
      </c>
      <c r="AM447" s="5">
        <f t="shared" si="54"/>
        <v>1550.9615384615386</v>
      </c>
      <c r="AN447" s="5">
        <v>215000</v>
      </c>
      <c r="AO447" s="6">
        <f>Table1[[#This Row],[2019 U.S. Sales ($000)]]/SUMIF($E:$E, E447, $AN:$AN)</f>
        <v>1.2688546639113832E-2</v>
      </c>
      <c r="AP447" s="5">
        <v>117</v>
      </c>
      <c r="AQ447" s="5">
        <f t="shared" si="55"/>
        <v>1837.6068376068376</v>
      </c>
    </row>
    <row r="448" spans="1:43" x14ac:dyDescent="0.25">
      <c r="A448" t="s">
        <v>513</v>
      </c>
      <c r="B448">
        <v>6641</v>
      </c>
      <c r="C448" t="s">
        <v>44</v>
      </c>
      <c r="D448" t="s">
        <v>56</v>
      </c>
      <c r="E448" t="s">
        <v>59</v>
      </c>
      <c r="F448" s="5">
        <v>353</v>
      </c>
      <c r="G448" s="5">
        <v>0</v>
      </c>
      <c r="H448" s="6">
        <f>Table1[[#This Row],[2024 U.S. Sales ($000)]]/SUMIF($E:$E, E448, $G:$G)</f>
        <v>0</v>
      </c>
      <c r="I448" s="5">
        <v>0</v>
      </c>
      <c r="J448" s="5" t="e">
        <f>Table1[[#This Row],[2024 U.S. Sales ($000)]]/Table1[[#This Row],[2024 U.S. Units]]</f>
        <v>#DIV/0!</v>
      </c>
      <c r="K448" s="6">
        <f>Table1[[#This Row],[2024 U.S. Units]]/Table1[[#This Row],[2023 U.S. Units]]-1</f>
        <v>-1</v>
      </c>
      <c r="L448" s="8">
        <f>(Table1[[#This Row],[2024 Market share (%)]]-Table1[[#This Row],[2023 Market share (%)]])*10000</f>
        <v>-24.966288891150477</v>
      </c>
      <c r="M448" s="6">
        <f>_xlfn.RRI(5,Table1[[#This Row],[2019 U.S. Sales ($000)]],Table1[[#This Row],[2024 U.S. Sales ($000)]])</f>
        <v>-1</v>
      </c>
      <c r="N448" s="9">
        <f>(Table1[[#This Row],[2024 Market share (%)]]-Table1[[#This Row],[2019 Market share (%)]])*10000</f>
        <v>-34.318169906595799</v>
      </c>
      <c r="O448" s="6" t="e">
        <f>IF(Table1[[#This Row],[2024 AUV]]=0,"",_xlfn.RRI(5,Table1[[#This Row],[2019 AUV]],Table1[[#This Row],[2024 AUV]]))</f>
        <v>#DIV/0!</v>
      </c>
      <c r="P448" s="6">
        <f>_xlfn.RRI(5,Table1[[#This Row],[2019 U.S. Units]],Table1[[#This Row],[2024 U.S. Units]])</f>
        <v>-1</v>
      </c>
      <c r="Q448" s="5">
        <v>94300</v>
      </c>
      <c r="R448" s="6">
        <f>Table1[[#This Row],[2023 U.S. Sales ($000)]]/SUMIF($E:$E, E448, $Q:$Q)</f>
        <v>2.4966288891150475E-3</v>
      </c>
      <c r="S448" s="8">
        <f>(Table1[[#This Row],[2023 Market share (%)]]-Table1[[#This Row],[2022 Market share (%)]])*10000</f>
        <v>-2.39450385302441</v>
      </c>
      <c r="T448" s="10">
        <v>-3.6772216547497447E-2</v>
      </c>
      <c r="U448" s="5">
        <v>49</v>
      </c>
      <c r="V448" s="5">
        <f t="shared" si="48"/>
        <v>1924.4897959183672</v>
      </c>
      <c r="W448" s="10">
        <v>-0.02</v>
      </c>
      <c r="X448" s="10">
        <f t="shared" si="49"/>
        <v>-4.2306543611445813E-2</v>
      </c>
      <c r="Y448" s="8">
        <f>(Table1[[#This Row],[2023 Market share (%)]]-Table1[[#This Row],[2019 Market share (%)]])*10000</f>
        <v>-9.3518810154453238</v>
      </c>
      <c r="Z448" s="10">
        <f t="shared" si="50"/>
        <v>3.2068824196027634E-3</v>
      </c>
      <c r="AA448" s="10">
        <f t="shared" si="51"/>
        <v>-4.5367936393414965E-2</v>
      </c>
      <c r="AB448" s="5">
        <v>97900</v>
      </c>
      <c r="AC448" s="6">
        <f>Table1[[#This Row],[2022 U.S. Sales ($000)]]/SUMIF($E:$E, E448, $AB:$AB)</f>
        <v>2.7360792744174885E-3</v>
      </c>
      <c r="AD448" s="5">
        <v>50</v>
      </c>
      <c r="AE448" s="5">
        <f t="shared" si="52"/>
        <v>1958</v>
      </c>
      <c r="AF448" s="5">
        <v>98400</v>
      </c>
      <c r="AG448" s="6">
        <f>Table1[[#This Row],[2021 U.S. Sales ($000)]]/SUMIF($E:$E, E448, $AF:$AF)</f>
        <v>2.9658069583979869E-3</v>
      </c>
      <c r="AH448" s="5">
        <v>52</v>
      </c>
      <c r="AI448" s="12">
        <f t="shared" si="53"/>
        <v>1892.3076923076924</v>
      </c>
      <c r="AJ448" s="5">
        <v>85200</v>
      </c>
      <c r="AK448" s="6">
        <f>Table1[[#This Row],[2020 U.S. Sales ($000)]]/SUMIF($E:$E, E448, $AJ:$AJ)</f>
        <v>2.991630177205632E-3</v>
      </c>
      <c r="AL448" s="5">
        <v>55</v>
      </c>
      <c r="AM448" s="5">
        <f t="shared" si="54"/>
        <v>1549.090909090909</v>
      </c>
      <c r="AN448" s="5">
        <v>112100</v>
      </c>
      <c r="AO448" s="6">
        <f>Table1[[#This Row],[2019 U.S. Sales ($000)]]/SUMIF($E:$E, E448, $AN:$AN)</f>
        <v>3.4318169906595798E-3</v>
      </c>
      <c r="AP448" s="5">
        <v>59</v>
      </c>
      <c r="AQ448" s="5">
        <f t="shared" si="55"/>
        <v>1900</v>
      </c>
    </row>
    <row r="449" spans="1:43" x14ac:dyDescent="0.25">
      <c r="A449" t="s">
        <v>514</v>
      </c>
      <c r="B449">
        <v>2583</v>
      </c>
      <c r="C449" t="s">
        <v>44</v>
      </c>
      <c r="D449" t="s">
        <v>45</v>
      </c>
      <c r="E449" t="s">
        <v>61</v>
      </c>
      <c r="F449" s="5">
        <v>409</v>
      </c>
      <c r="G449" s="5">
        <v>0</v>
      </c>
      <c r="H449" s="6">
        <f>Table1[[#This Row],[2024 U.S. Sales ($000)]]/SUMIF($E:$E, E449, $G:$G)</f>
        <v>0</v>
      </c>
      <c r="I449" s="5">
        <v>0</v>
      </c>
      <c r="J449" s="5" t="e">
        <f>Table1[[#This Row],[2024 U.S. Sales ($000)]]/Table1[[#This Row],[2024 U.S. Units]]</f>
        <v>#DIV/0!</v>
      </c>
      <c r="K449" s="6">
        <f>Table1[[#This Row],[2024 U.S. Units]]/Table1[[#This Row],[2023 U.S. Units]]-1</f>
        <v>-1</v>
      </c>
      <c r="L449" s="8">
        <f>(Table1[[#This Row],[2024 Market share (%)]]-Table1[[#This Row],[2023 Market share (%)]])*10000</f>
        <v>-25.305452028539705</v>
      </c>
      <c r="M449" s="6">
        <f>_xlfn.RRI(5,Table1[[#This Row],[2019 U.S. Sales ($000)]],Table1[[#This Row],[2024 U.S. Sales ($000)]])</f>
        <v>-1</v>
      </c>
      <c r="N449" s="9">
        <f>(Table1[[#This Row],[2024 Market share (%)]]-Table1[[#This Row],[2019 Market share (%)]])*10000</f>
        <v>-36.034420543463384</v>
      </c>
      <c r="O449" s="6" t="e">
        <f>IF(Table1[[#This Row],[2024 AUV]]=0,"",_xlfn.RRI(5,Table1[[#This Row],[2019 AUV]],Table1[[#This Row],[2024 AUV]]))</f>
        <v>#DIV/0!</v>
      </c>
      <c r="P449" s="6">
        <f>_xlfn.RRI(5,Table1[[#This Row],[2019 U.S. Units]],Table1[[#This Row],[2024 U.S. Units]])</f>
        <v>-1</v>
      </c>
      <c r="Q449" s="5">
        <v>77300</v>
      </c>
      <c r="R449" s="6">
        <f>Table1[[#This Row],[2023 U.S. Sales ($000)]]/SUMIF($E:$E, E449, $Q:$Q)</f>
        <v>2.5305452028539705E-3</v>
      </c>
      <c r="S449" s="8">
        <f>(Table1[[#This Row],[2023 Market share (%)]]-Table1[[#This Row],[2022 Market share (%)]])*10000</f>
        <v>-2.0832836750792709</v>
      </c>
      <c r="T449" s="10">
        <v>-4.9200492004920049E-2</v>
      </c>
      <c r="U449" s="5">
        <v>46</v>
      </c>
      <c r="V449" s="5">
        <f t="shared" si="48"/>
        <v>1680.4347826086957</v>
      </c>
      <c r="W449" s="10">
        <v>-4.1666666666666664E-2</v>
      </c>
      <c r="X449" s="10">
        <f t="shared" si="49"/>
        <v>-4.5174219930239512E-2</v>
      </c>
      <c r="Y449" s="8">
        <f>(Table1[[#This Row],[2023 Market share (%)]]-Table1[[#This Row],[2019 Market share (%)]])*10000</f>
        <v>-10.728968514923677</v>
      </c>
      <c r="Z449" s="10">
        <f t="shared" si="50"/>
        <v>-1.5522312450937381E-3</v>
      </c>
      <c r="AA449" s="10">
        <f t="shared" si="51"/>
        <v>-4.368980536612721E-2</v>
      </c>
      <c r="AB449" s="5">
        <v>81300</v>
      </c>
      <c r="AC449" s="6">
        <f>Table1[[#This Row],[2022 U.S. Sales ($000)]]/SUMIF($E:$E, E449, $AB:$AB)</f>
        <v>2.7388735703618976E-3</v>
      </c>
      <c r="AD449" s="5">
        <v>48</v>
      </c>
      <c r="AE449" s="5">
        <f t="shared" si="52"/>
        <v>1693.75</v>
      </c>
      <c r="AF449" s="5">
        <v>81900</v>
      </c>
      <c r="AG449" s="6">
        <f>Table1[[#This Row],[2021 U.S. Sales ($000)]]/SUMIF($E:$E, E449, $AF:$AF)</f>
        <v>2.8174770267257823E-3</v>
      </c>
      <c r="AH449" s="5">
        <v>50</v>
      </c>
      <c r="AI449" s="12">
        <f t="shared" si="53"/>
        <v>1638</v>
      </c>
      <c r="AJ449" s="5">
        <v>74200</v>
      </c>
      <c r="AK449" s="6">
        <f>Table1[[#This Row],[2020 U.S. Sales ($000)]]/SUMIF($E:$E, E449, $AJ:$AJ)</f>
        <v>2.7413537536355725E-3</v>
      </c>
      <c r="AL449" s="5">
        <v>51</v>
      </c>
      <c r="AM449" s="5">
        <f t="shared" si="54"/>
        <v>1454.9019607843138</v>
      </c>
      <c r="AN449" s="5">
        <v>93000</v>
      </c>
      <c r="AO449" s="6">
        <f>Table1[[#This Row],[2019 U.S. Sales ($000)]]/SUMIF($E:$E, E449, $AN:$AN)</f>
        <v>3.6034420543463383E-3</v>
      </c>
      <c r="AP449" s="5">
        <v>55</v>
      </c>
      <c r="AQ449" s="5">
        <f t="shared" si="55"/>
        <v>1690.909090909091</v>
      </c>
    </row>
    <row r="450" spans="1:43" x14ac:dyDescent="0.25">
      <c r="A450" t="s">
        <v>515</v>
      </c>
      <c r="B450">
        <v>498</v>
      </c>
      <c r="C450" t="s">
        <v>68</v>
      </c>
      <c r="D450" t="s">
        <v>69</v>
      </c>
      <c r="E450" t="s">
        <v>52</v>
      </c>
      <c r="F450" s="5">
        <v>465</v>
      </c>
      <c r="G450" s="5">
        <v>0</v>
      </c>
      <c r="H450" s="6">
        <f>Table1[[#This Row],[2024 U.S. Sales ($000)]]/SUMIF($E:$E, E450, $G:$G)</f>
        <v>0</v>
      </c>
      <c r="I450" s="5">
        <v>0</v>
      </c>
      <c r="J450" s="5" t="e">
        <f>Table1[[#This Row],[2024 U.S. Sales ($000)]]/Table1[[#This Row],[2024 U.S. Units]]</f>
        <v>#DIV/0!</v>
      </c>
      <c r="K450" s="6">
        <f>Table1[[#This Row],[2024 U.S. Units]]/Table1[[#This Row],[2023 U.S. Units]]-1</f>
        <v>-1</v>
      </c>
      <c r="L450" s="8">
        <f>(Table1[[#This Row],[2024 Market share (%)]]-Table1[[#This Row],[2023 Market share (%)]])*10000</f>
        <v>-19.492974731906621</v>
      </c>
      <c r="M450" s="6">
        <f>_xlfn.RRI(5,Table1[[#This Row],[2019 U.S. Sales ($000)]],Table1[[#This Row],[2024 U.S. Sales ($000)]])</f>
        <v>-1</v>
      </c>
      <c r="N450" s="9">
        <f>(Table1[[#This Row],[2024 Market share (%)]]-Table1[[#This Row],[2019 Market share (%)]])*10000</f>
        <v>-32.050753213325194</v>
      </c>
      <c r="O450" s="6" t="e">
        <f>IF(Table1[[#This Row],[2024 AUV]]=0,"",_xlfn.RRI(5,Table1[[#This Row],[2019 AUV]],Table1[[#This Row],[2024 AUV]]))</f>
        <v>#DIV/0!</v>
      </c>
      <c r="P450" s="6">
        <f>_xlfn.RRI(5,Table1[[#This Row],[2019 U.S. Units]],Table1[[#This Row],[2024 U.S. Units]])</f>
        <v>-1</v>
      </c>
      <c r="Q450" s="5">
        <v>64500</v>
      </c>
      <c r="R450" s="6">
        <f>Table1[[#This Row],[2023 U.S. Sales ($000)]]/SUMIF($E:$E, E450, $Q:$Q)</f>
        <v>1.949297473190662E-3</v>
      </c>
      <c r="S450" s="8">
        <f>(Table1[[#This Row],[2023 Market share (%)]]-Table1[[#This Row],[2022 Market share (%)]])*10000</f>
        <v>-3.0898708829455237</v>
      </c>
      <c r="T450" s="10">
        <v>-5.701754385964912E-2</v>
      </c>
      <c r="U450" s="5">
        <v>26</v>
      </c>
      <c r="V450" s="5">
        <f t="shared" ref="V450:V501" si="56">Q450/U450</f>
        <v>2480.7692307692309</v>
      </c>
      <c r="W450" s="10">
        <v>-7.1428571428571425E-2</v>
      </c>
      <c r="X450" s="10">
        <f t="shared" ref="X450:X501" si="57">_xlfn.RRI(4,AN450,Q450)</f>
        <v>-4.5480788181055609E-2</v>
      </c>
      <c r="Y450" s="8">
        <f>(Table1[[#This Row],[2023 Market share (%)]]-Table1[[#This Row],[2019 Market share (%)]])*10000</f>
        <v>-12.557778481418575</v>
      </c>
      <c r="Z450" s="10">
        <f t="shared" ref="Z450:Z501" si="58">_xlfn.RRI(4,AQ450,V450)</f>
        <v>-2.5715297152524297E-3</v>
      </c>
      <c r="AA450" s="10">
        <f t="shared" ref="AA450:AA501" si="59">_xlfn.RRI(4,AP450,U450)</f>
        <v>-4.3019885379403044E-2</v>
      </c>
      <c r="AB450" s="5">
        <v>68400</v>
      </c>
      <c r="AC450" s="6">
        <f>Table1[[#This Row],[2022 U.S. Sales ($000)]]/SUMIF($E:$E, E450, $AB:$AB)</f>
        <v>2.2582845614852144E-3</v>
      </c>
      <c r="AD450" s="5">
        <v>28</v>
      </c>
      <c r="AE450" s="5">
        <f t="shared" ref="AE450:AE501" si="60">AB450/AD450</f>
        <v>2442.8571428571427</v>
      </c>
      <c r="AF450" s="5">
        <v>70000</v>
      </c>
      <c r="AG450" s="6">
        <f>Table1[[#This Row],[2021 U.S. Sales ($000)]]/SUMIF($E:$E, E450, $AF:$AF)</f>
        <v>2.5538817981779587E-3</v>
      </c>
      <c r="AH450" s="5">
        <v>30</v>
      </c>
      <c r="AI450" s="12">
        <f t="shared" ref="AI450:AI501" si="61">AF450/AH450</f>
        <v>2333.3333333333335</v>
      </c>
      <c r="AJ450" s="5">
        <v>58000</v>
      </c>
      <c r="AK450" s="6">
        <f>Table1[[#This Row],[2020 U.S. Sales ($000)]]/SUMIF($E:$E, E450, $AJ:$AJ)</f>
        <v>2.4605843030757685E-3</v>
      </c>
      <c r="AL450" s="5">
        <v>31</v>
      </c>
      <c r="AM450" s="5">
        <f t="shared" ref="AM450:AM501" si="62">AJ450/AL450</f>
        <v>1870.9677419354839</v>
      </c>
      <c r="AN450" s="5">
        <v>77700</v>
      </c>
      <c r="AO450" s="6">
        <f>Table1[[#This Row],[2019 U.S. Sales ($000)]]/SUMIF($E:$E, E450, $AN:$AN)</f>
        <v>3.2050753213325196E-3</v>
      </c>
      <c r="AP450" s="5">
        <v>31</v>
      </c>
      <c r="AQ450" s="5">
        <f t="shared" ref="AQ450:AQ501" si="63">AN450/AP450</f>
        <v>2506.4516129032259</v>
      </c>
    </row>
    <row r="451" spans="1:43" x14ac:dyDescent="0.25">
      <c r="A451" t="s">
        <v>516</v>
      </c>
      <c r="B451">
        <v>2705</v>
      </c>
      <c r="C451" t="s">
        <v>44</v>
      </c>
      <c r="D451" t="s">
        <v>45</v>
      </c>
      <c r="E451" t="s">
        <v>59</v>
      </c>
      <c r="F451" s="5">
        <v>425</v>
      </c>
      <c r="G451" s="5">
        <v>0</v>
      </c>
      <c r="H451" s="6">
        <f>Table1[[#This Row],[2024 U.S. Sales ($000)]]/SUMIF($E:$E, E451, $G:$G)</f>
        <v>0</v>
      </c>
      <c r="I451" s="5">
        <v>0</v>
      </c>
      <c r="J451" s="5" t="e">
        <f>Table1[[#This Row],[2024 U.S. Sales ($000)]]/Table1[[#This Row],[2024 U.S. Units]]</f>
        <v>#DIV/0!</v>
      </c>
      <c r="K451" s="6">
        <f>Table1[[#This Row],[2024 U.S. Units]]/Table1[[#This Row],[2023 U.S. Units]]-1</f>
        <v>-1</v>
      </c>
      <c r="L451" s="8">
        <f>(Table1[[#This Row],[2024 Market share (%)]]-Table1[[#This Row],[2023 Market share (%)]])*10000</f>
        <v>-19.565310170265327</v>
      </c>
      <c r="M451" s="6">
        <f>_xlfn.RRI(5,Table1[[#This Row],[2019 U.S. Sales ($000)]],Table1[[#This Row],[2024 U.S. Sales ($000)]])</f>
        <v>-1</v>
      </c>
      <c r="N451" s="9">
        <f>(Table1[[#This Row],[2024 Market share (%)]]-Table1[[#This Row],[2019 Market share (%)]])*10000</f>
        <v>-27.491272592438026</v>
      </c>
      <c r="O451" s="6" t="e">
        <f>IF(Table1[[#This Row],[2024 AUV]]=0,"",_xlfn.RRI(5,Table1[[#This Row],[2019 AUV]],Table1[[#This Row],[2024 AUV]]))</f>
        <v>#DIV/0!</v>
      </c>
      <c r="P451" s="6">
        <f>_xlfn.RRI(5,Table1[[#This Row],[2019 U.S. Units]],Table1[[#This Row],[2024 U.S. Units]])</f>
        <v>-1</v>
      </c>
      <c r="Q451" s="5">
        <v>73900</v>
      </c>
      <c r="R451" s="6">
        <f>Table1[[#This Row],[2023 U.S. Sales ($000)]]/SUMIF($E:$E, E451, $Q:$Q)</f>
        <v>1.9565310170265326E-3</v>
      </c>
      <c r="S451" s="8">
        <f>(Table1[[#This Row],[2023 Market share (%)]]-Table1[[#This Row],[2022 Market share (%)]])*10000</f>
        <v>-1.8985190713345819</v>
      </c>
      <c r="T451" s="10">
        <v>-3.7760416666666664E-2</v>
      </c>
      <c r="U451" s="5">
        <v>40</v>
      </c>
      <c r="V451" s="5">
        <f t="shared" si="56"/>
        <v>1847.5</v>
      </c>
      <c r="W451" s="10">
        <v>-2.4390243902439025E-2</v>
      </c>
      <c r="X451" s="10">
        <f t="shared" si="57"/>
        <v>-4.7550352445551392E-2</v>
      </c>
      <c r="Y451" s="8">
        <f>(Table1[[#This Row],[2023 Market share (%)]]-Table1[[#This Row],[2019 Market share (%)]])*10000</f>
        <v>-7.9259624221727014</v>
      </c>
      <c r="Z451" s="10">
        <f t="shared" si="58"/>
        <v>-3.1327303678878593E-3</v>
      </c>
      <c r="AA451" s="10">
        <f t="shared" si="59"/>
        <v>-4.4557207795633214E-2</v>
      </c>
      <c r="AB451" s="5">
        <v>76800</v>
      </c>
      <c r="AC451" s="6">
        <f>Table1[[#This Row],[2022 U.S. Sales ($000)]]/SUMIF($E:$E, E451, $AB:$AB)</f>
        <v>2.1463829241599908E-3</v>
      </c>
      <c r="AD451" s="5">
        <v>41</v>
      </c>
      <c r="AE451" s="5">
        <f t="shared" si="60"/>
        <v>1873.1707317073171</v>
      </c>
      <c r="AF451" s="5">
        <v>77200</v>
      </c>
      <c r="AG451" s="6">
        <f>Table1[[#This Row],[2021 U.S. Sales ($000)]]/SUMIF($E:$E, E451, $AF:$AF)</f>
        <v>2.3268322884992336E-3</v>
      </c>
      <c r="AH451" s="5">
        <v>43</v>
      </c>
      <c r="AI451" s="12">
        <f t="shared" si="61"/>
        <v>1795.3488372093022</v>
      </c>
      <c r="AJ451" s="5">
        <v>74600</v>
      </c>
      <c r="AK451" s="6">
        <f>Table1[[#This Row],[2020 U.S. Sales ($000)]]/SUMIF($E:$E, E451, $AJ:$AJ)</f>
        <v>2.6194320565673728E-3</v>
      </c>
      <c r="AL451" s="5">
        <v>45</v>
      </c>
      <c r="AM451" s="5">
        <f t="shared" si="62"/>
        <v>1657.7777777777778</v>
      </c>
      <c r="AN451" s="5">
        <v>89800</v>
      </c>
      <c r="AO451" s="6">
        <f>Table1[[#This Row],[2019 U.S. Sales ($000)]]/SUMIF($E:$E, E451, $AN:$AN)</f>
        <v>2.7491272592438027E-3</v>
      </c>
      <c r="AP451" s="5">
        <v>48</v>
      </c>
      <c r="AQ451" s="5">
        <f t="shared" si="63"/>
        <v>1870.8333333333333</v>
      </c>
    </row>
    <row r="452" spans="1:43" x14ac:dyDescent="0.25">
      <c r="A452" t="s">
        <v>517</v>
      </c>
      <c r="B452">
        <v>817</v>
      </c>
      <c r="C452" t="s">
        <v>68</v>
      </c>
      <c r="D452" t="s">
        <v>133</v>
      </c>
      <c r="E452" t="s">
        <v>79</v>
      </c>
      <c r="F452" s="5">
        <v>381</v>
      </c>
      <c r="G452" s="5">
        <v>0</v>
      </c>
      <c r="H452" s="6">
        <f>Table1[[#This Row],[2024 U.S. Sales ($000)]]/SUMIF($E:$E, E452, $G:$G)</f>
        <v>0</v>
      </c>
      <c r="I452" s="5">
        <v>0</v>
      </c>
      <c r="J452" s="5" t="e">
        <f>Table1[[#This Row],[2024 U.S. Sales ($000)]]/Table1[[#This Row],[2024 U.S. Units]]</f>
        <v>#DIV/0!</v>
      </c>
      <c r="K452" s="6">
        <f>Table1[[#This Row],[2024 U.S. Units]]/Table1[[#This Row],[2023 U.S. Units]]-1</f>
        <v>-1</v>
      </c>
      <c r="L452" s="8">
        <f>(Table1[[#This Row],[2024 Market share (%)]]-Table1[[#This Row],[2023 Market share (%)]])*10000</f>
        <v>-33.909988298981297</v>
      </c>
      <c r="M452" s="6">
        <f>_xlfn.RRI(5,Table1[[#This Row],[2019 U.S. Sales ($000)]],Table1[[#This Row],[2024 U.S. Sales ($000)]])</f>
        <v>-1</v>
      </c>
      <c r="N452" s="9">
        <f>(Table1[[#This Row],[2024 Market share (%)]]-Table1[[#This Row],[2019 Market share (%)]])*10000</f>
        <v>-43.657479095424037</v>
      </c>
      <c r="O452" s="6" t="e">
        <f>IF(Table1[[#This Row],[2024 AUV]]=0,"",_xlfn.RRI(5,Table1[[#This Row],[2019 AUV]],Table1[[#This Row],[2024 AUV]]))</f>
        <v>#DIV/0!</v>
      </c>
      <c r="P452" s="6">
        <f>_xlfn.RRI(5,Table1[[#This Row],[2019 U.S. Units]],Table1[[#This Row],[2024 U.S. Units]])</f>
        <v>-1</v>
      </c>
      <c r="Q452" s="5">
        <v>81800</v>
      </c>
      <c r="R452" s="6">
        <f>Table1[[#This Row],[2023 U.S. Sales ($000)]]/SUMIF($E:$E, E452, $Q:$Q)</f>
        <v>3.3909988298981299E-3</v>
      </c>
      <c r="S452" s="8">
        <f>(Table1[[#This Row],[2023 Market share (%)]]-Table1[[#This Row],[2022 Market share (%)]])*10000</f>
        <v>1.1674508229147107</v>
      </c>
      <c r="T452" s="10">
        <v>6.2337662337662338E-2</v>
      </c>
      <c r="U452" s="5">
        <v>11</v>
      </c>
      <c r="V452" s="5">
        <f t="shared" si="56"/>
        <v>7436.363636363636</v>
      </c>
      <c r="W452" s="10">
        <v>0</v>
      </c>
      <c r="X452" s="10">
        <f t="shared" si="57"/>
        <v>-4.8268296856440185E-2</v>
      </c>
      <c r="Y452" s="8">
        <f>(Table1[[#This Row],[2023 Market share (%)]]-Table1[[#This Row],[2019 Market share (%)]])*10000</f>
        <v>-9.7474907964427384</v>
      </c>
      <c r="Z452" s="10">
        <f t="shared" si="58"/>
        <v>1.0877136416415301E-2</v>
      </c>
      <c r="AA452" s="10">
        <f t="shared" si="59"/>
        <v>-5.8509022651879961E-2</v>
      </c>
      <c r="AB452" s="5">
        <v>77000</v>
      </c>
      <c r="AC452" s="6">
        <f>Table1[[#This Row],[2022 U.S. Sales ($000)]]/SUMIF($E:$E, E452, $AB:$AB)</f>
        <v>3.2742537476066588E-3</v>
      </c>
      <c r="AD452" s="5">
        <v>11</v>
      </c>
      <c r="AE452" s="5">
        <f t="shared" si="60"/>
        <v>7000</v>
      </c>
      <c r="AF452" s="5">
        <v>71300</v>
      </c>
      <c r="AG452" s="6">
        <f>Table1[[#This Row],[2021 U.S. Sales ($000)]]/SUMIF($E:$E, E452, $AF:$AF)</f>
        <v>3.2826728968391268E-3</v>
      </c>
      <c r="AH452" s="5">
        <v>11</v>
      </c>
      <c r="AI452" s="12">
        <f t="shared" si="61"/>
        <v>6481.818181818182</v>
      </c>
      <c r="AJ452" s="5">
        <v>51700</v>
      </c>
      <c r="AK452" s="6">
        <f>Table1[[#This Row],[2020 U.S. Sales ($000)]]/SUMIF($E:$E, E452, $AJ:$AJ)</f>
        <v>3.1705542956809874E-3</v>
      </c>
      <c r="AL452" s="5">
        <v>12</v>
      </c>
      <c r="AM452" s="5">
        <f t="shared" si="62"/>
        <v>4308.333333333333</v>
      </c>
      <c r="AN452" s="5">
        <v>99700</v>
      </c>
      <c r="AO452" s="6">
        <f>Table1[[#This Row],[2019 U.S. Sales ($000)]]/SUMIF($E:$E, E452, $AN:$AN)</f>
        <v>4.3657479095424037E-3</v>
      </c>
      <c r="AP452" s="5">
        <v>14</v>
      </c>
      <c r="AQ452" s="5">
        <f t="shared" si="63"/>
        <v>7121.4285714285716</v>
      </c>
    </row>
    <row r="453" spans="1:43" x14ac:dyDescent="0.25">
      <c r="A453" t="s">
        <v>518</v>
      </c>
      <c r="B453">
        <v>1660</v>
      </c>
      <c r="C453" t="s">
        <v>44</v>
      </c>
      <c r="D453" t="s">
        <v>45</v>
      </c>
      <c r="E453" t="s">
        <v>112</v>
      </c>
      <c r="F453" s="5">
        <v>481</v>
      </c>
      <c r="G453" s="5">
        <v>0</v>
      </c>
      <c r="H453" s="6">
        <f>Table1[[#This Row],[2024 U.S. Sales ($000)]]/SUMIF($E:$E, E453, $G:$G)</f>
        <v>0</v>
      </c>
      <c r="I453" s="5">
        <v>0</v>
      </c>
      <c r="J453" s="5" t="e">
        <f>Table1[[#This Row],[2024 U.S. Sales ($000)]]/Table1[[#This Row],[2024 U.S. Units]]</f>
        <v>#DIV/0!</v>
      </c>
      <c r="K453" s="6">
        <f>Table1[[#This Row],[2024 U.S. Units]]/Table1[[#This Row],[2023 U.S. Units]]-1</f>
        <v>-1</v>
      </c>
      <c r="L453" s="8">
        <f>(Table1[[#This Row],[2024 Market share (%)]]-Table1[[#This Row],[2023 Market share (%)]])*10000</f>
        <v>-72.07566682226971</v>
      </c>
      <c r="M453" s="6">
        <f>_xlfn.RRI(5,Table1[[#This Row],[2019 U.S. Sales ($000)]],Table1[[#This Row],[2024 U.S. Sales ($000)]])</f>
        <v>-1</v>
      </c>
      <c r="N453" s="9">
        <f>(Table1[[#This Row],[2024 Market share (%)]]-Table1[[#This Row],[2019 Market share (%)]])*10000</f>
        <v>-149.68867021485781</v>
      </c>
      <c r="O453" s="6" t="e">
        <f>IF(Table1[[#This Row],[2024 AUV]]=0,"",_xlfn.RRI(5,Table1[[#This Row],[2019 AUV]],Table1[[#This Row],[2024 AUV]]))</f>
        <v>#DIV/0!</v>
      </c>
      <c r="P453" s="6">
        <f>_xlfn.RRI(5,Table1[[#This Row],[2019 U.S. Units]],Table1[[#This Row],[2024 U.S. Units]])</f>
        <v>-1</v>
      </c>
      <c r="Q453" s="5">
        <v>59645</v>
      </c>
      <c r="R453" s="6">
        <f>Table1[[#This Row],[2023 U.S. Sales ($000)]]/SUMIF($E:$E, E453, $Q:$Q)</f>
        <v>7.2075666822269705E-3</v>
      </c>
      <c r="S453" s="8">
        <f>(Table1[[#This Row],[2023 Market share (%)]]-Table1[[#This Row],[2022 Market share (%)]])*10000</f>
        <v>-5.4876381536104066</v>
      </c>
      <c r="T453" s="10">
        <v>4.192505895711416E-2</v>
      </c>
      <c r="U453" s="5">
        <v>136</v>
      </c>
      <c r="V453" s="5">
        <f t="shared" si="56"/>
        <v>438.56617647058823</v>
      </c>
      <c r="W453" s="10">
        <v>-6.8493150684931503E-2</v>
      </c>
      <c r="X453" s="10">
        <f t="shared" si="57"/>
        <v>-4.8278439513385507E-2</v>
      </c>
      <c r="Y453" s="8">
        <f>(Table1[[#This Row],[2023 Market share (%)]]-Table1[[#This Row],[2019 Market share (%)]])*10000</f>
        <v>-77.613003392588098</v>
      </c>
      <c r="Z453" s="10">
        <f t="shared" si="58"/>
        <v>2.0806218966061829E-2</v>
      </c>
      <c r="AA453" s="10">
        <f t="shared" si="59"/>
        <v>-6.7676565048183979E-2</v>
      </c>
      <c r="AB453" s="5">
        <v>57245</v>
      </c>
      <c r="AC453" s="6">
        <f>Table1[[#This Row],[2022 U.S. Sales ($000)]]/SUMIF($E:$E, E453, $AB:$AB)</f>
        <v>7.7563304975880112E-3</v>
      </c>
      <c r="AD453" s="5">
        <v>146</v>
      </c>
      <c r="AE453" s="5">
        <f t="shared" si="60"/>
        <v>392.08904109589042</v>
      </c>
      <c r="AF453" s="5">
        <v>56795</v>
      </c>
      <c r="AG453" s="6">
        <f>Table1[[#This Row],[2021 U.S. Sales ($000)]]/SUMIF($E:$E, E453, $AF:$AF)</f>
        <v>9.0786587978030266E-3</v>
      </c>
      <c r="AH453" s="5">
        <v>152</v>
      </c>
      <c r="AI453" s="12">
        <f t="shared" si="61"/>
        <v>373.6513157894737</v>
      </c>
      <c r="AJ453" s="5">
        <v>51100</v>
      </c>
      <c r="AK453" s="6">
        <f>Table1[[#This Row],[2020 U.S. Sales ($000)]]/SUMIF($E:$E, E453, $AJ:$AJ)</f>
        <v>1.1071768895999473E-2</v>
      </c>
      <c r="AL453" s="5">
        <v>161</v>
      </c>
      <c r="AM453" s="5">
        <f t="shared" si="62"/>
        <v>317.39130434782606</v>
      </c>
      <c r="AN453" s="5">
        <v>72700</v>
      </c>
      <c r="AO453" s="6">
        <f>Table1[[#This Row],[2019 U.S. Sales ($000)]]/SUMIF($E:$E, E453, $AN:$AN)</f>
        <v>1.496886702148578E-2</v>
      </c>
      <c r="AP453" s="5">
        <v>180</v>
      </c>
      <c r="AQ453" s="5">
        <f t="shared" si="63"/>
        <v>403.88888888888891</v>
      </c>
    </row>
    <row r="454" spans="1:43" x14ac:dyDescent="0.25">
      <c r="A454" t="s">
        <v>519</v>
      </c>
      <c r="B454">
        <v>907</v>
      </c>
      <c r="C454" t="s">
        <v>44</v>
      </c>
      <c r="D454" t="s">
        <v>45</v>
      </c>
      <c r="E454" t="s">
        <v>61</v>
      </c>
      <c r="F454" s="5">
        <v>483</v>
      </c>
      <c r="G454" s="5">
        <v>0</v>
      </c>
      <c r="H454" s="6">
        <f>Table1[[#This Row],[2024 U.S. Sales ($000)]]/SUMIF($E:$E, E454, $G:$G)</f>
        <v>0</v>
      </c>
      <c r="I454" s="5">
        <v>0</v>
      </c>
      <c r="J454" s="5" t="e">
        <f>Table1[[#This Row],[2024 U.S. Sales ($000)]]/Table1[[#This Row],[2024 U.S. Units]]</f>
        <v>#DIV/0!</v>
      </c>
      <c r="K454" s="6">
        <f>Table1[[#This Row],[2024 U.S. Units]]/Table1[[#This Row],[2023 U.S. Units]]-1</f>
        <v>-1</v>
      </c>
      <c r="L454" s="8">
        <f>(Table1[[#This Row],[2024 Market share (%)]]-Table1[[#This Row],[2023 Market share (%)]])*10000</f>
        <v>-19.281903292121456</v>
      </c>
      <c r="M454" s="6">
        <f>_xlfn.RRI(5,Table1[[#This Row],[2019 U.S. Sales ($000)]],Table1[[#This Row],[2024 U.S. Sales ($000)]])</f>
        <v>-1</v>
      </c>
      <c r="N454" s="9">
        <f>(Table1[[#This Row],[2024 Market share (%)]]-Table1[[#This Row],[2019 Market share (%)]])*10000</f>
        <v>-27.897615904616814</v>
      </c>
      <c r="O454" s="6" t="e">
        <f>IF(Table1[[#This Row],[2024 AUV]]=0,"",_xlfn.RRI(5,Table1[[#This Row],[2019 AUV]],Table1[[#This Row],[2024 AUV]]))</f>
        <v>#DIV/0!</v>
      </c>
      <c r="P454" s="6">
        <f>_xlfn.RRI(5,Table1[[#This Row],[2019 U.S. Units]],Table1[[#This Row],[2024 U.S. Units]])</f>
        <v>-1</v>
      </c>
      <c r="Q454" s="5">
        <v>58900</v>
      </c>
      <c r="R454" s="6">
        <f>Table1[[#This Row],[2023 U.S. Sales ($000)]]/SUMIF($E:$E, E454, $Q:$Q)</f>
        <v>1.9281903292121456E-3</v>
      </c>
      <c r="S454" s="8">
        <f>(Table1[[#This Row],[2023 Market share (%)]]-Table1[[#This Row],[2022 Market share (%)]])*10000</f>
        <v>-1.0659397152412275</v>
      </c>
      <c r="T454" s="10">
        <v>-2.4834437086092714E-2</v>
      </c>
      <c r="U454" s="5">
        <v>79</v>
      </c>
      <c r="V454" s="5">
        <f t="shared" si="56"/>
        <v>745.56962025316454</v>
      </c>
      <c r="W454" s="10">
        <v>0</v>
      </c>
      <c r="X454" s="10">
        <f t="shared" si="57"/>
        <v>-4.8966753079748737E-2</v>
      </c>
      <c r="Y454" s="8">
        <f>(Table1[[#This Row],[2023 Market share (%)]]-Table1[[#This Row],[2019 Market share (%)]])*10000</f>
        <v>-8.615712612495356</v>
      </c>
      <c r="Z454" s="10">
        <f t="shared" si="58"/>
        <v>-2.5753756485857426E-2</v>
      </c>
      <c r="AA454" s="10">
        <f t="shared" si="59"/>
        <v>-2.3826621604576159E-2</v>
      </c>
      <c r="AB454" s="5">
        <v>60400</v>
      </c>
      <c r="AC454" s="6">
        <f>Table1[[#This Row],[2022 U.S. Sales ($000)]]/SUMIF($E:$E, E454, $AB:$AB)</f>
        <v>2.0347843007362683E-3</v>
      </c>
      <c r="AD454" s="5">
        <v>79</v>
      </c>
      <c r="AE454" s="5">
        <f t="shared" si="60"/>
        <v>764.55696202531647</v>
      </c>
      <c r="AF454" s="5">
        <v>62300</v>
      </c>
      <c r="AG454" s="6">
        <f>Table1[[#This Row],[2021 U.S. Sales ($000)]]/SUMIF($E:$E, E454, $AF:$AF)</f>
        <v>2.1432090203298685E-3</v>
      </c>
      <c r="AH454" s="5">
        <v>81</v>
      </c>
      <c r="AI454" s="12">
        <f t="shared" si="61"/>
        <v>769.1358024691358</v>
      </c>
      <c r="AJ454" s="5">
        <v>60300</v>
      </c>
      <c r="AK454" s="6">
        <f>Table1[[#This Row],[2020 U.S. Sales ($000)]]/SUMIF($E:$E, E454, $AJ:$AJ)</f>
        <v>2.2278117431836259E-3</v>
      </c>
      <c r="AL454" s="5">
        <v>84</v>
      </c>
      <c r="AM454" s="5">
        <f t="shared" si="62"/>
        <v>717.85714285714289</v>
      </c>
      <c r="AN454" s="5">
        <v>72000</v>
      </c>
      <c r="AO454" s="6">
        <f>Table1[[#This Row],[2019 U.S. Sales ($000)]]/SUMIF($E:$E, E454, $AN:$AN)</f>
        <v>2.7897615904616813E-3</v>
      </c>
      <c r="AP454" s="5">
        <v>87</v>
      </c>
      <c r="AQ454" s="5">
        <f t="shared" si="63"/>
        <v>827.58620689655174</v>
      </c>
    </row>
    <row r="455" spans="1:43" x14ac:dyDescent="0.25">
      <c r="A455" t="s">
        <v>520</v>
      </c>
      <c r="B455">
        <v>31288</v>
      </c>
      <c r="C455" t="s">
        <v>44</v>
      </c>
      <c r="D455" t="s">
        <v>56</v>
      </c>
      <c r="E455" t="s">
        <v>61</v>
      </c>
      <c r="F455" s="5">
        <v>304</v>
      </c>
      <c r="G455" s="5">
        <v>0</v>
      </c>
      <c r="H455" s="6">
        <f>Table1[[#This Row],[2024 U.S. Sales ($000)]]/SUMIF($E:$E, E455, $G:$G)</f>
        <v>0</v>
      </c>
      <c r="I455" s="5">
        <v>0</v>
      </c>
      <c r="J455" s="5" t="e">
        <f>Table1[[#This Row],[2024 U.S. Sales ($000)]]/Table1[[#This Row],[2024 U.S. Units]]</f>
        <v>#DIV/0!</v>
      </c>
      <c r="K455" s="6">
        <f>Table1[[#This Row],[2024 U.S. Units]]/Table1[[#This Row],[2023 U.S. Units]]-1</f>
        <v>-1</v>
      </c>
      <c r="L455" s="8">
        <f>(Table1[[#This Row],[2024 Market share (%)]]-Table1[[#This Row],[2023 Market share (%)]])*10000</f>
        <v>-37.319812823460886</v>
      </c>
      <c r="M455" s="6">
        <f>_xlfn.RRI(5,Table1[[#This Row],[2019 U.S. Sales ($000)]],Table1[[#This Row],[2024 U.S. Sales ($000)]])</f>
        <v>-1</v>
      </c>
      <c r="N455" s="9">
        <f>(Table1[[#This Row],[2024 Market share (%)]]-Table1[[#This Row],[2019 Market share (%)]])*10000</f>
        <v>-54.245364258977133</v>
      </c>
      <c r="O455" s="6" t="e">
        <f>IF(Table1[[#This Row],[2024 AUV]]=0,"",_xlfn.RRI(5,Table1[[#This Row],[2019 AUV]],Table1[[#This Row],[2024 AUV]]))</f>
        <v>#DIV/0!</v>
      </c>
      <c r="P455" s="6">
        <f>_xlfn.RRI(5,Table1[[#This Row],[2019 U.S. Units]],Table1[[#This Row],[2024 U.S. Units]])</f>
        <v>-1</v>
      </c>
      <c r="Q455" s="5">
        <v>114000</v>
      </c>
      <c r="R455" s="6">
        <f>Table1[[#This Row],[2023 U.S. Sales ($000)]]/SUMIF($E:$E, E455, $Q:$Q)</f>
        <v>3.7319812823460885E-3</v>
      </c>
      <c r="S455" s="8">
        <f>(Table1[[#This Row],[2023 Market share (%)]]-Table1[[#This Row],[2022 Market share (%)]])*10000</f>
        <v>-4.0496428272698708</v>
      </c>
      <c r="T455" s="10">
        <v>-7.1661237785016291E-2</v>
      </c>
      <c r="U455" s="5">
        <v>109</v>
      </c>
      <c r="V455" s="5">
        <f t="shared" si="56"/>
        <v>1045.8715596330276</v>
      </c>
      <c r="W455" s="10">
        <v>-8.4033613445378158E-2</v>
      </c>
      <c r="X455" s="10">
        <f t="shared" si="57"/>
        <v>-5.0064312030884128E-2</v>
      </c>
      <c r="Y455" s="8">
        <f>(Table1[[#This Row],[2023 Market share (%)]]-Table1[[#This Row],[2019 Market share (%)]])*10000</f>
        <v>-16.925551435516251</v>
      </c>
      <c r="Z455" s="10">
        <f t="shared" si="58"/>
        <v>-1.697382329575603E-2</v>
      </c>
      <c r="AA455" s="10">
        <f t="shared" si="59"/>
        <v>-3.3661859184736409E-2</v>
      </c>
      <c r="AB455" s="5">
        <v>122800</v>
      </c>
      <c r="AC455" s="6">
        <f>Table1[[#This Row],[2022 U.S. Sales ($000)]]/SUMIF($E:$E, E455, $AB:$AB)</f>
        <v>4.1369455650730755E-3</v>
      </c>
      <c r="AD455" s="5">
        <v>119</v>
      </c>
      <c r="AE455" s="5">
        <f t="shared" si="60"/>
        <v>1031.9327731092437</v>
      </c>
      <c r="AF455" s="5">
        <v>118700</v>
      </c>
      <c r="AG455" s="6">
        <f>Table1[[#This Row],[2021 U.S. Sales ($000)]]/SUMIF($E:$E, E455, $AF:$AF)</f>
        <v>4.0834496101630081E-3</v>
      </c>
      <c r="AH455" s="5">
        <v>116</v>
      </c>
      <c r="AI455" s="12">
        <f t="shared" si="61"/>
        <v>1023.2758620689655</v>
      </c>
      <c r="AJ455" s="5">
        <v>109200</v>
      </c>
      <c r="AK455" s="6">
        <f>Table1[[#This Row],[2020 U.S. Sales ($000)]]/SUMIF($E:$E, E455, $AJ:$AJ)</f>
        <v>4.0344451468598995E-3</v>
      </c>
      <c r="AL455" s="5">
        <v>119</v>
      </c>
      <c r="AM455" s="5">
        <f t="shared" si="62"/>
        <v>917.64705882352939</v>
      </c>
      <c r="AN455" s="5">
        <v>140000</v>
      </c>
      <c r="AO455" s="6">
        <f>Table1[[#This Row],[2019 U.S. Sales ($000)]]/SUMIF($E:$E, E455, $AN:$AN)</f>
        <v>5.4245364258977136E-3</v>
      </c>
      <c r="AP455" s="5">
        <v>125</v>
      </c>
      <c r="AQ455" s="5">
        <f t="shared" si="63"/>
        <v>1120</v>
      </c>
    </row>
    <row r="456" spans="1:43" x14ac:dyDescent="0.25">
      <c r="A456" t="s">
        <v>521</v>
      </c>
      <c r="B456">
        <v>563305</v>
      </c>
      <c r="C456" t="s">
        <v>68</v>
      </c>
      <c r="D456" t="s">
        <v>92</v>
      </c>
      <c r="E456" t="s">
        <v>93</v>
      </c>
      <c r="F456" s="5">
        <v>310</v>
      </c>
      <c r="G456" s="5">
        <v>0</v>
      </c>
      <c r="H456" s="6">
        <f>Table1[[#This Row],[2024 U.S. Sales ($000)]]/SUMIF($E:$E, E456, $G:$G)</f>
        <v>0</v>
      </c>
      <c r="I456" s="5">
        <v>0</v>
      </c>
      <c r="J456" s="5" t="e">
        <f>Table1[[#This Row],[2024 U.S. Sales ($000)]]/Table1[[#This Row],[2024 U.S. Units]]</f>
        <v>#DIV/0!</v>
      </c>
      <c r="K456" s="6">
        <f>Table1[[#This Row],[2024 U.S. Units]]/Table1[[#This Row],[2023 U.S. Units]]-1</f>
        <v>-1</v>
      </c>
      <c r="L456" s="8">
        <f>(Table1[[#This Row],[2024 Market share (%)]]-Table1[[#This Row],[2023 Market share (%)]])*10000</f>
        <v>-63.541604465511966</v>
      </c>
      <c r="M456" s="6">
        <f>_xlfn.RRI(5,Table1[[#This Row],[2019 U.S. Sales ($000)]],Table1[[#This Row],[2024 U.S. Sales ($000)]])</f>
        <v>-1</v>
      </c>
      <c r="N456" s="9">
        <f>(Table1[[#This Row],[2024 Market share (%)]]-Table1[[#This Row],[2019 Market share (%)]])*10000</f>
        <v>-80.675550026365613</v>
      </c>
      <c r="O456" s="6" t="e">
        <f>IF(Table1[[#This Row],[2024 AUV]]=0,"",_xlfn.RRI(5,Table1[[#This Row],[2019 AUV]],Table1[[#This Row],[2024 AUV]]))</f>
        <v>#DIV/0!</v>
      </c>
      <c r="P456" s="6">
        <f>_xlfn.RRI(5,Table1[[#This Row],[2019 U.S. Units]],Table1[[#This Row],[2024 U.S. Units]])</f>
        <v>-1</v>
      </c>
      <c r="Q456" s="5">
        <v>111200</v>
      </c>
      <c r="R456" s="6">
        <f>Table1[[#This Row],[2023 U.S. Sales ($000)]]/SUMIF($E:$E, E456, $Q:$Q)</f>
        <v>6.3541604465511964E-3</v>
      </c>
      <c r="S456" s="8">
        <f>(Table1[[#This Row],[2023 Market share (%)]]-Table1[[#This Row],[2022 Market share (%)]])*10000</f>
        <v>-6.1468994258432383</v>
      </c>
      <c r="T456" s="10">
        <v>-3.3883579496090353E-2</v>
      </c>
      <c r="U456" s="5">
        <v>61</v>
      </c>
      <c r="V456" s="5">
        <f t="shared" si="56"/>
        <v>1822.950819672131</v>
      </c>
      <c r="W456" s="10">
        <v>-4.6875E-2</v>
      </c>
      <c r="X456" s="10">
        <f t="shared" si="57"/>
        <v>-5.0305182256706327E-2</v>
      </c>
      <c r="Y456" s="8">
        <f>(Table1[[#This Row],[2023 Market share (%)]]-Table1[[#This Row],[2019 Market share (%)]])*10000</f>
        <v>-17.133945560853654</v>
      </c>
      <c r="Z456" s="10">
        <f t="shared" si="58"/>
        <v>3.897262180707628E-5</v>
      </c>
      <c r="AA456" s="10">
        <f t="shared" si="59"/>
        <v>-5.0342192911268291E-2</v>
      </c>
      <c r="AB456" s="5">
        <v>115100</v>
      </c>
      <c r="AC456" s="6">
        <f>Table1[[#This Row],[2022 U.S. Sales ($000)]]/SUMIF($E:$E, E456, $AB:$AB)</f>
        <v>6.9688503891355202E-3</v>
      </c>
      <c r="AD456" s="5">
        <v>64</v>
      </c>
      <c r="AE456" s="5">
        <f t="shared" si="60"/>
        <v>1798.4375</v>
      </c>
      <c r="AF456" s="5">
        <v>113400</v>
      </c>
      <c r="AG456" s="6">
        <f>Table1[[#This Row],[2021 U.S. Sales ($000)]]/SUMIF($E:$E, E456, $AF:$AF)</f>
        <v>7.5111360540293104E-3</v>
      </c>
      <c r="AH456" s="5">
        <v>66</v>
      </c>
      <c r="AI456" s="12">
        <f t="shared" si="61"/>
        <v>1718.1818181818182</v>
      </c>
      <c r="AJ456" s="5">
        <v>100100</v>
      </c>
      <c r="AK456" s="6">
        <f>Table1[[#This Row],[2020 U.S. Sales ($000)]]/SUMIF($E:$E, E456, $AJ:$AJ)</f>
        <v>9.3797633807103532E-3</v>
      </c>
      <c r="AL456" s="5">
        <v>69</v>
      </c>
      <c r="AM456" s="5">
        <f t="shared" si="62"/>
        <v>1450.7246376811595</v>
      </c>
      <c r="AN456" s="5">
        <v>136700</v>
      </c>
      <c r="AO456" s="6">
        <f>Table1[[#This Row],[2019 U.S. Sales ($000)]]/SUMIF($E:$E, E456, $AN:$AN)</f>
        <v>8.0675550026365617E-3</v>
      </c>
      <c r="AP456" s="5">
        <v>75</v>
      </c>
      <c r="AQ456" s="5">
        <f t="shared" si="63"/>
        <v>1822.6666666666667</v>
      </c>
    </row>
    <row r="457" spans="1:43" x14ac:dyDescent="0.25">
      <c r="A457" t="s">
        <v>522</v>
      </c>
      <c r="B457">
        <v>11973</v>
      </c>
      <c r="C457" t="s">
        <v>68</v>
      </c>
      <c r="D457" t="s">
        <v>69</v>
      </c>
      <c r="E457" t="s">
        <v>79</v>
      </c>
      <c r="F457" s="5">
        <v>429</v>
      </c>
      <c r="G457" s="5">
        <v>0</v>
      </c>
      <c r="H457" s="6">
        <f>Table1[[#This Row],[2024 U.S. Sales ($000)]]/SUMIF($E:$E, E457, $G:$G)</f>
        <v>0</v>
      </c>
      <c r="I457" s="5">
        <v>0</v>
      </c>
      <c r="J457" s="5" t="e">
        <f>Table1[[#This Row],[2024 U.S. Sales ($000)]]/Table1[[#This Row],[2024 U.S. Units]]</f>
        <v>#DIV/0!</v>
      </c>
      <c r="K457" s="6">
        <f>Table1[[#This Row],[2024 U.S. Units]]/Table1[[#This Row],[2023 U.S. Units]]-1</f>
        <v>-1</v>
      </c>
      <c r="L457" s="8">
        <f>(Table1[[#This Row],[2024 Market share (%)]]-Table1[[#This Row],[2023 Market share (%)]])*10000</f>
        <v>-30.220515244446659</v>
      </c>
      <c r="M457" s="6">
        <f>_xlfn.RRI(5,Table1[[#This Row],[2019 U.S. Sales ($000)]],Table1[[#This Row],[2024 U.S. Sales ($000)]])</f>
        <v>-1</v>
      </c>
      <c r="N457" s="9">
        <f>(Table1[[#This Row],[2024 Market share (%)]]-Table1[[#This Row],[2019 Market share (%)]])*10000</f>
        <v>-39.278594532191939</v>
      </c>
      <c r="O457" s="6" t="e">
        <f>IF(Table1[[#This Row],[2024 AUV]]=0,"",_xlfn.RRI(5,Table1[[#This Row],[2019 AUV]],Table1[[#This Row],[2024 AUV]]))</f>
        <v>#DIV/0!</v>
      </c>
      <c r="P457" s="6">
        <f>_xlfn.RRI(5,Table1[[#This Row],[2019 U.S. Units]],Table1[[#This Row],[2024 U.S. Units]])</f>
        <v>-1</v>
      </c>
      <c r="Q457" s="5">
        <v>72900</v>
      </c>
      <c r="R457" s="6">
        <f>Table1[[#This Row],[2023 U.S. Sales ($000)]]/SUMIF($E:$E, E457, $Q:$Q)</f>
        <v>3.0220515244446661E-3</v>
      </c>
      <c r="S457" s="8">
        <f>(Table1[[#This Row],[2023 Market share (%)]]-Table1[[#This Row],[2022 Market share (%)]])*10000</f>
        <v>-3.5850916301935185</v>
      </c>
      <c r="T457" s="10">
        <v>-8.3018867924528297E-2</v>
      </c>
      <c r="U457" s="5">
        <v>29</v>
      </c>
      <c r="V457" s="5">
        <f t="shared" si="56"/>
        <v>2513.7931034482758</v>
      </c>
      <c r="W457" s="10">
        <v>-9.375E-2</v>
      </c>
      <c r="X457" s="10">
        <f t="shared" si="57"/>
        <v>-5.0524481386096998E-2</v>
      </c>
      <c r="Y457" s="8">
        <f>(Table1[[#This Row],[2023 Market share (%)]]-Table1[[#This Row],[2019 Market share (%)]])*10000</f>
        <v>-9.0580792877452758</v>
      </c>
      <c r="Z457" s="10">
        <f t="shared" si="58"/>
        <v>-4.820817017185397E-3</v>
      </c>
      <c r="AA457" s="10">
        <f t="shared" si="59"/>
        <v>-4.5925060682967311E-2</v>
      </c>
      <c r="AB457" s="5">
        <v>79500</v>
      </c>
      <c r="AC457" s="6">
        <f>Table1[[#This Row],[2022 U.S. Sales ($000)]]/SUMIF($E:$E, E457, $AB:$AB)</f>
        <v>3.3805606874640179E-3</v>
      </c>
      <c r="AD457" s="5">
        <v>32</v>
      </c>
      <c r="AE457" s="5">
        <f t="shared" si="60"/>
        <v>2484.375</v>
      </c>
      <c r="AF457" s="5">
        <v>78500</v>
      </c>
      <c r="AG457" s="6">
        <f>Table1[[#This Row],[2021 U.S. Sales ($000)]]/SUMIF($E:$E, E457, $AF:$AF)</f>
        <v>3.61416300703887E-3</v>
      </c>
      <c r="AH457" s="5">
        <v>34</v>
      </c>
      <c r="AI457" s="12">
        <f t="shared" si="61"/>
        <v>2308.8235294117649</v>
      </c>
      <c r="AJ457" s="5">
        <v>64200</v>
      </c>
      <c r="AK457" s="6">
        <f>Table1[[#This Row],[2020 U.S. Sales ($000)]]/SUMIF($E:$E, E457, $AJ:$AJ)</f>
        <v>3.9371293188146883E-3</v>
      </c>
      <c r="AL457" s="5">
        <v>34</v>
      </c>
      <c r="AM457" s="5">
        <f t="shared" si="62"/>
        <v>1888.2352941176471</v>
      </c>
      <c r="AN457" s="5">
        <v>89700</v>
      </c>
      <c r="AO457" s="6">
        <f>Table1[[#This Row],[2019 U.S. Sales ($000)]]/SUMIF($E:$E, E457, $AN:$AN)</f>
        <v>3.9278594532191936E-3</v>
      </c>
      <c r="AP457" s="5">
        <v>35</v>
      </c>
      <c r="AQ457" s="5">
        <f t="shared" si="63"/>
        <v>2562.8571428571427</v>
      </c>
    </row>
    <row r="458" spans="1:43" x14ac:dyDescent="0.25">
      <c r="A458" t="s">
        <v>523</v>
      </c>
      <c r="B458">
        <v>1597</v>
      </c>
      <c r="C458" t="s">
        <v>68</v>
      </c>
      <c r="D458" t="s">
        <v>69</v>
      </c>
      <c r="E458" t="s">
        <v>79</v>
      </c>
      <c r="F458" s="5">
        <v>322</v>
      </c>
      <c r="G458" s="5">
        <v>0</v>
      </c>
      <c r="H458" s="6">
        <f>Table1[[#This Row],[2024 U.S. Sales ($000)]]/SUMIF($E:$E, E458, $G:$G)</f>
        <v>0</v>
      </c>
      <c r="I458" s="5">
        <v>0</v>
      </c>
      <c r="J458" s="5" t="e">
        <f>Table1[[#This Row],[2024 U.S. Sales ($000)]]/Table1[[#This Row],[2024 U.S. Units]]</f>
        <v>#DIV/0!</v>
      </c>
      <c r="K458" s="6">
        <f>Table1[[#This Row],[2024 U.S. Units]]/Table1[[#This Row],[2023 U.S. Units]]-1</f>
        <v>-1</v>
      </c>
      <c r="L458" s="8">
        <f>(Table1[[#This Row],[2024 Market share (%)]]-Table1[[#This Row],[2023 Market share (%)]])*10000</f>
        <v>-43.403126832559195</v>
      </c>
      <c r="M458" s="6">
        <f>_xlfn.RRI(5,Table1[[#This Row],[2019 U.S. Sales ($000)]],Table1[[#This Row],[2024 U.S. Sales ($000)]])</f>
        <v>-1</v>
      </c>
      <c r="N458" s="9">
        <f>(Table1[[#This Row],[2024 Market share (%)]]-Table1[[#This Row],[2019 Market share (%)]])*10000</f>
        <v>-56.487610865694094</v>
      </c>
      <c r="O458" s="6" t="e">
        <f>IF(Table1[[#This Row],[2024 AUV]]=0,"",_xlfn.RRI(5,Table1[[#This Row],[2019 AUV]],Table1[[#This Row],[2024 AUV]]))</f>
        <v>#DIV/0!</v>
      </c>
      <c r="P458" s="6">
        <f>_xlfn.RRI(5,Table1[[#This Row],[2019 U.S. Units]],Table1[[#This Row],[2024 U.S. Units]])</f>
        <v>-1</v>
      </c>
      <c r="Q458" s="5">
        <v>104700</v>
      </c>
      <c r="R458" s="6">
        <f>Table1[[#This Row],[2023 U.S. Sales ($000)]]/SUMIF($E:$E, E458, $Q:$Q)</f>
        <v>4.3403126832559195E-3</v>
      </c>
      <c r="S458" s="8">
        <f>(Table1[[#This Row],[2023 Market share (%)]]-Table1[[#This Row],[2022 Market share (%)]])*10000</f>
        <v>-2.8616533933634605</v>
      </c>
      <c r="T458" s="10">
        <v>-3.7683823529411763E-2</v>
      </c>
      <c r="U458" s="5">
        <v>17</v>
      </c>
      <c r="V458" s="5">
        <f t="shared" si="56"/>
        <v>6158.8235294117649</v>
      </c>
      <c r="W458" s="10">
        <v>0</v>
      </c>
      <c r="X458" s="10">
        <f t="shared" si="57"/>
        <v>-5.0840403927020605E-2</v>
      </c>
      <c r="Y458" s="8">
        <f>(Table1[[#This Row],[2023 Market share (%)]]-Table1[[#This Row],[2019 Market share (%)]])*10000</f>
        <v>-13.084484033134895</v>
      </c>
      <c r="Z458" s="10">
        <f t="shared" si="58"/>
        <v>-3.7179920681435608E-2</v>
      </c>
      <c r="AA458" s="10">
        <f t="shared" si="59"/>
        <v>-1.4187991649751708E-2</v>
      </c>
      <c r="AB458" s="5">
        <v>108800</v>
      </c>
      <c r="AC458" s="6">
        <f>Table1[[#This Row],[2022 U.S. Sales ($000)]]/SUMIF($E:$E, E458, $AB:$AB)</f>
        <v>4.6264780225922656E-3</v>
      </c>
      <c r="AD458" s="5">
        <v>17</v>
      </c>
      <c r="AE458" s="5">
        <f t="shared" si="60"/>
        <v>6400</v>
      </c>
      <c r="AF458" s="5">
        <v>95400</v>
      </c>
      <c r="AG458" s="6">
        <f>Table1[[#This Row],[2021 U.S. Sales ($000)]]/SUMIF($E:$E, E458, $AF:$AF)</f>
        <v>4.3922439601466017E-3</v>
      </c>
      <c r="AH458" s="5">
        <v>17</v>
      </c>
      <c r="AI458" s="12">
        <f t="shared" si="61"/>
        <v>5611.7647058823532</v>
      </c>
      <c r="AJ458" s="5">
        <v>65100</v>
      </c>
      <c r="AK458" s="6">
        <f>Table1[[#This Row],[2020 U.S. Sales ($000)]]/SUMIF($E:$E, E458, $AJ:$AJ)</f>
        <v>3.9923227204803147E-3</v>
      </c>
      <c r="AL458" s="5">
        <v>17</v>
      </c>
      <c r="AM458" s="5">
        <f t="shared" si="62"/>
        <v>3829.4117647058824</v>
      </c>
      <c r="AN458" s="5">
        <v>129000</v>
      </c>
      <c r="AO458" s="6">
        <f>Table1[[#This Row],[2019 U.S. Sales ($000)]]/SUMIF($E:$E, E458, $AN:$AN)</f>
        <v>5.6487610865694092E-3</v>
      </c>
      <c r="AP458" s="5">
        <v>18</v>
      </c>
      <c r="AQ458" s="5">
        <f t="shared" si="63"/>
        <v>7166.666666666667</v>
      </c>
    </row>
    <row r="459" spans="1:43" x14ac:dyDescent="0.25">
      <c r="A459" t="s">
        <v>524</v>
      </c>
      <c r="B459">
        <v>5922</v>
      </c>
      <c r="C459" t="s">
        <v>68</v>
      </c>
      <c r="D459" t="s">
        <v>69</v>
      </c>
      <c r="E459" t="s">
        <v>87</v>
      </c>
      <c r="F459" s="5">
        <v>367</v>
      </c>
      <c r="G459" s="5">
        <v>0</v>
      </c>
      <c r="H459" s="6">
        <f>Table1[[#This Row],[2024 U.S. Sales ($000)]]/SUMIF($E:$E, E459, $G:$G)</f>
        <v>0</v>
      </c>
      <c r="I459" s="5">
        <v>0</v>
      </c>
      <c r="J459" s="5" t="e">
        <f>Table1[[#This Row],[2024 U.S. Sales ($000)]]/Table1[[#This Row],[2024 U.S. Units]]</f>
        <v>#DIV/0!</v>
      </c>
      <c r="K459" s="6">
        <f>Table1[[#This Row],[2024 U.S. Units]]/Table1[[#This Row],[2023 U.S. Units]]-1</f>
        <v>-1</v>
      </c>
      <c r="L459" s="8">
        <f>(Table1[[#This Row],[2024 Market share (%)]]-Table1[[#This Row],[2023 Market share (%)]])*10000</f>
        <v>-92.401679638966854</v>
      </c>
      <c r="M459" s="6">
        <f>_xlfn.RRI(5,Table1[[#This Row],[2019 U.S. Sales ($000)]],Table1[[#This Row],[2024 U.S. Sales ($000)]])</f>
        <v>-1</v>
      </c>
      <c r="N459" s="9">
        <f>(Table1[[#This Row],[2024 Market share (%)]]-Table1[[#This Row],[2019 Market share (%)]])*10000</f>
        <v>-130.74183313369596</v>
      </c>
      <c r="O459" s="6" t="e">
        <f>IF(Table1[[#This Row],[2024 AUV]]=0,"",_xlfn.RRI(5,Table1[[#This Row],[2019 AUV]],Table1[[#This Row],[2024 AUV]]))</f>
        <v>#DIV/0!</v>
      </c>
      <c r="P459" s="6">
        <f>_xlfn.RRI(5,Table1[[#This Row],[2019 U.S. Units]],Table1[[#This Row],[2024 U.S. Units]])</f>
        <v>-1</v>
      </c>
      <c r="Q459" s="5">
        <v>90100</v>
      </c>
      <c r="R459" s="6">
        <f>Table1[[#This Row],[2023 U.S. Sales ($000)]]/SUMIF($E:$E, E459, $Q:$Q)</f>
        <v>9.2401679638966852E-3</v>
      </c>
      <c r="S459" s="8">
        <f>(Table1[[#This Row],[2023 Market share (%)]]-Table1[[#This Row],[2022 Market share (%)]])*10000</f>
        <v>-9.7019978877146791</v>
      </c>
      <c r="T459" s="10">
        <v>-5.7531380753138073E-2</v>
      </c>
      <c r="U459" s="5">
        <v>24</v>
      </c>
      <c r="V459" s="5">
        <f t="shared" si="56"/>
        <v>3754.1666666666665</v>
      </c>
      <c r="W459" s="10">
        <v>-0.04</v>
      </c>
      <c r="X459" s="10">
        <f t="shared" si="57"/>
        <v>-5.2730234089246153E-2</v>
      </c>
      <c r="Y459" s="8">
        <f>(Table1[[#This Row],[2023 Market share (%)]]-Table1[[#This Row],[2019 Market share (%)]])*10000</f>
        <v>-38.340153494729122</v>
      </c>
      <c r="Z459" s="10">
        <f t="shared" si="58"/>
        <v>-6.8373807802334374E-3</v>
      </c>
      <c r="AA459" s="10">
        <f t="shared" si="59"/>
        <v>-4.6208800473246048E-2</v>
      </c>
      <c r="AB459" s="5">
        <v>95600</v>
      </c>
      <c r="AC459" s="6">
        <f>Table1[[#This Row],[2022 U.S. Sales ($000)]]/SUMIF($E:$E, E459, $AB:$AB)</f>
        <v>1.0210367752668153E-2</v>
      </c>
      <c r="AD459" s="5">
        <v>25</v>
      </c>
      <c r="AE459" s="5">
        <f t="shared" si="60"/>
        <v>3824</v>
      </c>
      <c r="AF459" s="5">
        <v>94100</v>
      </c>
      <c r="AG459" s="6">
        <f>Table1[[#This Row],[2021 U.S. Sales ($000)]]/SUMIF($E:$E, E459, $AF:$AF)</f>
        <v>1.1033518210229678E-2</v>
      </c>
      <c r="AH459" s="5">
        <v>26</v>
      </c>
      <c r="AI459" s="12">
        <f t="shared" si="61"/>
        <v>3619.2307692307691</v>
      </c>
      <c r="AJ459" s="5">
        <v>81100</v>
      </c>
      <c r="AK459" s="6">
        <f>Table1[[#This Row],[2020 U.S. Sales ($000)]]/SUMIF($E:$E, E459, $AJ:$AJ)</f>
        <v>1.224048769966824E-2</v>
      </c>
      <c r="AL459" s="5">
        <v>27</v>
      </c>
      <c r="AM459" s="5">
        <f t="shared" si="62"/>
        <v>3003.7037037037039</v>
      </c>
      <c r="AN459" s="5">
        <v>111900</v>
      </c>
      <c r="AO459" s="6">
        <f>Table1[[#This Row],[2019 U.S. Sales ($000)]]/SUMIF($E:$E, E459, $AN:$AN)</f>
        <v>1.3074183313369597E-2</v>
      </c>
      <c r="AP459" s="5">
        <v>29</v>
      </c>
      <c r="AQ459" s="5">
        <f t="shared" si="63"/>
        <v>3858.6206896551726</v>
      </c>
    </row>
    <row r="460" spans="1:43" x14ac:dyDescent="0.25">
      <c r="A460" t="s">
        <v>525</v>
      </c>
      <c r="B460">
        <v>6572</v>
      </c>
      <c r="C460" t="s">
        <v>44</v>
      </c>
      <c r="D460" t="s">
        <v>45</v>
      </c>
      <c r="E460" t="s">
        <v>76</v>
      </c>
      <c r="F460" s="5">
        <v>321</v>
      </c>
      <c r="G460" s="5">
        <v>0</v>
      </c>
      <c r="H460" s="6">
        <f>Table1[[#This Row],[2024 U.S. Sales ($000)]]/SUMIF($E:$E, E460, $G:$G)</f>
        <v>0</v>
      </c>
      <c r="I460" s="5">
        <v>0</v>
      </c>
      <c r="J460" s="5" t="e">
        <f>Table1[[#This Row],[2024 U.S. Sales ($000)]]/Table1[[#This Row],[2024 U.S. Units]]</f>
        <v>#DIV/0!</v>
      </c>
      <c r="K460" s="6">
        <f>Table1[[#This Row],[2024 U.S. Units]]/Table1[[#This Row],[2023 U.S. Units]]-1</f>
        <v>-1</v>
      </c>
      <c r="L460" s="8">
        <f>(Table1[[#This Row],[2024 Market share (%)]]-Table1[[#This Row],[2023 Market share (%)]])*10000</f>
        <v>-129.16317055158589</v>
      </c>
      <c r="M460" s="6">
        <f>_xlfn.RRI(5,Table1[[#This Row],[2019 U.S. Sales ($000)]],Table1[[#This Row],[2024 U.S. Sales ($000)]])</f>
        <v>-1</v>
      </c>
      <c r="N460" s="9">
        <f>(Table1[[#This Row],[2024 Market share (%)]]-Table1[[#This Row],[2019 Market share (%)]])*10000</f>
        <v>-205.69656637935296</v>
      </c>
      <c r="O460" s="6" t="e">
        <f>IF(Table1[[#This Row],[2024 AUV]]=0,"",_xlfn.RRI(5,Table1[[#This Row],[2019 AUV]],Table1[[#This Row],[2024 AUV]]))</f>
        <v>#DIV/0!</v>
      </c>
      <c r="P460" s="6">
        <f>_xlfn.RRI(5,Table1[[#This Row],[2019 U.S. Units]],Table1[[#This Row],[2024 U.S. Units]])</f>
        <v>-1</v>
      </c>
      <c r="Q460" s="5">
        <v>104800</v>
      </c>
      <c r="R460" s="6">
        <f>Table1[[#This Row],[2023 U.S. Sales ($000)]]/SUMIF($E:$E, E460, $Q:$Q)</f>
        <v>1.291631705515859E-2</v>
      </c>
      <c r="S460" s="8">
        <f>(Table1[[#This Row],[2023 Market share (%)]]-Table1[[#This Row],[2022 Market share (%)]])*10000</f>
        <v>-12.807598875533497</v>
      </c>
      <c r="T460" s="10">
        <v>-1.9644527595884004E-2</v>
      </c>
      <c r="U460" s="5">
        <v>205</v>
      </c>
      <c r="V460" s="5">
        <f t="shared" si="56"/>
        <v>511.21951219512198</v>
      </c>
      <c r="W460" s="10">
        <v>-4.8543689320388345E-3</v>
      </c>
      <c r="X460" s="10">
        <f t="shared" si="57"/>
        <v>-5.3535069925886636E-2</v>
      </c>
      <c r="Y460" s="8">
        <f>(Table1[[#This Row],[2023 Market share (%)]]-Table1[[#This Row],[2019 Market share (%)]])*10000</f>
        <v>-76.53339582776708</v>
      </c>
      <c r="Z460" s="10">
        <f t="shared" si="58"/>
        <v>8.2472424317425741E-3</v>
      </c>
      <c r="AA460" s="10">
        <f t="shared" si="59"/>
        <v>-6.1276946524167486E-2</v>
      </c>
      <c r="AB460" s="5">
        <v>106900</v>
      </c>
      <c r="AC460" s="6">
        <f>Table1[[#This Row],[2022 U.S. Sales ($000)]]/SUMIF($E:$E, E460, $AB:$AB)</f>
        <v>1.4197076942711939E-2</v>
      </c>
      <c r="AD460" s="5">
        <v>206</v>
      </c>
      <c r="AE460" s="5">
        <f t="shared" si="60"/>
        <v>518.93203883495141</v>
      </c>
      <c r="AF460" s="5">
        <v>106800</v>
      </c>
      <c r="AG460" s="6">
        <f>Table1[[#This Row],[2021 U.S. Sales ($000)]]/SUMIF($E:$E, E460, $AF:$AF)</f>
        <v>1.4628028947061328E-2</v>
      </c>
      <c r="AH460" s="5">
        <v>209</v>
      </c>
      <c r="AI460" s="12">
        <f t="shared" si="61"/>
        <v>511.00478468899519</v>
      </c>
      <c r="AJ460" s="5">
        <v>98000</v>
      </c>
      <c r="AK460" s="6">
        <f>Table1[[#This Row],[2020 U.S. Sales ($000)]]/SUMIF($E:$E, E460, $AJ:$AJ)</f>
        <v>1.5335949625474202E-2</v>
      </c>
      <c r="AL460" s="5">
        <v>226</v>
      </c>
      <c r="AM460" s="5">
        <f t="shared" si="62"/>
        <v>433.62831858407077</v>
      </c>
      <c r="AN460" s="5">
        <v>130600</v>
      </c>
      <c r="AO460" s="6">
        <f>Table1[[#This Row],[2019 U.S. Sales ($000)]]/SUMIF($E:$E, E460, $AN:$AN)</f>
        <v>2.0569656637935297E-2</v>
      </c>
      <c r="AP460" s="5">
        <v>264</v>
      </c>
      <c r="AQ460" s="5">
        <f t="shared" si="63"/>
        <v>494.69696969696969</v>
      </c>
    </row>
    <row r="461" spans="1:43" x14ac:dyDescent="0.25">
      <c r="A461" t="s">
        <v>526</v>
      </c>
      <c r="B461">
        <v>1692</v>
      </c>
      <c r="C461" t="s">
        <v>68</v>
      </c>
      <c r="D461" t="s">
        <v>69</v>
      </c>
      <c r="E461" t="s">
        <v>107</v>
      </c>
      <c r="F461" s="5">
        <v>234</v>
      </c>
      <c r="G461" s="5">
        <v>0</v>
      </c>
      <c r="H461" s="6">
        <f>Table1[[#This Row],[2024 U.S. Sales ($000)]]/SUMIF($E:$E, E461, $G:$G)</f>
        <v>0</v>
      </c>
      <c r="I461" s="5">
        <v>0</v>
      </c>
      <c r="J461" s="5" t="e">
        <f>Table1[[#This Row],[2024 U.S. Sales ($000)]]/Table1[[#This Row],[2024 U.S. Units]]</f>
        <v>#DIV/0!</v>
      </c>
      <c r="K461" s="6">
        <f>Table1[[#This Row],[2024 U.S. Units]]/Table1[[#This Row],[2023 U.S. Units]]-1</f>
        <v>-1</v>
      </c>
      <c r="L461" s="8">
        <f>(Table1[[#This Row],[2024 Market share (%)]]-Table1[[#This Row],[2023 Market share (%)]])*10000</f>
        <v>-318.91535352962143</v>
      </c>
      <c r="M461" s="6">
        <f>_xlfn.RRI(5,Table1[[#This Row],[2019 U.S. Sales ($000)]],Table1[[#This Row],[2024 U.S. Sales ($000)]])</f>
        <v>-1</v>
      </c>
      <c r="N461" s="9">
        <f>(Table1[[#This Row],[2024 Market share (%)]]-Table1[[#This Row],[2019 Market share (%)]])*10000</f>
        <v>-398.55400717863819</v>
      </c>
      <c r="O461" s="6" t="e">
        <f>IF(Table1[[#This Row],[2024 AUV]]=0,"",_xlfn.RRI(5,Table1[[#This Row],[2019 AUV]],Table1[[#This Row],[2024 AUV]]))</f>
        <v>#DIV/0!</v>
      </c>
      <c r="P461" s="6">
        <f>_xlfn.RRI(5,Table1[[#This Row],[2019 U.S. Units]],Table1[[#This Row],[2024 U.S. Units]])</f>
        <v>-1</v>
      </c>
      <c r="Q461" s="5">
        <v>164100</v>
      </c>
      <c r="R461" s="6">
        <f>Table1[[#This Row],[2023 U.S. Sales ($000)]]/SUMIF($E:$E, E461, $Q:$Q)</f>
        <v>3.1891535352962144E-2</v>
      </c>
      <c r="S461" s="8">
        <f>(Table1[[#This Row],[2023 Market share (%)]]-Table1[[#This Row],[2022 Market share (%)]])*10000</f>
        <v>8.7078016991096536</v>
      </c>
      <c r="T461" s="10">
        <v>1.2962962962962963E-2</v>
      </c>
      <c r="U461" s="5">
        <v>22</v>
      </c>
      <c r="V461" s="5">
        <f t="shared" si="56"/>
        <v>7459.090909090909</v>
      </c>
      <c r="W461" s="10">
        <v>0</v>
      </c>
      <c r="X461" s="10">
        <f t="shared" si="57"/>
        <v>-5.4114256022129381E-2</v>
      </c>
      <c r="Y461" s="8">
        <f>(Table1[[#This Row],[2023 Market share (%)]]-Table1[[#This Row],[2019 Market share (%)]])*10000</f>
        <v>-79.638653649016717</v>
      </c>
      <c r="Z461" s="10">
        <f t="shared" si="58"/>
        <v>-4.4250724867924696E-3</v>
      </c>
      <c r="AA461" s="10">
        <f t="shared" si="59"/>
        <v>-4.9910039076067281E-2</v>
      </c>
      <c r="AB461" s="5">
        <v>162000</v>
      </c>
      <c r="AC461" s="6">
        <f>Table1[[#This Row],[2022 U.S. Sales ($000)]]/SUMIF($E:$E, E461, $AB:$AB)</f>
        <v>3.1020755183051179E-2</v>
      </c>
      <c r="AD461" s="5">
        <v>22</v>
      </c>
      <c r="AE461" s="5">
        <f t="shared" si="60"/>
        <v>7363.636363636364</v>
      </c>
      <c r="AF461" s="5">
        <v>141200</v>
      </c>
      <c r="AG461" s="6">
        <f>Table1[[#This Row],[2021 U.S. Sales ($000)]]/SUMIF($E:$E, E461, $AF:$AF)</f>
        <v>2.9327669409869965E-2</v>
      </c>
      <c r="AH461" s="5">
        <v>23</v>
      </c>
      <c r="AI461" s="12">
        <f t="shared" si="61"/>
        <v>6139.130434782609</v>
      </c>
      <c r="AJ461" s="5">
        <v>88000</v>
      </c>
      <c r="AK461" s="6">
        <f>Table1[[#This Row],[2020 U.S. Sales ($000)]]/SUMIF($E:$E, E461, $AJ:$AJ)</f>
        <v>2.5831866836726457E-2</v>
      </c>
      <c r="AL461" s="5">
        <v>24</v>
      </c>
      <c r="AM461" s="5">
        <f t="shared" si="62"/>
        <v>3666.6666666666665</v>
      </c>
      <c r="AN461" s="5">
        <v>205000</v>
      </c>
      <c r="AO461" s="6">
        <f>Table1[[#This Row],[2019 U.S. Sales ($000)]]/SUMIF($E:$E, E461, $AN:$AN)</f>
        <v>3.9855400717863816E-2</v>
      </c>
      <c r="AP461" s="5">
        <v>27</v>
      </c>
      <c r="AQ461" s="5">
        <f t="shared" si="63"/>
        <v>7592.5925925925922</v>
      </c>
    </row>
    <row r="462" spans="1:43" x14ac:dyDescent="0.25">
      <c r="A462" t="s">
        <v>527</v>
      </c>
      <c r="B462">
        <v>847</v>
      </c>
      <c r="C462" t="s">
        <v>44</v>
      </c>
      <c r="D462" t="s">
        <v>45</v>
      </c>
      <c r="E462" t="s">
        <v>52</v>
      </c>
      <c r="F462" s="5">
        <v>240</v>
      </c>
      <c r="G462" s="5">
        <v>0</v>
      </c>
      <c r="H462" s="6">
        <f>Table1[[#This Row],[2024 U.S. Sales ($000)]]/SUMIF($E:$E, E462, $G:$G)</f>
        <v>0</v>
      </c>
      <c r="I462" s="5">
        <v>0</v>
      </c>
      <c r="J462" s="5" t="e">
        <f>Table1[[#This Row],[2024 U.S. Sales ($000)]]/Table1[[#This Row],[2024 U.S. Units]]</f>
        <v>#DIV/0!</v>
      </c>
      <c r="K462" s="6">
        <f>Table1[[#This Row],[2024 U.S. Units]]/Table1[[#This Row],[2023 U.S. Units]]-1</f>
        <v>-1</v>
      </c>
      <c r="L462" s="8">
        <f>(Table1[[#This Row],[2024 Market share (%)]]-Table1[[#This Row],[2023 Market share (%)]])*10000</f>
        <v>-47.266686016592182</v>
      </c>
      <c r="M462" s="6">
        <f>_xlfn.RRI(5,Table1[[#This Row],[2019 U.S. Sales ($000)]],Table1[[#This Row],[2024 U.S. Sales ($000)]])</f>
        <v>-1</v>
      </c>
      <c r="N462" s="9">
        <f>(Table1[[#This Row],[2024 Market share (%)]]-Table1[[#This Row],[2019 Market share (%)]])*10000</f>
        <v>-80.642500041249363</v>
      </c>
      <c r="O462" s="6" t="e">
        <f>IF(Table1[[#This Row],[2024 AUV]]=0,"",_xlfn.RRI(5,Table1[[#This Row],[2019 AUV]],Table1[[#This Row],[2024 AUV]]))</f>
        <v>#DIV/0!</v>
      </c>
      <c r="P462" s="6">
        <f>_xlfn.RRI(5,Table1[[#This Row],[2019 U.S. Units]],Table1[[#This Row],[2024 U.S. Units]])</f>
        <v>-1</v>
      </c>
      <c r="Q462" s="5">
        <v>156400</v>
      </c>
      <c r="R462" s="6">
        <f>Table1[[#This Row],[2023 U.S. Sales ($000)]]/SUMIF($E:$E, E462, $Q:$Q)</f>
        <v>4.7266686016592179E-3</v>
      </c>
      <c r="S462" s="8">
        <f>(Table1[[#This Row],[2023 Market share (%)]]-Table1[[#This Row],[2022 Market share (%)]])*10000</f>
        <v>-7.6386827809211448</v>
      </c>
      <c r="T462" s="10">
        <v>-5.9530968129885752E-2</v>
      </c>
      <c r="U462" s="5">
        <v>136</v>
      </c>
      <c r="V462" s="5">
        <f t="shared" si="56"/>
        <v>1150</v>
      </c>
      <c r="W462" s="10">
        <v>-4.2253521126760563E-2</v>
      </c>
      <c r="X462" s="10">
        <f t="shared" si="57"/>
        <v>-5.4258390996824168E-2</v>
      </c>
      <c r="Y462" s="8">
        <f>(Table1[[#This Row],[2023 Market share (%)]]-Table1[[#This Row],[2019 Market share (%)]])*10000</f>
        <v>-33.375814024657188</v>
      </c>
      <c r="Z462" s="10">
        <f t="shared" si="58"/>
        <v>-1.473843356328719E-3</v>
      </c>
      <c r="AA462" s="10">
        <f t="shared" si="59"/>
        <v>-5.2862458623937569E-2</v>
      </c>
      <c r="AB462" s="5">
        <v>166300</v>
      </c>
      <c r="AC462" s="6">
        <f>Table1[[#This Row],[2022 U.S. Sales ($000)]]/SUMIF($E:$E, E462, $AB:$AB)</f>
        <v>5.4905368797513324E-3</v>
      </c>
      <c r="AD462" s="5">
        <v>142</v>
      </c>
      <c r="AE462" s="5">
        <f t="shared" si="60"/>
        <v>1171.1267605633802</v>
      </c>
      <c r="AF462" s="5">
        <v>171600</v>
      </c>
      <c r="AG462" s="6">
        <f>Table1[[#This Row],[2021 U.S. Sales ($000)]]/SUMIF($E:$E, E462, $AF:$AF)</f>
        <v>6.2606588081048241E-3</v>
      </c>
      <c r="AH462" s="5">
        <v>146</v>
      </c>
      <c r="AI462" s="12">
        <f t="shared" si="61"/>
        <v>1175.3424657534247</v>
      </c>
      <c r="AJ462" s="5">
        <v>166900</v>
      </c>
      <c r="AK462" s="6">
        <f>Table1[[#This Row],[2020 U.S. Sales ($000)]]/SUMIF($E:$E, E462, $AJ:$AJ)</f>
        <v>7.0805434514369962E-3</v>
      </c>
      <c r="AL462" s="5">
        <v>155</v>
      </c>
      <c r="AM462" s="5">
        <f t="shared" si="62"/>
        <v>1076.7741935483871</v>
      </c>
      <c r="AN462" s="5">
        <v>195500</v>
      </c>
      <c r="AO462" s="6">
        <f>Table1[[#This Row],[2019 U.S. Sales ($000)]]/SUMIF($E:$E, E462, $AN:$AN)</f>
        <v>8.0642500041249367E-3</v>
      </c>
      <c r="AP462" s="5">
        <v>169</v>
      </c>
      <c r="AQ462" s="5">
        <f t="shared" si="63"/>
        <v>1156.8047337278106</v>
      </c>
    </row>
    <row r="463" spans="1:43" x14ac:dyDescent="0.25">
      <c r="A463" t="s">
        <v>528</v>
      </c>
      <c r="B463">
        <v>2407</v>
      </c>
      <c r="C463" t="s">
        <v>44</v>
      </c>
      <c r="D463" t="s">
        <v>56</v>
      </c>
      <c r="E463" t="s">
        <v>52</v>
      </c>
      <c r="F463" s="5">
        <v>269</v>
      </c>
      <c r="G463" s="5">
        <v>0</v>
      </c>
      <c r="H463" s="6">
        <f>Table1[[#This Row],[2024 U.S. Sales ($000)]]/SUMIF($E:$E, E463, $G:$G)</f>
        <v>0</v>
      </c>
      <c r="I463" s="5">
        <v>0</v>
      </c>
      <c r="J463" s="5" t="e">
        <f>Table1[[#This Row],[2024 U.S. Sales ($000)]]/Table1[[#This Row],[2024 U.S. Units]]</f>
        <v>#DIV/0!</v>
      </c>
      <c r="K463" s="6">
        <f>Table1[[#This Row],[2024 U.S. Units]]/Table1[[#This Row],[2023 U.S. Units]]-1</f>
        <v>-1</v>
      </c>
      <c r="L463" s="8">
        <f>(Table1[[#This Row],[2024 Market share (%)]]-Table1[[#This Row],[2023 Market share (%)]])*10000</f>
        <v>-40.497032776364136</v>
      </c>
      <c r="M463" s="6">
        <f>_xlfn.RRI(5,Table1[[#This Row],[2019 U.S. Sales ($000)]],Table1[[#This Row],[2024 U.S. Sales ($000)]])</f>
        <v>-1</v>
      </c>
      <c r="N463" s="9">
        <f>(Table1[[#This Row],[2024 Market share (%)]]-Table1[[#This Row],[2019 Market share (%)]])*10000</f>
        <v>-69.587671391093437</v>
      </c>
      <c r="O463" s="6" t="e">
        <f>IF(Table1[[#This Row],[2024 AUV]]=0,"",_xlfn.RRI(5,Table1[[#This Row],[2019 AUV]],Table1[[#This Row],[2024 AUV]]))</f>
        <v>#DIV/0!</v>
      </c>
      <c r="P463" s="6">
        <f>_xlfn.RRI(5,Table1[[#This Row],[2019 U.S. Units]],Table1[[#This Row],[2024 U.S. Units]])</f>
        <v>-1</v>
      </c>
      <c r="Q463" s="5">
        <v>134000</v>
      </c>
      <c r="R463" s="6">
        <f>Table1[[#This Row],[2023 U.S. Sales ($000)]]/SUMIF($E:$E, E463, $Q:$Q)</f>
        <v>4.0497032776364138E-3</v>
      </c>
      <c r="S463" s="8">
        <f>(Table1[[#This Row],[2023 Market share (%)]]-Table1[[#This Row],[2022 Market share (%)]])*10000</f>
        <v>-6.8477049600364044</v>
      </c>
      <c r="T463" s="10">
        <v>-6.555090655509066E-2</v>
      </c>
      <c r="U463" s="5">
        <v>111</v>
      </c>
      <c r="V463" s="5">
        <f t="shared" si="56"/>
        <v>1207.2072072072071</v>
      </c>
      <c r="W463" s="10">
        <v>-5.128205128205128E-2</v>
      </c>
      <c r="X463" s="10">
        <f t="shared" si="57"/>
        <v>-5.5944712609104608E-2</v>
      </c>
      <c r="Y463" s="8">
        <f>(Table1[[#This Row],[2023 Market share (%)]]-Table1[[#This Row],[2019 Market share (%)]])*10000</f>
        <v>-29.090638614729304</v>
      </c>
      <c r="Z463" s="10">
        <f t="shared" si="58"/>
        <v>-8.5972337155877376E-3</v>
      </c>
      <c r="AA463" s="10">
        <f t="shared" si="59"/>
        <v>-4.7758066150013101E-2</v>
      </c>
      <c r="AB463" s="5">
        <v>143400</v>
      </c>
      <c r="AC463" s="6">
        <f>Table1[[#This Row],[2022 U.S. Sales ($000)]]/SUMIF($E:$E, E463, $AB:$AB)</f>
        <v>4.7344737736400543E-3</v>
      </c>
      <c r="AD463" s="5">
        <v>117</v>
      </c>
      <c r="AE463" s="5">
        <f t="shared" si="60"/>
        <v>1225.6410256410256</v>
      </c>
      <c r="AF463" s="5">
        <v>148100</v>
      </c>
      <c r="AG463" s="6">
        <f>Table1[[#This Row],[2021 U.S. Sales ($000)]]/SUMIF($E:$E, E463, $AF:$AF)</f>
        <v>5.4032842044307956E-3</v>
      </c>
      <c r="AH463" s="5">
        <v>122</v>
      </c>
      <c r="AI463" s="12">
        <f t="shared" si="61"/>
        <v>1213.9344262295083</v>
      </c>
      <c r="AJ463" s="5">
        <v>134200</v>
      </c>
      <c r="AK463" s="6">
        <f>Table1[[#This Row],[2020 U.S. Sales ($000)]]/SUMIF($E:$E, E463, $AJ:$AJ)</f>
        <v>5.6932829909097952E-3</v>
      </c>
      <c r="AL463" s="5">
        <v>128</v>
      </c>
      <c r="AM463" s="5">
        <f t="shared" si="62"/>
        <v>1048.4375</v>
      </c>
      <c r="AN463" s="5">
        <v>168700</v>
      </c>
      <c r="AO463" s="6">
        <f>Table1[[#This Row],[2019 U.S. Sales ($000)]]/SUMIF($E:$E, E463, $AN:$AN)</f>
        <v>6.9587671391093441E-3</v>
      </c>
      <c r="AP463" s="5">
        <v>135</v>
      </c>
      <c r="AQ463" s="5">
        <f t="shared" si="63"/>
        <v>1249.6296296296296</v>
      </c>
    </row>
    <row r="464" spans="1:43" x14ac:dyDescent="0.25">
      <c r="A464" t="s">
        <v>529</v>
      </c>
      <c r="B464">
        <v>616</v>
      </c>
      <c r="C464" t="s">
        <v>44</v>
      </c>
      <c r="D464" t="s">
        <v>45</v>
      </c>
      <c r="E464" t="s">
        <v>59</v>
      </c>
      <c r="F464" s="5">
        <v>368</v>
      </c>
      <c r="G464" s="5">
        <v>0</v>
      </c>
      <c r="H464" s="6">
        <f>Table1[[#This Row],[2024 U.S. Sales ($000)]]/SUMIF($E:$E, E464, $G:$G)</f>
        <v>0</v>
      </c>
      <c r="I464" s="5">
        <v>0</v>
      </c>
      <c r="J464" s="5" t="e">
        <f>Table1[[#This Row],[2024 U.S. Sales ($000)]]/Table1[[#This Row],[2024 U.S. Units]]</f>
        <v>#DIV/0!</v>
      </c>
      <c r="K464" s="6">
        <f>Table1[[#This Row],[2024 U.S. Units]]/Table1[[#This Row],[2023 U.S. Units]]-1</f>
        <v>-1</v>
      </c>
      <c r="L464" s="8">
        <f>(Table1[[#This Row],[2024 Market share (%)]]-Table1[[#This Row],[2023 Market share (%)]])*10000</f>
        <v>-23.748421140362648</v>
      </c>
      <c r="M464" s="6">
        <f>_xlfn.RRI(5,Table1[[#This Row],[2019 U.S. Sales ($000)]],Table1[[#This Row],[2024 U.S. Sales ($000)]])</f>
        <v>-1</v>
      </c>
      <c r="N464" s="9">
        <f>(Table1[[#This Row],[2024 Market share (%)]]-Table1[[#This Row],[2019 Market share (%)]])*10000</f>
        <v>-34.685536578209671</v>
      </c>
      <c r="O464" s="6" t="e">
        <f>IF(Table1[[#This Row],[2024 AUV]]=0,"",_xlfn.RRI(5,Table1[[#This Row],[2019 AUV]],Table1[[#This Row],[2024 AUV]]))</f>
        <v>#DIV/0!</v>
      </c>
      <c r="P464" s="6">
        <f>_xlfn.RRI(5,Table1[[#This Row],[2019 U.S. Units]],Table1[[#This Row],[2024 U.S. Units]])</f>
        <v>-1</v>
      </c>
      <c r="Q464" s="5">
        <v>89700</v>
      </c>
      <c r="R464" s="6">
        <f>Table1[[#This Row],[2023 U.S. Sales ($000)]]/SUMIF($E:$E, E464, $Q:$Q)</f>
        <v>2.3748421140362646E-3</v>
      </c>
      <c r="S464" s="8">
        <f>(Table1[[#This Row],[2023 Market share (%)]]-Table1[[#This Row],[2022 Market share (%)]])*10000</f>
        <v>-2.2988299705372413</v>
      </c>
      <c r="T464" s="10">
        <v>-3.755364806866953E-2</v>
      </c>
      <c r="U464" s="5">
        <v>154</v>
      </c>
      <c r="V464" s="5">
        <f t="shared" si="56"/>
        <v>582.46753246753246</v>
      </c>
      <c r="W464" s="10">
        <v>-2.5316455696202531E-2</v>
      </c>
      <c r="X464" s="10">
        <f t="shared" si="57"/>
        <v>-5.6719984934482048E-2</v>
      </c>
      <c r="Y464" s="8">
        <f>(Table1[[#This Row],[2023 Market share (%)]]-Table1[[#This Row],[2019 Market share (%)]])*10000</f>
        <v>-10.937115437847025</v>
      </c>
      <c r="Z464" s="10">
        <f t="shared" si="58"/>
        <v>-6.6548904375207663E-4</v>
      </c>
      <c r="AA464" s="10">
        <f t="shared" si="59"/>
        <v>-5.6091824385302469E-2</v>
      </c>
      <c r="AB464" s="5">
        <v>93200</v>
      </c>
      <c r="AC464" s="6">
        <f>Table1[[#This Row],[2022 U.S. Sales ($000)]]/SUMIF($E:$E, E464, $AB:$AB)</f>
        <v>2.6047251110899888E-3</v>
      </c>
      <c r="AD464" s="5">
        <v>158</v>
      </c>
      <c r="AE464" s="5">
        <f t="shared" si="60"/>
        <v>589.87341772151899</v>
      </c>
      <c r="AF464" s="5">
        <v>96200</v>
      </c>
      <c r="AG464" s="6">
        <f>Table1[[#This Row],[2021 U.S. Sales ($000)]]/SUMIF($E:$E, E464, $AF:$AF)</f>
        <v>2.8994982662386821E-3</v>
      </c>
      <c r="AH464" s="5">
        <v>169</v>
      </c>
      <c r="AI464" s="12">
        <f t="shared" si="61"/>
        <v>569.23076923076928</v>
      </c>
      <c r="AJ464" s="5">
        <v>91900</v>
      </c>
      <c r="AK464" s="6">
        <f>Table1[[#This Row],[2020 U.S. Sales ($000)]]/SUMIF($E:$E, E464, $AJ:$AJ)</f>
        <v>3.2268874798732109E-3</v>
      </c>
      <c r="AL464" s="5">
        <v>181</v>
      </c>
      <c r="AM464" s="5">
        <f t="shared" si="62"/>
        <v>507.73480662983428</v>
      </c>
      <c r="AN464" s="5">
        <v>113300</v>
      </c>
      <c r="AO464" s="6">
        <f>Table1[[#This Row],[2019 U.S. Sales ($000)]]/SUMIF($E:$E, E464, $AN:$AN)</f>
        <v>3.4685536578209671E-3</v>
      </c>
      <c r="AP464" s="5">
        <v>194</v>
      </c>
      <c r="AQ464" s="5">
        <f t="shared" si="63"/>
        <v>584.02061855670104</v>
      </c>
    </row>
    <row r="465" spans="1:43" x14ac:dyDescent="0.25">
      <c r="A465" t="s">
        <v>530</v>
      </c>
      <c r="B465">
        <v>9272</v>
      </c>
      <c r="C465" t="s">
        <v>44</v>
      </c>
      <c r="D465" t="s">
        <v>56</v>
      </c>
      <c r="E465" t="s">
        <v>128</v>
      </c>
      <c r="F465" s="5">
        <v>418</v>
      </c>
      <c r="G465" s="5">
        <v>0</v>
      </c>
      <c r="H465" s="6">
        <f>Table1[[#This Row],[2024 U.S. Sales ($000)]]/SUMIF($E:$E, E465, $G:$G)</f>
        <v>0</v>
      </c>
      <c r="I465" s="5">
        <v>0</v>
      </c>
      <c r="J465" s="5" t="e">
        <f>Table1[[#This Row],[2024 U.S. Sales ($000)]]/Table1[[#This Row],[2024 U.S. Units]]</f>
        <v>#DIV/0!</v>
      </c>
      <c r="K465" s="6">
        <f>Table1[[#This Row],[2024 U.S. Units]]/Table1[[#This Row],[2023 U.S. Units]]-1</f>
        <v>-1</v>
      </c>
      <c r="L465" s="8">
        <f>(Table1[[#This Row],[2024 Market share (%)]]-Table1[[#This Row],[2023 Market share (%)]])*10000</f>
        <v>-144.6901783075559</v>
      </c>
      <c r="M465" s="6">
        <f>_xlfn.RRI(5,Table1[[#This Row],[2019 U.S. Sales ($000)]],Table1[[#This Row],[2024 U.S. Sales ($000)]])</f>
        <v>-1</v>
      </c>
      <c r="N465" s="9">
        <f>(Table1[[#This Row],[2024 Market share (%)]]-Table1[[#This Row],[2019 Market share (%)]])*10000</f>
        <v>-267.33105251934296</v>
      </c>
      <c r="O465" s="6" t="e">
        <f>IF(Table1[[#This Row],[2024 AUV]]=0,"",_xlfn.RRI(5,Table1[[#This Row],[2019 AUV]],Table1[[#This Row],[2024 AUV]]))</f>
        <v>#DIV/0!</v>
      </c>
      <c r="P465" s="6">
        <f>_xlfn.RRI(5,Table1[[#This Row],[2019 U.S. Units]],Table1[[#This Row],[2024 U.S. Units]])</f>
        <v>-1</v>
      </c>
      <c r="Q465" s="5">
        <v>75200</v>
      </c>
      <c r="R465" s="6">
        <f>Table1[[#This Row],[2023 U.S. Sales ($000)]]/SUMIF($E:$E, E465, $Q:$Q)</f>
        <v>1.446901783075559E-2</v>
      </c>
      <c r="S465" s="8">
        <f>(Table1[[#This Row],[2023 Market share (%)]]-Table1[[#This Row],[2022 Market share (%)]])*10000</f>
        <v>-37.473081507364419</v>
      </c>
      <c r="T465" s="10">
        <v>-6.8153655514250316E-2</v>
      </c>
      <c r="U465" s="5">
        <v>24</v>
      </c>
      <c r="V465" s="5">
        <f t="shared" si="56"/>
        <v>3133.3333333333335</v>
      </c>
      <c r="W465" s="10">
        <v>-7.6923076923076927E-2</v>
      </c>
      <c r="X465" s="10">
        <f t="shared" si="57"/>
        <v>-5.7747352311205646E-2</v>
      </c>
      <c r="Y465" s="8">
        <f>(Table1[[#This Row],[2023 Market share (%)]]-Table1[[#This Row],[2019 Market share (%)]])*10000</f>
        <v>-122.64087421178706</v>
      </c>
      <c r="Z465" s="10">
        <f t="shared" si="58"/>
        <v>-3.6891274330828061E-3</v>
      </c>
      <c r="AA465" s="10">
        <f t="shared" si="59"/>
        <v>-5.4258390996824168E-2</v>
      </c>
      <c r="AB465" s="5">
        <v>80700</v>
      </c>
      <c r="AC465" s="6">
        <f>Table1[[#This Row],[2022 U.S. Sales ($000)]]/SUMIF($E:$E, E465, $AB:$AB)</f>
        <v>1.8216325981492032E-2</v>
      </c>
      <c r="AD465" s="5">
        <v>26</v>
      </c>
      <c r="AE465" s="5">
        <f t="shared" si="60"/>
        <v>3103.8461538461538</v>
      </c>
      <c r="AF465" s="5">
        <v>79900</v>
      </c>
      <c r="AG465" s="6">
        <f>Table1[[#This Row],[2021 U.S. Sales ($000)]]/SUMIF($E:$E, E465, $AF:$AF)</f>
        <v>2.1177635568673851E-2</v>
      </c>
      <c r="AH465" s="5">
        <v>27</v>
      </c>
      <c r="AI465" s="12">
        <f t="shared" si="61"/>
        <v>2959.2592592592591</v>
      </c>
      <c r="AJ465" s="5">
        <v>75400</v>
      </c>
      <c r="AK465" s="6">
        <f>Table1[[#This Row],[2020 U.S. Sales ($000)]]/SUMIF($E:$E, E465, $AJ:$AJ)</f>
        <v>2.4605383814617687E-2</v>
      </c>
      <c r="AL465" s="5">
        <v>27</v>
      </c>
      <c r="AM465" s="5">
        <f t="shared" si="62"/>
        <v>2792.5925925925926</v>
      </c>
      <c r="AN465" s="5">
        <v>95400</v>
      </c>
      <c r="AO465" s="6">
        <f>Table1[[#This Row],[2019 U.S. Sales ($000)]]/SUMIF($E:$E, E465, $AN:$AN)</f>
        <v>2.6733105251934296E-2</v>
      </c>
      <c r="AP465" s="5">
        <v>30</v>
      </c>
      <c r="AQ465" s="5">
        <f t="shared" si="63"/>
        <v>3180</v>
      </c>
    </row>
    <row r="466" spans="1:43" x14ac:dyDescent="0.25">
      <c r="A466" t="s">
        <v>531</v>
      </c>
      <c r="B466">
        <v>1113</v>
      </c>
      <c r="C466" t="s">
        <v>68</v>
      </c>
      <c r="D466" t="s">
        <v>69</v>
      </c>
      <c r="E466" t="s">
        <v>79</v>
      </c>
      <c r="F466" s="5">
        <v>258</v>
      </c>
      <c r="G466" s="5">
        <v>0</v>
      </c>
      <c r="H466" s="6">
        <f>Table1[[#This Row],[2024 U.S. Sales ($000)]]/SUMIF($E:$E, E466, $G:$G)</f>
        <v>0</v>
      </c>
      <c r="I466" s="5">
        <v>0</v>
      </c>
      <c r="J466" s="5" t="e">
        <f>Table1[[#This Row],[2024 U.S. Sales ($000)]]/Table1[[#This Row],[2024 U.S. Units]]</f>
        <v>#DIV/0!</v>
      </c>
      <c r="K466" s="6">
        <f>Table1[[#This Row],[2024 U.S. Units]]/Table1[[#This Row],[2023 U.S. Units]]-1</f>
        <v>-1</v>
      </c>
      <c r="L466" s="8">
        <f>(Table1[[#This Row],[2024 Market share (%)]]-Table1[[#This Row],[2023 Market share (%)]])*10000</f>
        <v>-59.158005870490541</v>
      </c>
      <c r="M466" s="6">
        <f>_xlfn.RRI(5,Table1[[#This Row],[2019 U.S. Sales ($000)]],Table1[[#This Row],[2024 U.S. Sales ($000)]])</f>
        <v>-1</v>
      </c>
      <c r="N466" s="9">
        <f>(Table1[[#This Row],[2024 Market share (%)]]-Table1[[#This Row],[2019 Market share (%)]])*10000</f>
        <v>-79.345388285765665</v>
      </c>
      <c r="O466" s="6" t="e">
        <f>IF(Table1[[#This Row],[2024 AUV]]=0,"",_xlfn.RRI(5,Table1[[#This Row],[2019 AUV]],Table1[[#This Row],[2024 AUV]]))</f>
        <v>#DIV/0!</v>
      </c>
      <c r="P466" s="6">
        <f>_xlfn.RRI(5,Table1[[#This Row],[2019 U.S. Units]],Table1[[#This Row],[2024 U.S. Units]])</f>
        <v>-1</v>
      </c>
      <c r="Q466" s="5">
        <v>142705</v>
      </c>
      <c r="R466" s="6">
        <f>Table1[[#This Row],[2023 U.S. Sales ($000)]]/SUMIF($E:$E, E466, $Q:$Q)</f>
        <v>5.915800587049054E-3</v>
      </c>
      <c r="S466" s="8">
        <f>(Table1[[#This Row],[2023 Market share (%)]]-Table1[[#This Row],[2022 Market share (%)]])*10000</f>
        <v>-0.33390904024416418</v>
      </c>
      <c r="T466" s="10">
        <v>2.0006289937529485E-2</v>
      </c>
      <c r="U466" s="5">
        <v>113</v>
      </c>
      <c r="V466" s="5">
        <f t="shared" si="56"/>
        <v>1262.8761061946902</v>
      </c>
      <c r="W466" s="10">
        <v>-6.6115702479338845E-2</v>
      </c>
      <c r="X466" s="10">
        <f t="shared" si="57"/>
        <v>-5.7958036162112148E-2</v>
      </c>
      <c r="Y466" s="8">
        <f>(Table1[[#This Row],[2023 Market share (%)]]-Table1[[#This Row],[2019 Market share (%)]])*10000</f>
        <v>-20.187382415275124</v>
      </c>
      <c r="Z466" s="10">
        <f t="shared" si="58"/>
        <v>1.9491391092859356E-2</v>
      </c>
      <c r="AA466" s="10">
        <f t="shared" si="59"/>
        <v>-7.5968691772814845E-2</v>
      </c>
      <c r="AB466" s="5">
        <v>139906</v>
      </c>
      <c r="AC466" s="6">
        <f>Table1[[#This Row],[2022 U.S. Sales ($000)]]/SUMIF($E:$E, E466, $AB:$AB)</f>
        <v>5.9491914910734705E-3</v>
      </c>
      <c r="AD466" s="5">
        <v>121</v>
      </c>
      <c r="AE466" s="5">
        <f t="shared" si="60"/>
        <v>1156.2479338842975</v>
      </c>
      <c r="AF466" s="5">
        <v>132289</v>
      </c>
      <c r="AG466" s="6">
        <f>Table1[[#This Row],[2021 U.S. Sales ($000)]]/SUMIF($E:$E, E466, $AF:$AF)</f>
        <v>6.0906243316963711E-3</v>
      </c>
      <c r="AH466" s="5">
        <v>131</v>
      </c>
      <c r="AI466" s="12">
        <f t="shared" si="61"/>
        <v>1009.8396946564885</v>
      </c>
      <c r="AJ466" s="5">
        <v>72406</v>
      </c>
      <c r="AK466" s="6">
        <f>Table1[[#This Row],[2020 U.S. Sales ($000)]]/SUMIF($E:$E, E466, $AJ:$AJ)</f>
        <v>4.4403704900015002E-3</v>
      </c>
      <c r="AL466" s="5">
        <v>140</v>
      </c>
      <c r="AM466" s="5">
        <f t="shared" si="62"/>
        <v>517.18571428571431</v>
      </c>
      <c r="AN466" s="5">
        <v>181200</v>
      </c>
      <c r="AO466" s="6">
        <f>Table1[[#This Row],[2019 U.S. Sales ($000)]]/SUMIF($E:$E, E466, $AN:$AN)</f>
        <v>7.9345388285765664E-3</v>
      </c>
      <c r="AP466" s="5">
        <v>155</v>
      </c>
      <c r="AQ466" s="5">
        <f t="shared" si="63"/>
        <v>1169.0322580645161</v>
      </c>
    </row>
    <row r="467" spans="1:43" x14ac:dyDescent="0.25">
      <c r="A467" t="s">
        <v>532</v>
      </c>
      <c r="B467">
        <v>2083</v>
      </c>
      <c r="C467" t="s">
        <v>68</v>
      </c>
      <c r="D467" t="s">
        <v>133</v>
      </c>
      <c r="E467" t="s">
        <v>70</v>
      </c>
      <c r="F467" s="5">
        <v>416</v>
      </c>
      <c r="G467" s="5">
        <v>0</v>
      </c>
      <c r="H467" s="6">
        <f>Table1[[#This Row],[2024 U.S. Sales ($000)]]/SUMIF($E:$E, E467, $G:$G)</f>
        <v>0</v>
      </c>
      <c r="I467" s="5">
        <v>0</v>
      </c>
      <c r="J467" s="5" t="e">
        <f>Table1[[#This Row],[2024 U.S. Sales ($000)]]/Table1[[#This Row],[2024 U.S. Units]]</f>
        <v>#DIV/0!</v>
      </c>
      <c r="K467" s="6">
        <f>Table1[[#This Row],[2024 U.S. Units]]/Table1[[#This Row],[2023 U.S. Units]]-1</f>
        <v>-1</v>
      </c>
      <c r="L467" s="8">
        <f>(Table1[[#This Row],[2024 Market share (%)]]-Table1[[#This Row],[2023 Market share (%)]])*10000</f>
        <v>-47.666272454274981</v>
      </c>
      <c r="M467" s="6">
        <f>_xlfn.RRI(5,Table1[[#This Row],[2019 U.S. Sales ($000)]],Table1[[#This Row],[2024 U.S. Sales ($000)]])</f>
        <v>-1</v>
      </c>
      <c r="N467" s="9">
        <f>(Table1[[#This Row],[2024 Market share (%)]]-Table1[[#This Row],[2019 Market share (%)]])*10000</f>
        <v>-78.475739552099725</v>
      </c>
      <c r="O467" s="6" t="e">
        <f>IF(Table1[[#This Row],[2024 AUV]]=0,"",_xlfn.RRI(5,Table1[[#This Row],[2019 AUV]],Table1[[#This Row],[2024 AUV]]))</f>
        <v>#DIV/0!</v>
      </c>
      <c r="P467" s="6">
        <f>_xlfn.RRI(5,Table1[[#This Row],[2019 U.S. Units]],Table1[[#This Row],[2024 U.S. Units]])</f>
        <v>-1</v>
      </c>
      <c r="Q467" s="5">
        <v>76100</v>
      </c>
      <c r="R467" s="6">
        <f>Table1[[#This Row],[2023 U.S. Sales ($000)]]/SUMIF($E:$E, E467, $Q:$Q)</f>
        <v>4.7666272454274985E-3</v>
      </c>
      <c r="S467" s="8">
        <f>(Table1[[#This Row],[2023 Market share (%)]]-Table1[[#This Row],[2022 Market share (%)]])*10000</f>
        <v>-6.8735230748013558</v>
      </c>
      <c r="T467" s="10">
        <v>-4.6365914786967416E-2</v>
      </c>
      <c r="U467" s="5">
        <v>19</v>
      </c>
      <c r="V467" s="5">
        <f t="shared" si="56"/>
        <v>4005.2631578947367</v>
      </c>
      <c r="W467" s="10">
        <v>-0.05</v>
      </c>
      <c r="X467" s="10">
        <f t="shared" si="57"/>
        <v>-6.2227723275508851E-2</v>
      </c>
      <c r="Y467" s="8">
        <f>(Table1[[#This Row],[2023 Market share (%)]]-Table1[[#This Row],[2019 Market share (%)]])*10000</f>
        <v>-30.809467097824733</v>
      </c>
      <c r="Z467" s="10">
        <f t="shared" si="58"/>
        <v>-5.8273765910207276E-3</v>
      </c>
      <c r="AA467" s="10">
        <f t="shared" si="59"/>
        <v>-5.6730939231753874E-2</v>
      </c>
      <c r="AB467" s="5">
        <v>79800</v>
      </c>
      <c r="AC467" s="6">
        <f>Table1[[#This Row],[2022 U.S. Sales ($000)]]/SUMIF($E:$E, E467, $AB:$AB)</f>
        <v>5.453979552907634E-3</v>
      </c>
      <c r="AD467" s="5">
        <v>20</v>
      </c>
      <c r="AE467" s="5">
        <f t="shared" si="60"/>
        <v>3990</v>
      </c>
      <c r="AF467" s="5">
        <v>71800</v>
      </c>
      <c r="AG467" s="6">
        <f>Table1[[#This Row],[2021 U.S. Sales ($000)]]/SUMIF($E:$E, E467, $AF:$AF)</f>
        <v>5.5241583833142722E-3</v>
      </c>
      <c r="AH467" s="5">
        <v>20</v>
      </c>
      <c r="AI467" s="12">
        <f t="shared" si="61"/>
        <v>3590</v>
      </c>
      <c r="AJ467" s="5">
        <v>60500</v>
      </c>
      <c r="AK467" s="6">
        <f>Table1[[#This Row],[2020 U.S. Sales ($000)]]/SUMIF($E:$E, E467, $AJ:$AJ)</f>
        <v>6.4419940495141249E-3</v>
      </c>
      <c r="AL467" s="5">
        <v>21</v>
      </c>
      <c r="AM467" s="5">
        <f t="shared" si="62"/>
        <v>2880.9523809523807</v>
      </c>
      <c r="AN467" s="5">
        <v>98400</v>
      </c>
      <c r="AO467" s="6">
        <f>Table1[[#This Row],[2019 U.S. Sales ($000)]]/SUMIF($E:$E, E467, $AN:$AN)</f>
        <v>7.8475739552099719E-3</v>
      </c>
      <c r="AP467" s="5">
        <v>24</v>
      </c>
      <c r="AQ467" s="5">
        <f t="shared" si="63"/>
        <v>4100</v>
      </c>
    </row>
    <row r="468" spans="1:43" x14ac:dyDescent="0.25">
      <c r="A468" t="s">
        <v>533</v>
      </c>
      <c r="B468">
        <v>7699</v>
      </c>
      <c r="C468" t="s">
        <v>44</v>
      </c>
      <c r="D468" t="s">
        <v>45</v>
      </c>
      <c r="E468" t="s">
        <v>76</v>
      </c>
      <c r="F468" s="5">
        <v>305</v>
      </c>
      <c r="G468" s="5">
        <v>0</v>
      </c>
      <c r="H468" s="6">
        <f>Table1[[#This Row],[2024 U.S. Sales ($000)]]/SUMIF($E:$E, E468, $G:$G)</f>
        <v>0</v>
      </c>
      <c r="I468" s="5">
        <v>0</v>
      </c>
      <c r="J468" s="5" t="e">
        <f>Table1[[#This Row],[2024 U.S. Sales ($000)]]/Table1[[#This Row],[2024 U.S. Units]]</f>
        <v>#DIV/0!</v>
      </c>
      <c r="K468" s="6">
        <f>Table1[[#This Row],[2024 U.S. Units]]/Table1[[#This Row],[2023 U.S. Units]]-1</f>
        <v>-1</v>
      </c>
      <c r="L468" s="8">
        <f>(Table1[[#This Row],[2024 Market share (%)]]-Table1[[#This Row],[2023 Market share (%)]])*10000</f>
        <v>-140.37867486474843</v>
      </c>
      <c r="M468" s="6">
        <f>_xlfn.RRI(5,Table1[[#This Row],[2019 U.S. Sales ($000)]],Table1[[#This Row],[2024 U.S. Sales ($000)]])</f>
        <v>-1</v>
      </c>
      <c r="N468" s="9">
        <f>(Table1[[#This Row],[2024 Market share (%)]]-Table1[[#This Row],[2019 Market share (%)]])*10000</f>
        <v>-233.41677746876042</v>
      </c>
      <c r="O468" s="6" t="e">
        <f>IF(Table1[[#This Row],[2024 AUV]]=0,"",_xlfn.RRI(5,Table1[[#This Row],[2019 AUV]],Table1[[#This Row],[2024 AUV]]))</f>
        <v>#DIV/0!</v>
      </c>
      <c r="P468" s="6">
        <f>_xlfn.RRI(5,Table1[[#This Row],[2019 U.S. Units]],Table1[[#This Row],[2024 U.S. Units]])</f>
        <v>-1</v>
      </c>
      <c r="Q468" s="5">
        <v>113900</v>
      </c>
      <c r="R468" s="6">
        <f>Table1[[#This Row],[2023 U.S. Sales ($000)]]/SUMIF($E:$E, E468, $Q:$Q)</f>
        <v>1.4037867486474842E-2</v>
      </c>
      <c r="S468" s="8">
        <f>(Table1[[#This Row],[2023 Market share (%)]]-Table1[[#This Row],[2022 Market share (%)]])*10000</f>
        <v>-18.857015072684842</v>
      </c>
      <c r="T468" s="10">
        <v>-5.0041701417848208E-2</v>
      </c>
      <c r="U468" s="5">
        <v>303</v>
      </c>
      <c r="V468" s="5">
        <f t="shared" si="56"/>
        <v>375.9075907590759</v>
      </c>
      <c r="W468" s="10">
        <v>-5.6074766355140186E-2</v>
      </c>
      <c r="X468" s="10">
        <f t="shared" si="57"/>
        <v>-6.36916852117142E-2</v>
      </c>
      <c r="Y468" s="8">
        <f>(Table1[[#This Row],[2023 Market share (%)]]-Table1[[#This Row],[2019 Market share (%)]])*10000</f>
        <v>-93.038102604011996</v>
      </c>
      <c r="Z468" s="10">
        <f t="shared" si="58"/>
        <v>2.0152719743909087E-2</v>
      </c>
      <c r="AA468" s="10">
        <f t="shared" si="59"/>
        <v>-8.2188091383681106E-2</v>
      </c>
      <c r="AB468" s="5">
        <v>119900</v>
      </c>
      <c r="AC468" s="6">
        <f>Table1[[#This Row],[2022 U.S. Sales ($000)]]/SUMIF($E:$E, E468, $AB:$AB)</f>
        <v>1.5923568993743326E-2</v>
      </c>
      <c r="AD468" s="5">
        <v>321</v>
      </c>
      <c r="AE468" s="5">
        <f t="shared" si="60"/>
        <v>373.5202492211838</v>
      </c>
      <c r="AF468" s="5">
        <v>128100</v>
      </c>
      <c r="AG468" s="6">
        <f>Table1[[#This Row],[2021 U.S. Sales ($000)]]/SUMIF($E:$E, E468, $AF:$AF)</f>
        <v>1.7545416742683111E-2</v>
      </c>
      <c r="AH468" s="5">
        <v>345</v>
      </c>
      <c r="AI468" s="12">
        <f t="shared" si="61"/>
        <v>371.30434782608694</v>
      </c>
      <c r="AJ468" s="5">
        <v>123200</v>
      </c>
      <c r="AK468" s="6">
        <f>Table1[[#This Row],[2020 U.S. Sales ($000)]]/SUMIF($E:$E, E468, $AJ:$AJ)</f>
        <v>1.9279479529167566E-2</v>
      </c>
      <c r="AL468" s="5">
        <v>408</v>
      </c>
      <c r="AM468" s="5">
        <f t="shared" si="62"/>
        <v>301.96078431372547</v>
      </c>
      <c r="AN468" s="5">
        <v>148200</v>
      </c>
      <c r="AO468" s="6">
        <f>Table1[[#This Row],[2019 U.S. Sales ($000)]]/SUMIF($E:$E, E468, $AN:$AN)</f>
        <v>2.3341677746876042E-2</v>
      </c>
      <c r="AP468" s="5">
        <v>427</v>
      </c>
      <c r="AQ468" s="5">
        <f t="shared" si="63"/>
        <v>347.07259953161594</v>
      </c>
    </row>
    <row r="469" spans="1:43" x14ac:dyDescent="0.25">
      <c r="A469" t="s">
        <v>534</v>
      </c>
      <c r="B469">
        <v>5948</v>
      </c>
      <c r="C469" t="s">
        <v>68</v>
      </c>
      <c r="D469" t="s">
        <v>69</v>
      </c>
      <c r="E469" t="s">
        <v>87</v>
      </c>
      <c r="F469" s="5">
        <v>419</v>
      </c>
      <c r="G469" s="5">
        <v>0</v>
      </c>
      <c r="H469" s="6">
        <f>Table1[[#This Row],[2024 U.S. Sales ($000)]]/SUMIF($E:$E, E469, $G:$G)</f>
        <v>0</v>
      </c>
      <c r="I469" s="5">
        <v>0</v>
      </c>
      <c r="J469" s="5" t="e">
        <f>Table1[[#This Row],[2024 U.S. Sales ($000)]]/Table1[[#This Row],[2024 U.S. Units]]</f>
        <v>#DIV/0!</v>
      </c>
      <c r="K469" s="6">
        <f>Table1[[#This Row],[2024 U.S. Units]]/Table1[[#This Row],[2023 U.S. Units]]-1</f>
        <v>-1</v>
      </c>
      <c r="L469" s="8">
        <f>(Table1[[#This Row],[2024 Market share (%)]]-Table1[[#This Row],[2023 Market share (%)]])*10000</f>
        <v>-76.984649117184517</v>
      </c>
      <c r="M469" s="6">
        <f>_xlfn.RRI(5,Table1[[#This Row],[2019 U.S. Sales ($000)]],Table1[[#This Row],[2024 U.S. Sales ($000)]])</f>
        <v>-1</v>
      </c>
      <c r="N469" s="9">
        <f>(Table1[[#This Row],[2024 Market share (%)]]-Table1[[#This Row],[2019 Market share (%)]])*10000</f>
        <v>-114.50133732888477</v>
      </c>
      <c r="O469" s="6" t="e">
        <f>IF(Table1[[#This Row],[2024 AUV]]=0,"",_xlfn.RRI(5,Table1[[#This Row],[2019 AUV]],Table1[[#This Row],[2024 AUV]]))</f>
        <v>#DIV/0!</v>
      </c>
      <c r="P469" s="6">
        <f>_xlfn.RRI(5,Table1[[#This Row],[2019 U.S. Units]],Table1[[#This Row],[2024 U.S. Units]])</f>
        <v>-1</v>
      </c>
      <c r="Q469" s="5">
        <v>75067</v>
      </c>
      <c r="R469" s="6">
        <f>Table1[[#This Row],[2023 U.S. Sales ($000)]]/SUMIF($E:$E, E469, $Q:$Q)</f>
        <v>7.6984649117184511E-3</v>
      </c>
      <c r="S469" s="8">
        <f>(Table1[[#This Row],[2023 Market share (%)]]-Table1[[#This Row],[2022 Market share (%)]])*10000</f>
        <v>-4.8531572686101763</v>
      </c>
      <c r="T469" s="10">
        <v>-2.0332789559543232E-2</v>
      </c>
      <c r="U469" s="5">
        <v>40</v>
      </c>
      <c r="V469" s="5">
        <f t="shared" si="56"/>
        <v>1876.675</v>
      </c>
      <c r="W469" s="10">
        <v>-2.4390243902439025E-2</v>
      </c>
      <c r="X469" s="10">
        <f t="shared" si="57"/>
        <v>-6.4474249426617614E-2</v>
      </c>
      <c r="Y469" s="8">
        <f>(Table1[[#This Row],[2023 Market share (%)]]-Table1[[#This Row],[2019 Market share (%)]])*10000</f>
        <v>-37.516688211700256</v>
      </c>
      <c r="Z469" s="10">
        <f t="shared" si="58"/>
        <v>-2.0845875643723755E-2</v>
      </c>
      <c r="AA469" s="10">
        <f t="shared" si="59"/>
        <v>-4.4557207795633214E-2</v>
      </c>
      <c r="AB469" s="5">
        <v>76625</v>
      </c>
      <c r="AC469" s="6">
        <f>Table1[[#This Row],[2022 U.S. Sales ($000)]]/SUMIF($E:$E, E469, $AB:$AB)</f>
        <v>8.1837806385794687E-3</v>
      </c>
      <c r="AD469" s="5">
        <v>41</v>
      </c>
      <c r="AE469" s="5">
        <f t="shared" si="60"/>
        <v>1868.9024390243903</v>
      </c>
      <c r="AF469" s="5">
        <v>84290</v>
      </c>
      <c r="AG469" s="6">
        <f>Table1[[#This Row],[2021 U.S. Sales ($000)]]/SUMIF($E:$E, E469, $AF:$AF)</f>
        <v>9.8832651428295386E-3</v>
      </c>
      <c r="AH469" s="5">
        <v>41</v>
      </c>
      <c r="AI469" s="12">
        <f t="shared" si="61"/>
        <v>2055.8536585365855</v>
      </c>
      <c r="AJ469" s="5">
        <v>69500</v>
      </c>
      <c r="AK469" s="6">
        <f>Table1[[#This Row],[2020 U.S. Sales ($000)]]/SUMIF($E:$E, E469, $AJ:$AJ)</f>
        <v>1.0489690445461684E-2</v>
      </c>
      <c r="AL469" s="5">
        <v>44</v>
      </c>
      <c r="AM469" s="5">
        <f t="shared" si="62"/>
        <v>1579.5454545454545</v>
      </c>
      <c r="AN469" s="5">
        <v>98000</v>
      </c>
      <c r="AO469" s="6">
        <f>Table1[[#This Row],[2019 U.S. Sales ($000)]]/SUMIF($E:$E, E469, $AN:$AN)</f>
        <v>1.1450133732888477E-2</v>
      </c>
      <c r="AP469" s="5">
        <v>48</v>
      </c>
      <c r="AQ469" s="5">
        <f t="shared" si="63"/>
        <v>2041.6666666666667</v>
      </c>
    </row>
    <row r="470" spans="1:43" x14ac:dyDescent="0.25">
      <c r="A470" t="s">
        <v>535</v>
      </c>
      <c r="B470">
        <v>9182</v>
      </c>
      <c r="C470" t="s">
        <v>44</v>
      </c>
      <c r="D470" t="s">
        <v>56</v>
      </c>
      <c r="E470" t="s">
        <v>59</v>
      </c>
      <c r="F470" s="5">
        <v>480</v>
      </c>
      <c r="G470" s="5">
        <v>0</v>
      </c>
      <c r="H470" s="6">
        <f>Table1[[#This Row],[2024 U.S. Sales ($000)]]/SUMIF($E:$E, E470, $G:$G)</f>
        <v>0</v>
      </c>
      <c r="I470" s="5">
        <v>0</v>
      </c>
      <c r="J470" s="5" t="e">
        <f>Table1[[#This Row],[2024 U.S. Sales ($000)]]/Table1[[#This Row],[2024 U.S. Units]]</f>
        <v>#DIV/0!</v>
      </c>
      <c r="K470" s="6">
        <f>Table1[[#This Row],[2024 U.S. Units]]/Table1[[#This Row],[2023 U.S. Units]]-1</f>
        <v>-1</v>
      </c>
      <c r="L470" s="8">
        <f>(Table1[[#This Row],[2024 Market share (%)]]-Table1[[#This Row],[2023 Market share (%)]])*10000</f>
        <v>-15.858756146128457</v>
      </c>
      <c r="M470" s="6">
        <f>_xlfn.RRI(5,Table1[[#This Row],[2019 U.S. Sales ($000)]],Table1[[#This Row],[2024 U.S. Sales ($000)]])</f>
        <v>-1</v>
      </c>
      <c r="N470" s="9">
        <f>(Table1[[#This Row],[2024 Market share (%)]]-Table1[[#This Row],[2019 Market share (%)]])*10000</f>
        <v>-24.062516990708563</v>
      </c>
      <c r="O470" s="6" t="e">
        <f>IF(Table1[[#This Row],[2024 AUV]]=0,"",_xlfn.RRI(5,Table1[[#This Row],[2019 AUV]],Table1[[#This Row],[2024 AUV]]))</f>
        <v>#DIV/0!</v>
      </c>
      <c r="P470" s="6">
        <f>_xlfn.RRI(5,Table1[[#This Row],[2019 U.S. Units]],Table1[[#This Row],[2024 U.S. Units]])</f>
        <v>-1</v>
      </c>
      <c r="Q470" s="5">
        <v>59900</v>
      </c>
      <c r="R470" s="6">
        <f>Table1[[#This Row],[2023 U.S. Sales ($000)]]/SUMIF($E:$E, E470, $Q:$Q)</f>
        <v>1.5858756146128457E-3</v>
      </c>
      <c r="S470" s="8">
        <f>(Table1[[#This Row],[2023 Market share (%)]]-Table1[[#This Row],[2022 Market share (%)]])*10000</f>
        <v>-7.1429619121475024E-2</v>
      </c>
      <c r="T470" s="10">
        <v>5.0877192982456139E-2</v>
      </c>
      <c r="U470" s="5">
        <v>20</v>
      </c>
      <c r="V470" s="5">
        <f t="shared" si="56"/>
        <v>2995</v>
      </c>
      <c r="W470" s="10">
        <v>0</v>
      </c>
      <c r="X470" s="10">
        <f t="shared" si="57"/>
        <v>-6.5668331734058172E-2</v>
      </c>
      <c r="Y470" s="8">
        <f>(Table1[[#This Row],[2023 Market share (%)]]-Table1[[#This Row],[2019 Market share (%)]])*10000</f>
        <v>-8.2037608445801045</v>
      </c>
      <c r="Z470" s="10">
        <f t="shared" si="58"/>
        <v>7.1276310358436845E-3</v>
      </c>
      <c r="AA470" s="10">
        <f t="shared" si="59"/>
        <v>-7.2280772095419832E-2</v>
      </c>
      <c r="AB470" s="5">
        <v>57000</v>
      </c>
      <c r="AC470" s="6">
        <f>Table1[[#This Row],[2022 U.S. Sales ($000)]]/SUMIF($E:$E, E470, $AB:$AB)</f>
        <v>1.5930185765249932E-3</v>
      </c>
      <c r="AD470" s="5">
        <v>20</v>
      </c>
      <c r="AE470" s="5">
        <f t="shared" si="60"/>
        <v>2850</v>
      </c>
      <c r="AF470" s="5">
        <v>54000</v>
      </c>
      <c r="AG470" s="6">
        <f>Table1[[#This Row],[2021 U.S. Sales ($000)]]/SUMIF($E:$E, E470, $AF:$AF)</f>
        <v>1.6275769893647489E-3</v>
      </c>
      <c r="AH470" s="5">
        <v>20</v>
      </c>
      <c r="AI470" s="12">
        <f t="shared" si="61"/>
        <v>2700</v>
      </c>
      <c r="AJ470" s="5">
        <v>51900</v>
      </c>
      <c r="AK470" s="6">
        <f>Table1[[#This Row],[2020 U.S. Sales ($000)]]/SUMIF($E:$E, E470, $AJ:$AJ)</f>
        <v>1.8223662699175154E-3</v>
      </c>
      <c r="AL470" s="5">
        <v>20</v>
      </c>
      <c r="AM470" s="5">
        <f t="shared" si="62"/>
        <v>2595</v>
      </c>
      <c r="AN470" s="5">
        <v>78600</v>
      </c>
      <c r="AO470" s="6">
        <f>Table1[[#This Row],[2019 U.S. Sales ($000)]]/SUMIF($E:$E, E470, $AN:$AN)</f>
        <v>2.4062516990708562E-3</v>
      </c>
      <c r="AP470" s="5">
        <v>27</v>
      </c>
      <c r="AQ470" s="5">
        <f t="shared" si="63"/>
        <v>2911.1111111111113</v>
      </c>
    </row>
    <row r="471" spans="1:43" x14ac:dyDescent="0.25">
      <c r="A471" t="s">
        <v>536</v>
      </c>
      <c r="B471">
        <v>5077</v>
      </c>
      <c r="C471" t="s">
        <v>44</v>
      </c>
      <c r="D471" t="s">
        <v>45</v>
      </c>
      <c r="E471" t="s">
        <v>63</v>
      </c>
      <c r="F471" s="5">
        <v>437</v>
      </c>
      <c r="G471" s="5">
        <v>0</v>
      </c>
      <c r="H471" s="6">
        <f>Table1[[#This Row],[2024 U.S. Sales ($000)]]/SUMIF($E:$E, E471, $G:$G)</f>
        <v>0</v>
      </c>
      <c r="I471" s="5">
        <v>0</v>
      </c>
      <c r="J471" s="5" t="e">
        <f>Table1[[#This Row],[2024 U.S. Sales ($000)]]/Table1[[#This Row],[2024 U.S. Units]]</f>
        <v>#DIV/0!</v>
      </c>
      <c r="K471" s="6">
        <f>Table1[[#This Row],[2024 U.S. Units]]/Table1[[#This Row],[2023 U.S. Units]]-1</f>
        <v>-1</v>
      </c>
      <c r="L471" s="8">
        <f>(Table1[[#This Row],[2024 Market share (%)]]-Table1[[#This Row],[2023 Market share (%)]])*10000</f>
        <v>-86.821133208320589</v>
      </c>
      <c r="M471" s="6">
        <f>_xlfn.RRI(5,Table1[[#This Row],[2019 U.S. Sales ($000)]],Table1[[#This Row],[2024 U.S. Sales ($000)]])</f>
        <v>-1</v>
      </c>
      <c r="N471" s="9">
        <f>(Table1[[#This Row],[2024 Market share (%)]]-Table1[[#This Row],[2019 Market share (%)]])*10000</f>
        <v>-161.77874357555015</v>
      </c>
      <c r="O471" s="6" t="e">
        <f>IF(Table1[[#This Row],[2024 AUV]]=0,"",_xlfn.RRI(5,Table1[[#This Row],[2019 AUV]],Table1[[#This Row],[2024 AUV]]))</f>
        <v>#DIV/0!</v>
      </c>
      <c r="P471" s="6">
        <f>_xlfn.RRI(5,Table1[[#This Row],[2019 U.S. Units]],Table1[[#This Row],[2024 U.S. Units]])</f>
        <v>-1</v>
      </c>
      <c r="Q471" s="5">
        <v>71700</v>
      </c>
      <c r="R471" s="6">
        <f>Table1[[#This Row],[2023 U.S. Sales ($000)]]/SUMIF($E:$E, E471, $Q:$Q)</f>
        <v>8.6821133208320588E-3</v>
      </c>
      <c r="S471" s="8">
        <f>(Table1[[#This Row],[2023 Market share (%)]]-Table1[[#This Row],[2022 Market share (%)]])*10000</f>
        <v>-10.749053550484604</v>
      </c>
      <c r="T471" s="10">
        <v>-3.3692722371967652E-2</v>
      </c>
      <c r="U471" s="5">
        <v>137</v>
      </c>
      <c r="V471" s="5">
        <f t="shared" si="56"/>
        <v>523.35766423357666</v>
      </c>
      <c r="W471" s="10">
        <v>-3.5211267605633804E-2</v>
      </c>
      <c r="X471" s="10">
        <f t="shared" si="57"/>
        <v>-6.6451704488669994E-2</v>
      </c>
      <c r="Y471" s="8">
        <f>(Table1[[#This Row],[2023 Market share (%)]]-Table1[[#This Row],[2019 Market share (%)]])*10000</f>
        <v>-74.957610367229563</v>
      </c>
      <c r="Z471" s="10">
        <f t="shared" si="58"/>
        <v>9.0601381907617906E-3</v>
      </c>
      <c r="AA471" s="10">
        <f t="shared" si="59"/>
        <v>-7.4833837767909417E-2</v>
      </c>
      <c r="AB471" s="5">
        <v>74200</v>
      </c>
      <c r="AC471" s="6">
        <f>Table1[[#This Row],[2022 U.S. Sales ($000)]]/SUMIF($E:$E, E471, $AB:$AB)</f>
        <v>9.7570186758805192E-3</v>
      </c>
      <c r="AD471" s="5">
        <v>142</v>
      </c>
      <c r="AE471" s="5">
        <f t="shared" si="60"/>
        <v>522.53521126760563</v>
      </c>
      <c r="AF471" s="5">
        <v>78800</v>
      </c>
      <c r="AG471" s="6">
        <f>Table1[[#This Row],[2021 U.S. Sales ($000)]]/SUMIF($E:$E, E471, $AF:$AF)</f>
        <v>1.189430730603298E-2</v>
      </c>
      <c r="AH471" s="5">
        <v>158</v>
      </c>
      <c r="AI471" s="12">
        <f t="shared" si="61"/>
        <v>498.73417721518985</v>
      </c>
      <c r="AJ471" s="5">
        <v>74300</v>
      </c>
      <c r="AK471" s="6">
        <f>Table1[[#This Row],[2020 U.S. Sales ($000)]]/SUMIF($E:$E, E471, $AJ:$AJ)</f>
        <v>1.3546209987403666E-2</v>
      </c>
      <c r="AL471" s="5">
        <v>167</v>
      </c>
      <c r="AM471" s="5">
        <f t="shared" si="62"/>
        <v>444.91017964071858</v>
      </c>
      <c r="AN471" s="5">
        <v>94400</v>
      </c>
      <c r="AO471" s="6">
        <f>Table1[[#This Row],[2019 U.S. Sales ($000)]]/SUMIF($E:$E, E471, $AN:$AN)</f>
        <v>1.6177874357555015E-2</v>
      </c>
      <c r="AP471" s="5">
        <v>187</v>
      </c>
      <c r="AQ471" s="5">
        <f t="shared" si="63"/>
        <v>504.81283422459893</v>
      </c>
    </row>
    <row r="472" spans="1:43" x14ac:dyDescent="0.25">
      <c r="A472" t="s">
        <v>537</v>
      </c>
      <c r="B472">
        <v>11969</v>
      </c>
      <c r="C472" t="s">
        <v>68</v>
      </c>
      <c r="D472" t="s">
        <v>69</v>
      </c>
      <c r="E472" t="s">
        <v>79</v>
      </c>
      <c r="F472" s="5">
        <v>455</v>
      </c>
      <c r="G472" s="5">
        <v>0</v>
      </c>
      <c r="H472" s="6">
        <f>Table1[[#This Row],[2024 U.S. Sales ($000)]]/SUMIF($E:$E, E472, $G:$G)</f>
        <v>0</v>
      </c>
      <c r="I472" s="5">
        <v>0</v>
      </c>
      <c r="J472" s="5" t="e">
        <f>Table1[[#This Row],[2024 U.S. Sales ($000)]]/Table1[[#This Row],[2024 U.S. Units]]</f>
        <v>#DIV/0!</v>
      </c>
      <c r="K472" s="6">
        <f>Table1[[#This Row],[2024 U.S. Units]]/Table1[[#This Row],[2023 U.S. Units]]-1</f>
        <v>-1</v>
      </c>
      <c r="L472" s="8">
        <f>(Table1[[#This Row],[2024 Market share (%)]]-Table1[[#This Row],[2023 Market share (%)]])*10000</f>
        <v>-27.608865778877195</v>
      </c>
      <c r="M472" s="6">
        <f>_xlfn.RRI(5,Table1[[#This Row],[2019 U.S. Sales ($000)]],Table1[[#This Row],[2024 U.S. Sales ($000)]])</f>
        <v>-1</v>
      </c>
      <c r="N472" s="9">
        <f>(Table1[[#This Row],[2024 Market share (%)]]-Table1[[#This Row],[2019 Market share (%)]])*10000</f>
        <v>-38.402817619545523</v>
      </c>
      <c r="O472" s="6" t="e">
        <f>IF(Table1[[#This Row],[2024 AUV]]=0,"",_xlfn.RRI(5,Table1[[#This Row],[2019 AUV]],Table1[[#This Row],[2024 AUV]]))</f>
        <v>#DIV/0!</v>
      </c>
      <c r="P472" s="6">
        <f>_xlfn.RRI(5,Table1[[#This Row],[2019 U.S. Units]],Table1[[#This Row],[2024 U.S. Units]])</f>
        <v>-1</v>
      </c>
      <c r="Q472" s="5">
        <v>66600</v>
      </c>
      <c r="R472" s="6">
        <f>Table1[[#This Row],[2023 U.S. Sales ($000)]]/SUMIF($E:$E, E472, $Q:$Q)</f>
        <v>2.7608865778877196E-3</v>
      </c>
      <c r="S472" s="8">
        <f>(Table1[[#This Row],[2023 Market share (%)]]-Table1[[#This Row],[2022 Market share (%)]])*10000</f>
        <v>-2.5823051406127742</v>
      </c>
      <c r="T472" s="10">
        <v>-6.1971830985915494E-2</v>
      </c>
      <c r="U472" s="5">
        <v>18</v>
      </c>
      <c r="V472" s="5">
        <f t="shared" si="56"/>
        <v>3700</v>
      </c>
      <c r="W472" s="10">
        <v>-5.2631578947368418E-2</v>
      </c>
      <c r="X472" s="10">
        <f t="shared" si="57"/>
        <v>-6.6490678449618756E-2</v>
      </c>
      <c r="Y472" s="8">
        <f>(Table1[[#This Row],[2023 Market share (%)]]-Table1[[#This Row],[2019 Market share (%)]])*10000</f>
        <v>-10.793951840668324</v>
      </c>
      <c r="Z472" s="10">
        <f t="shared" si="58"/>
        <v>-7.4954836471680109E-3</v>
      </c>
      <c r="AA472" s="10">
        <f t="shared" si="59"/>
        <v>-5.9440731835902372E-2</v>
      </c>
      <c r="AB472" s="5">
        <v>71000</v>
      </c>
      <c r="AC472" s="6">
        <f>Table1[[#This Row],[2022 U.S. Sales ($000)]]/SUMIF($E:$E, E472, $AB:$AB)</f>
        <v>3.019117091948997E-3</v>
      </c>
      <c r="AD472" s="5">
        <v>19</v>
      </c>
      <c r="AE472" s="5">
        <f t="shared" si="60"/>
        <v>3736.8421052631579</v>
      </c>
      <c r="AF472" s="5">
        <v>72600</v>
      </c>
      <c r="AG472" s="6">
        <f>Table1[[#This Row],[2021 U.S. Sales ($000)]]/SUMIF($E:$E, E472, $AF:$AF)</f>
        <v>3.3425252778474137E-3</v>
      </c>
      <c r="AH472" s="5">
        <v>20</v>
      </c>
      <c r="AI472" s="12">
        <f t="shared" si="61"/>
        <v>3630</v>
      </c>
      <c r="AJ472" s="5">
        <v>63600</v>
      </c>
      <c r="AK472" s="6">
        <f>Table1[[#This Row],[2020 U.S. Sales ($000)]]/SUMIF($E:$E, E472, $AJ:$AJ)</f>
        <v>3.9003337177042708E-3</v>
      </c>
      <c r="AL472" s="5">
        <v>21</v>
      </c>
      <c r="AM472" s="5">
        <f t="shared" si="62"/>
        <v>3028.5714285714284</v>
      </c>
      <c r="AN472" s="5">
        <v>87700</v>
      </c>
      <c r="AO472" s="6">
        <f>Table1[[#This Row],[2019 U.S. Sales ($000)]]/SUMIF($E:$E, E472, $AN:$AN)</f>
        <v>3.840281761954552E-3</v>
      </c>
      <c r="AP472" s="5">
        <v>23</v>
      </c>
      <c r="AQ472" s="5">
        <f t="shared" si="63"/>
        <v>3813.0434782608695</v>
      </c>
    </row>
    <row r="473" spans="1:43" x14ac:dyDescent="0.25">
      <c r="A473" t="s">
        <v>538</v>
      </c>
      <c r="B473">
        <v>5424</v>
      </c>
      <c r="C473" t="s">
        <v>44</v>
      </c>
      <c r="D473" t="s">
        <v>45</v>
      </c>
      <c r="E473" t="s">
        <v>63</v>
      </c>
      <c r="F473" s="5">
        <v>193</v>
      </c>
      <c r="G473" s="5">
        <v>0</v>
      </c>
      <c r="H473" s="6">
        <f>Table1[[#This Row],[2024 U.S. Sales ($000)]]/SUMIF($E:$E, E473, $G:$G)</f>
        <v>0</v>
      </c>
      <c r="I473" s="5">
        <v>0</v>
      </c>
      <c r="J473" s="5" t="e">
        <f>Table1[[#This Row],[2024 U.S. Sales ($000)]]/Table1[[#This Row],[2024 U.S. Units]]</f>
        <v>#DIV/0!</v>
      </c>
      <c r="K473" s="6">
        <f>Table1[[#This Row],[2024 U.S. Units]]/Table1[[#This Row],[2023 U.S. Units]]-1</f>
        <v>-1</v>
      </c>
      <c r="L473" s="8">
        <f>(Table1[[#This Row],[2024 Market share (%)]]-Table1[[#This Row],[2023 Market share (%)]])*10000</f>
        <v>-253.56130116907016</v>
      </c>
      <c r="M473" s="6">
        <f>_xlfn.RRI(5,Table1[[#This Row],[2019 U.S. Sales ($000)]],Table1[[#This Row],[2024 U.S. Sales ($000)]])</f>
        <v>-1</v>
      </c>
      <c r="N473" s="9">
        <f>(Table1[[#This Row],[2024 Market share (%)]]-Table1[[#This Row],[2019 Market share (%)]])*10000</f>
        <v>-481.5659633975593</v>
      </c>
      <c r="O473" s="6" t="e">
        <f>IF(Table1[[#This Row],[2024 AUV]]=0,"",_xlfn.RRI(5,Table1[[#This Row],[2019 AUV]],Table1[[#This Row],[2024 AUV]]))</f>
        <v>#DIV/0!</v>
      </c>
      <c r="P473" s="6">
        <f>_xlfn.RRI(5,Table1[[#This Row],[2019 U.S. Units]],Table1[[#This Row],[2024 U.S. Units]])</f>
        <v>-1</v>
      </c>
      <c r="Q473" s="5">
        <v>209400</v>
      </c>
      <c r="R473" s="6">
        <f>Table1[[#This Row],[2023 U.S. Sales ($000)]]/SUMIF($E:$E, E473, $Q:$Q)</f>
        <v>2.5356130116907016E-2</v>
      </c>
      <c r="S473" s="8">
        <f>(Table1[[#This Row],[2023 Market share (%)]]-Table1[[#This Row],[2022 Market share (%)]])*10000</f>
        <v>-35.072876641681006</v>
      </c>
      <c r="T473" s="10">
        <v>-4.6013667425968109E-2</v>
      </c>
      <c r="U473" s="5">
        <v>174</v>
      </c>
      <c r="V473" s="5">
        <f t="shared" si="56"/>
        <v>1203.4482758620691</v>
      </c>
      <c r="W473" s="10">
        <v>-5.7142857142857143E-3</v>
      </c>
      <c r="X473" s="10">
        <f t="shared" si="57"/>
        <v>-7.0889026696943969E-2</v>
      </c>
      <c r="Y473" s="8">
        <f>(Table1[[#This Row],[2023 Market share (%)]]-Table1[[#This Row],[2019 Market share (%)]])*10000</f>
        <v>-228.00466222848911</v>
      </c>
      <c r="Z473" s="10">
        <f t="shared" si="58"/>
        <v>-1.0325724427793115E-2</v>
      </c>
      <c r="AA473" s="10">
        <f t="shared" si="59"/>
        <v>-6.1195186905443677E-2</v>
      </c>
      <c r="AB473" s="5">
        <v>219500</v>
      </c>
      <c r="AC473" s="6">
        <f>Table1[[#This Row],[2022 U.S. Sales ($000)]]/SUMIF($E:$E, E473, $AB:$AB)</f>
        <v>2.8863417781075117E-2</v>
      </c>
      <c r="AD473" s="5">
        <v>175</v>
      </c>
      <c r="AE473" s="5">
        <f t="shared" si="60"/>
        <v>1254.2857142857142</v>
      </c>
      <c r="AF473" s="5">
        <v>232600</v>
      </c>
      <c r="AG473" s="6">
        <f>Table1[[#This Row],[2021 U.S. Sales ($000)]]/SUMIF($E:$E, E473, $AF:$AF)</f>
        <v>3.5109338570853695E-2</v>
      </c>
      <c r="AH473" s="5">
        <v>197</v>
      </c>
      <c r="AI473" s="12">
        <f t="shared" si="61"/>
        <v>1180.7106598984772</v>
      </c>
      <c r="AJ473" s="5">
        <v>202100</v>
      </c>
      <c r="AK473" s="6">
        <f>Table1[[#This Row],[2020 U.S. Sales ($000)]]/SUMIF($E:$E, E473, $AJ:$AJ)</f>
        <v>3.6846420436800552E-2</v>
      </c>
      <c r="AL473" s="5">
        <v>213</v>
      </c>
      <c r="AM473" s="5">
        <f t="shared" si="62"/>
        <v>948.82629107981222</v>
      </c>
      <c r="AN473" s="5">
        <v>281000</v>
      </c>
      <c r="AO473" s="6">
        <f>Table1[[#This Row],[2019 U.S. Sales ($000)]]/SUMIF($E:$E, E473, $AN:$AN)</f>
        <v>4.8156596339755928E-2</v>
      </c>
      <c r="AP473" s="5">
        <v>224</v>
      </c>
      <c r="AQ473" s="5">
        <f t="shared" si="63"/>
        <v>1254.4642857142858</v>
      </c>
    </row>
    <row r="474" spans="1:43" x14ac:dyDescent="0.25">
      <c r="A474" t="s">
        <v>539</v>
      </c>
      <c r="B474">
        <v>5879</v>
      </c>
      <c r="C474" t="s">
        <v>68</v>
      </c>
      <c r="D474" t="s">
        <v>69</v>
      </c>
      <c r="E474" t="s">
        <v>87</v>
      </c>
      <c r="F474" s="5">
        <v>412</v>
      </c>
      <c r="G474" s="5">
        <v>0</v>
      </c>
      <c r="H474" s="6">
        <f>Table1[[#This Row],[2024 U.S. Sales ($000)]]/SUMIF($E:$E, E474, $G:$G)</f>
        <v>0</v>
      </c>
      <c r="I474" s="5">
        <v>0</v>
      </c>
      <c r="J474" s="5" t="e">
        <f>Table1[[#This Row],[2024 U.S. Sales ($000)]]/Table1[[#This Row],[2024 U.S. Units]]</f>
        <v>#DIV/0!</v>
      </c>
      <c r="K474" s="6">
        <f>Table1[[#This Row],[2024 U.S. Units]]/Table1[[#This Row],[2023 U.S. Units]]-1</f>
        <v>-1</v>
      </c>
      <c r="L474" s="8">
        <f>(Table1[[#This Row],[2024 Market share (%)]]-Table1[[#This Row],[2023 Market share (%)]])*10000</f>
        <v>-78.736281401572469</v>
      </c>
      <c r="M474" s="6">
        <f>_xlfn.RRI(5,Table1[[#This Row],[2019 U.S. Sales ($000)]],Table1[[#This Row],[2024 U.S. Sales ($000)]])</f>
        <v>-1</v>
      </c>
      <c r="N474" s="9">
        <f>(Table1[[#This Row],[2024 Market share (%)]]-Table1[[#This Row],[2019 Market share (%)]])*10000</f>
        <v>-120.92743279122013</v>
      </c>
      <c r="O474" s="6" t="e">
        <f>IF(Table1[[#This Row],[2024 AUV]]=0,"",_xlfn.RRI(5,Table1[[#This Row],[2019 AUV]],Table1[[#This Row],[2024 AUV]]))</f>
        <v>#DIV/0!</v>
      </c>
      <c r="P474" s="6">
        <f>_xlfn.RRI(5,Table1[[#This Row],[2019 U.S. Units]],Table1[[#This Row],[2024 U.S. Units]])</f>
        <v>-1</v>
      </c>
      <c r="Q474" s="5">
        <v>76775</v>
      </c>
      <c r="R474" s="6">
        <f>Table1[[#This Row],[2023 U.S. Sales ($000)]]/SUMIF($E:$E, E474, $Q:$Q)</f>
        <v>7.8736281401572475E-3</v>
      </c>
      <c r="S474" s="8">
        <f>(Table1[[#This Row],[2023 Market share (%)]]-Table1[[#This Row],[2022 Market share (%)]])*10000</f>
        <v>-0.11851691589561883</v>
      </c>
      <c r="T474" s="10">
        <v>3.9860764979954492E-2</v>
      </c>
      <c r="U474" s="5">
        <v>34</v>
      </c>
      <c r="V474" s="5">
        <f t="shared" si="56"/>
        <v>2258.0882352941176</v>
      </c>
      <c r="W474" s="10">
        <v>0</v>
      </c>
      <c r="X474" s="10">
        <f t="shared" si="57"/>
        <v>-7.1953218710888556E-2</v>
      </c>
      <c r="Y474" s="8">
        <f>(Table1[[#This Row],[2023 Market share (%)]]-Table1[[#This Row],[2019 Market share (%)]])*10000</f>
        <v>-42.191151389647658</v>
      </c>
      <c r="Z474" s="10">
        <f t="shared" si="58"/>
        <v>-1.016385462018965E-2</v>
      </c>
      <c r="AA474" s="10">
        <f t="shared" si="59"/>
        <v>-6.2423830832111782E-2</v>
      </c>
      <c r="AB474" s="5">
        <v>73832</v>
      </c>
      <c r="AC474" s="6">
        <f>Table1[[#This Row],[2022 U.S. Sales ($000)]]/SUMIF($E:$E, E474, $AB:$AB)</f>
        <v>7.8854798317468094E-3</v>
      </c>
      <c r="AD474" s="5">
        <v>34</v>
      </c>
      <c r="AE474" s="5">
        <f t="shared" si="60"/>
        <v>2171.5294117647059</v>
      </c>
      <c r="AF474" s="5">
        <v>73600</v>
      </c>
      <c r="AG474" s="6">
        <f>Table1[[#This Row],[2021 U.S. Sales ($000)]]/SUMIF($E:$E, E474, $AF:$AF)</f>
        <v>8.6298293333996207E-3</v>
      </c>
      <c r="AH474" s="5">
        <v>35</v>
      </c>
      <c r="AI474" s="12">
        <f t="shared" si="61"/>
        <v>2102.8571428571427</v>
      </c>
      <c r="AJ474" s="5">
        <v>70400</v>
      </c>
      <c r="AK474" s="6">
        <f>Table1[[#This Row],[2020 U.S. Sales ($000)]]/SUMIF($E:$E, E474, $AJ:$AJ)</f>
        <v>1.062552816346047E-2</v>
      </c>
      <c r="AL474" s="5">
        <v>39</v>
      </c>
      <c r="AM474" s="5">
        <f t="shared" si="62"/>
        <v>1805.1282051282051</v>
      </c>
      <c r="AN474" s="5">
        <v>103500</v>
      </c>
      <c r="AO474" s="6">
        <f>Table1[[#This Row],[2019 U.S. Sales ($000)]]/SUMIF($E:$E, E474, $AN:$AN)</f>
        <v>1.2092743279122013E-2</v>
      </c>
      <c r="AP474" s="5">
        <v>44</v>
      </c>
      <c r="AQ474" s="5">
        <f t="shared" si="63"/>
        <v>2352.2727272727275</v>
      </c>
    </row>
    <row r="475" spans="1:43" x14ac:dyDescent="0.25">
      <c r="A475" t="s">
        <v>540</v>
      </c>
      <c r="B475">
        <v>913</v>
      </c>
      <c r="C475" t="s">
        <v>68</v>
      </c>
      <c r="D475" t="s">
        <v>92</v>
      </c>
      <c r="E475" t="s">
        <v>93</v>
      </c>
      <c r="F475" s="5">
        <v>298</v>
      </c>
      <c r="G475" s="5">
        <v>0</v>
      </c>
      <c r="H475" s="6">
        <f>Table1[[#This Row],[2024 U.S. Sales ($000)]]/SUMIF($E:$E, E475, $G:$G)</f>
        <v>0</v>
      </c>
      <c r="I475" s="5">
        <v>0</v>
      </c>
      <c r="J475" s="5" t="e">
        <f>Table1[[#This Row],[2024 U.S. Sales ($000)]]/Table1[[#This Row],[2024 U.S. Units]]</f>
        <v>#DIV/0!</v>
      </c>
      <c r="K475" s="6">
        <f>Table1[[#This Row],[2024 U.S. Units]]/Table1[[#This Row],[2023 U.S. Units]]-1</f>
        <v>-1</v>
      </c>
      <c r="L475" s="8">
        <f>(Table1[[#This Row],[2024 Market share (%)]]-Table1[[#This Row],[2023 Market share (%)]])*10000</f>
        <v>-67.084391764848064</v>
      </c>
      <c r="M475" s="6">
        <f>_xlfn.RRI(5,Table1[[#This Row],[2019 U.S. Sales ($000)]],Table1[[#This Row],[2024 U.S. Sales ($000)]])</f>
        <v>-1</v>
      </c>
      <c r="N475" s="9">
        <f>(Table1[[#This Row],[2024 Market share (%)]]-Table1[[#This Row],[2019 Market share (%)]])*10000</f>
        <v>-93.718195641454713</v>
      </c>
      <c r="O475" s="6" t="e">
        <f>IF(Table1[[#This Row],[2024 AUV]]=0,"",_xlfn.RRI(5,Table1[[#This Row],[2019 AUV]],Table1[[#This Row],[2024 AUV]]))</f>
        <v>#DIV/0!</v>
      </c>
      <c r="P475" s="6">
        <f>_xlfn.RRI(5,Table1[[#This Row],[2019 U.S. Units]],Table1[[#This Row],[2024 U.S. Units]])</f>
        <v>-1</v>
      </c>
      <c r="Q475" s="5">
        <v>117400</v>
      </c>
      <c r="R475" s="6">
        <f>Table1[[#This Row],[2023 U.S. Sales ($000)]]/SUMIF($E:$E, E475, $Q:$Q)</f>
        <v>6.7084391764848069E-3</v>
      </c>
      <c r="S475" s="8">
        <f>(Table1[[#This Row],[2023 Market share (%)]]-Table1[[#This Row],[2022 Market share (%)]])*10000</f>
        <v>-12.412572274551918</v>
      </c>
      <c r="T475" s="10">
        <v>-0.10586443259710586</v>
      </c>
      <c r="U475" s="5">
        <v>78</v>
      </c>
      <c r="V475" s="5">
        <f t="shared" si="56"/>
        <v>1505.1282051282051</v>
      </c>
      <c r="W475" s="10">
        <v>-7.1428571428571425E-2</v>
      </c>
      <c r="X475" s="10">
        <f t="shared" si="57"/>
        <v>-7.2733863616164629E-2</v>
      </c>
      <c r="Y475" s="8">
        <f>(Table1[[#This Row],[2023 Market share (%)]]-Table1[[#This Row],[2019 Market share (%)]])*10000</f>
        <v>-26.633803876606649</v>
      </c>
      <c r="Z475" s="10">
        <f t="shared" si="58"/>
        <v>-4.16409448228382E-2</v>
      </c>
      <c r="AA475" s="10">
        <f t="shared" si="59"/>
        <v>-3.2443914027168619E-2</v>
      </c>
      <c r="AB475" s="5">
        <v>131300</v>
      </c>
      <c r="AC475" s="6">
        <f>Table1[[#This Row],[2022 U.S. Sales ($000)]]/SUMIF($E:$E, E475, $AB:$AB)</f>
        <v>7.9496964039399987E-3</v>
      </c>
      <c r="AD475" s="5">
        <v>84</v>
      </c>
      <c r="AE475" s="5">
        <f t="shared" si="60"/>
        <v>1563.0952380952381</v>
      </c>
      <c r="AF475" s="5">
        <v>128000</v>
      </c>
      <c r="AG475" s="6">
        <f>Table1[[#This Row],[2021 U.S. Sales ($000)]]/SUMIF($E:$E, E475, $AF:$AF)</f>
        <v>8.4781782620436657E-3</v>
      </c>
      <c r="AH475" s="5">
        <v>86</v>
      </c>
      <c r="AI475" s="12">
        <f t="shared" si="61"/>
        <v>1488.3720930232557</v>
      </c>
      <c r="AJ475" s="5">
        <v>96800</v>
      </c>
      <c r="AK475" s="6">
        <f>Table1[[#This Row],[2020 U.S. Sales ($000)]]/SUMIF($E:$E, E475, $AJ:$AJ)</f>
        <v>9.0705404121155051E-3</v>
      </c>
      <c r="AL475" s="5">
        <v>87</v>
      </c>
      <c r="AM475" s="5">
        <f t="shared" si="62"/>
        <v>1112.6436781609195</v>
      </c>
      <c r="AN475" s="5">
        <v>158800</v>
      </c>
      <c r="AO475" s="6">
        <f>Table1[[#This Row],[2019 U.S. Sales ($000)]]/SUMIF($E:$E, E475, $AN:$AN)</f>
        <v>9.3718195641454716E-3</v>
      </c>
      <c r="AP475" s="5">
        <v>89</v>
      </c>
      <c r="AQ475" s="5">
        <f t="shared" si="63"/>
        <v>1784.2696629213483</v>
      </c>
    </row>
    <row r="476" spans="1:43" x14ac:dyDescent="0.25">
      <c r="A476" t="s">
        <v>541</v>
      </c>
      <c r="B476">
        <v>12072</v>
      </c>
      <c r="C476" t="s">
        <v>68</v>
      </c>
      <c r="D476" t="s">
        <v>69</v>
      </c>
      <c r="E476" t="s">
        <v>79</v>
      </c>
      <c r="F476" s="5">
        <v>399</v>
      </c>
      <c r="G476" s="5">
        <v>0</v>
      </c>
      <c r="H476" s="6">
        <f>Table1[[#This Row],[2024 U.S. Sales ($000)]]/SUMIF($E:$E, E476, $G:$G)</f>
        <v>0</v>
      </c>
      <c r="I476" s="5">
        <v>0</v>
      </c>
      <c r="J476" s="5" t="e">
        <f>Table1[[#This Row],[2024 U.S. Sales ($000)]]/Table1[[#This Row],[2024 U.S. Units]]</f>
        <v>#DIV/0!</v>
      </c>
      <c r="K476" s="6">
        <f>Table1[[#This Row],[2024 U.S. Units]]/Table1[[#This Row],[2023 U.S. Units]]-1</f>
        <v>-1</v>
      </c>
      <c r="L476" s="8">
        <f>(Table1[[#This Row],[2024 Market share (%)]]-Table1[[#This Row],[2023 Market share (%)]])*10000</f>
        <v>-32.749255203172645</v>
      </c>
      <c r="M476" s="6">
        <f>_xlfn.RRI(5,Table1[[#This Row],[2019 U.S. Sales ($000)]],Table1[[#This Row],[2024 U.S. Sales ($000)]])</f>
        <v>-1</v>
      </c>
      <c r="N476" s="9">
        <f>(Table1[[#This Row],[2024 Market share (%)]]-Table1[[#This Row],[2019 Market share (%)]])*10000</f>
        <v>-46.897853672215795</v>
      </c>
      <c r="O476" s="6" t="e">
        <f>IF(Table1[[#This Row],[2024 AUV]]=0,"",_xlfn.RRI(5,Table1[[#This Row],[2019 AUV]],Table1[[#This Row],[2024 AUV]]))</f>
        <v>#DIV/0!</v>
      </c>
      <c r="P476" s="6">
        <f>_xlfn.RRI(5,Table1[[#This Row],[2019 U.S. Units]],Table1[[#This Row],[2024 U.S. Units]])</f>
        <v>-1</v>
      </c>
      <c r="Q476" s="5">
        <v>79000</v>
      </c>
      <c r="R476" s="6">
        <f>Table1[[#This Row],[2023 U.S. Sales ($000)]]/SUMIF($E:$E, E476, $Q:$Q)</f>
        <v>3.2749255203172647E-3</v>
      </c>
      <c r="S476" s="8">
        <f>(Table1[[#This Row],[2023 Market share (%)]]-Table1[[#This Row],[2022 Market share (%)]])*10000</f>
        <v>-2.6296943813564457</v>
      </c>
      <c r="T476" s="10">
        <v>-5.0480769230769232E-2</v>
      </c>
      <c r="U476" s="5">
        <v>15</v>
      </c>
      <c r="V476" s="5">
        <f t="shared" si="56"/>
        <v>5266.666666666667</v>
      </c>
      <c r="W476" s="10">
        <v>-6.25E-2</v>
      </c>
      <c r="X476" s="10">
        <f t="shared" si="57"/>
        <v>-7.3256806300744937E-2</v>
      </c>
      <c r="Y476" s="8">
        <f>(Table1[[#This Row],[2023 Market share (%)]]-Table1[[#This Row],[2019 Market share (%)]])*10000</f>
        <v>-14.148598469043151</v>
      </c>
      <c r="Z476" s="10">
        <f t="shared" si="58"/>
        <v>-3.0038008281895179E-2</v>
      </c>
      <c r="AA476" s="10">
        <f t="shared" si="59"/>
        <v>-4.4557207795633214E-2</v>
      </c>
      <c r="AB476" s="5">
        <v>83200</v>
      </c>
      <c r="AC476" s="6">
        <f>Table1[[#This Row],[2022 U.S. Sales ($000)]]/SUMIF($E:$E, E476, $AB:$AB)</f>
        <v>3.5378949584529092E-3</v>
      </c>
      <c r="AD476" s="5">
        <v>16</v>
      </c>
      <c r="AE476" s="5">
        <f t="shared" si="60"/>
        <v>5200</v>
      </c>
      <c r="AF476" s="5">
        <v>77000</v>
      </c>
      <c r="AG476" s="6">
        <f>Table1[[#This Row],[2021 U.S. Sales ($000)]]/SUMIF($E:$E, E476, $AF:$AF)</f>
        <v>3.5451025674139236E-3</v>
      </c>
      <c r="AH476" s="5">
        <v>17</v>
      </c>
      <c r="AI476" s="12">
        <f t="shared" si="61"/>
        <v>4529.411764705882</v>
      </c>
      <c r="AJ476" s="5">
        <v>51500</v>
      </c>
      <c r="AK476" s="6">
        <f>Table1[[#This Row],[2020 U.S. Sales ($000)]]/SUMIF($E:$E, E476, $AJ:$AJ)</f>
        <v>3.1582890953108485E-3</v>
      </c>
      <c r="AL476" s="5">
        <v>18</v>
      </c>
      <c r="AM476" s="5">
        <f t="shared" si="62"/>
        <v>2861.1111111111113</v>
      </c>
      <c r="AN476" s="5">
        <v>107100</v>
      </c>
      <c r="AO476" s="6">
        <f>Table1[[#This Row],[2019 U.S. Sales ($000)]]/SUMIF($E:$E, E476, $AN:$AN)</f>
        <v>4.6897853672215797E-3</v>
      </c>
      <c r="AP476" s="5">
        <v>18</v>
      </c>
      <c r="AQ476" s="5">
        <f t="shared" si="63"/>
        <v>5950</v>
      </c>
    </row>
    <row r="477" spans="1:43" x14ac:dyDescent="0.25">
      <c r="A477" t="s">
        <v>542</v>
      </c>
      <c r="B477">
        <v>543</v>
      </c>
      <c r="C477" t="s">
        <v>68</v>
      </c>
      <c r="D477" t="s">
        <v>69</v>
      </c>
      <c r="E477" t="s">
        <v>70</v>
      </c>
      <c r="F477" s="5">
        <v>294</v>
      </c>
      <c r="G477" s="5">
        <v>0</v>
      </c>
      <c r="H477" s="6">
        <f>Table1[[#This Row],[2024 U.S. Sales ($000)]]/SUMIF($E:$E, E477, $G:$G)</f>
        <v>0</v>
      </c>
      <c r="I477" s="5">
        <v>0</v>
      </c>
      <c r="J477" s="5" t="e">
        <f>Table1[[#This Row],[2024 U.S. Sales ($000)]]/Table1[[#This Row],[2024 U.S. Units]]</f>
        <v>#DIV/0!</v>
      </c>
      <c r="K477" s="6">
        <f>Table1[[#This Row],[2024 U.S. Units]]/Table1[[#This Row],[2023 U.S. Units]]-1</f>
        <v>-1</v>
      </c>
      <c r="L477" s="8">
        <f>(Table1[[#This Row],[2024 Market share (%)]]-Table1[[#This Row],[2023 Market share (%)]])*10000</f>
        <v>-73.84827230432353</v>
      </c>
      <c r="M477" s="6">
        <f>_xlfn.RRI(5,Table1[[#This Row],[2019 U.S. Sales ($000)]],Table1[[#This Row],[2024 U.S. Sales ($000)]])</f>
        <v>-1</v>
      </c>
      <c r="N477" s="9">
        <f>(Table1[[#This Row],[2024 Market share (%)]]-Table1[[#This Row],[2019 Market share (%)]])*10000</f>
        <v>-127.60282853999954</v>
      </c>
      <c r="O477" s="6" t="e">
        <f>IF(Table1[[#This Row],[2024 AUV]]=0,"",_xlfn.RRI(5,Table1[[#This Row],[2019 AUV]],Table1[[#This Row],[2024 AUV]]))</f>
        <v>#DIV/0!</v>
      </c>
      <c r="P477" s="6">
        <f>_xlfn.RRI(5,Table1[[#This Row],[2019 U.S. Units]],Table1[[#This Row],[2024 U.S. Units]])</f>
        <v>-1</v>
      </c>
      <c r="Q477" s="5">
        <v>117900</v>
      </c>
      <c r="R477" s="6">
        <f>Table1[[#This Row],[2023 U.S. Sales ($000)]]/SUMIF($E:$E, E477, $Q:$Q)</f>
        <v>7.3848272304323529E-3</v>
      </c>
      <c r="S477" s="8">
        <f>(Table1[[#This Row],[2023 Market share (%)]]-Table1[[#This Row],[2022 Market share (%)]])*10000</f>
        <v>-7.9614209892909811</v>
      </c>
      <c r="T477" s="10">
        <v>-1.5037593984962405E-2</v>
      </c>
      <c r="U477" s="5">
        <v>32</v>
      </c>
      <c r="V477" s="5">
        <f t="shared" si="56"/>
        <v>3684.375</v>
      </c>
      <c r="W477" s="10">
        <v>0</v>
      </c>
      <c r="X477" s="10">
        <f t="shared" si="57"/>
        <v>-7.3493531771380627E-2</v>
      </c>
      <c r="Y477" s="8">
        <f>(Table1[[#This Row],[2023 Market share (%)]]-Table1[[#This Row],[2019 Market share (%)]])*10000</f>
        <v>-53.754556235676006</v>
      </c>
      <c r="Z477" s="10">
        <f t="shared" si="58"/>
        <v>-8.3160517857759908E-3</v>
      </c>
      <c r="AA477" s="10">
        <f t="shared" si="59"/>
        <v>-6.5724044543599813E-2</v>
      </c>
      <c r="AB477" s="5">
        <v>119700</v>
      </c>
      <c r="AC477" s="6">
        <f>Table1[[#This Row],[2022 U.S. Sales ($000)]]/SUMIF($E:$E, E477, $AB:$AB)</f>
        <v>8.180969329361451E-3</v>
      </c>
      <c r="AD477" s="5">
        <v>32</v>
      </c>
      <c r="AE477" s="5">
        <f t="shared" si="60"/>
        <v>3740.625</v>
      </c>
      <c r="AF477" s="5">
        <v>123200</v>
      </c>
      <c r="AG477" s="6">
        <f>Table1[[#This Row],[2021 U.S. Sales ($000)]]/SUMIF($E:$E, E477, $AF:$AF)</f>
        <v>9.4787787301437096E-3</v>
      </c>
      <c r="AH477" s="5">
        <v>32</v>
      </c>
      <c r="AI477" s="12">
        <f t="shared" si="61"/>
        <v>3850</v>
      </c>
      <c r="AJ477" s="5">
        <v>108000</v>
      </c>
      <c r="AK477" s="6">
        <f>Table1[[#This Row],[2020 U.S. Sales ($000)]]/SUMIF($E:$E, E477, $AJ:$AJ)</f>
        <v>1.1499757972686372E-2</v>
      </c>
      <c r="AL477" s="5">
        <v>38</v>
      </c>
      <c r="AM477" s="5">
        <f t="shared" si="62"/>
        <v>2842.1052631578946</v>
      </c>
      <c r="AN477" s="5">
        <v>160000</v>
      </c>
      <c r="AO477" s="6">
        <f>Table1[[#This Row],[2019 U.S. Sales ($000)]]/SUMIF($E:$E, E477, $AN:$AN)</f>
        <v>1.2760282853999954E-2</v>
      </c>
      <c r="AP477" s="5">
        <v>42</v>
      </c>
      <c r="AQ477" s="5">
        <f t="shared" si="63"/>
        <v>3809.5238095238096</v>
      </c>
    </row>
    <row r="478" spans="1:43" x14ac:dyDescent="0.25">
      <c r="A478" t="s">
        <v>543</v>
      </c>
      <c r="B478">
        <v>2832</v>
      </c>
      <c r="C478" t="s">
        <v>68</v>
      </c>
      <c r="D478" t="s">
        <v>69</v>
      </c>
      <c r="E478" t="s">
        <v>87</v>
      </c>
      <c r="F478" s="5">
        <v>402</v>
      </c>
      <c r="G478" s="5">
        <v>0</v>
      </c>
      <c r="H478" s="6">
        <f>Table1[[#This Row],[2024 U.S. Sales ($000)]]/SUMIF($E:$E, E478, $G:$G)</f>
        <v>0</v>
      </c>
      <c r="I478" s="5">
        <v>0</v>
      </c>
      <c r="J478" s="5" t="e">
        <f>Table1[[#This Row],[2024 U.S. Sales ($000)]]/Table1[[#This Row],[2024 U.S. Units]]</f>
        <v>#DIV/0!</v>
      </c>
      <c r="K478" s="6">
        <f>Table1[[#This Row],[2024 U.S. Units]]/Table1[[#This Row],[2023 U.S. Units]]-1</f>
        <v>-1</v>
      </c>
      <c r="L478" s="8">
        <f>(Table1[[#This Row],[2024 Market share (%)]]-Table1[[#This Row],[2023 Market share (%)]])*10000</f>
        <v>-80.71045713192774</v>
      </c>
      <c r="M478" s="6">
        <f>_xlfn.RRI(5,Table1[[#This Row],[2019 U.S. Sales ($000)]],Table1[[#This Row],[2024 U.S. Sales ($000)]])</f>
        <v>-1</v>
      </c>
      <c r="N478" s="9">
        <f>(Table1[[#This Row],[2024 Market share (%)]]-Table1[[#This Row],[2019 Market share (%)]])*10000</f>
        <v>-126.3019853597188</v>
      </c>
      <c r="O478" s="6" t="e">
        <f>IF(Table1[[#This Row],[2024 AUV]]=0,"",_xlfn.RRI(5,Table1[[#This Row],[2019 AUV]],Table1[[#This Row],[2024 AUV]]))</f>
        <v>#DIV/0!</v>
      </c>
      <c r="P478" s="6">
        <f>_xlfn.RRI(5,Table1[[#This Row],[2019 U.S. Units]],Table1[[#This Row],[2024 U.S. Units]])</f>
        <v>-1</v>
      </c>
      <c r="Q478" s="5">
        <v>78700</v>
      </c>
      <c r="R478" s="6">
        <f>Table1[[#This Row],[2023 U.S. Sales ($000)]]/SUMIF($E:$E, E478, $Q:$Q)</f>
        <v>8.0710457131927746E-3</v>
      </c>
      <c r="S478" s="8">
        <f>(Table1[[#This Row],[2023 Market share (%)]]-Table1[[#This Row],[2022 Market share (%)]])*10000</f>
        <v>-10.499313378308679</v>
      </c>
      <c r="T478" s="10">
        <v>-7.8454332552693212E-2</v>
      </c>
      <c r="U478" s="5">
        <v>32</v>
      </c>
      <c r="V478" s="5">
        <f t="shared" si="56"/>
        <v>2459.375</v>
      </c>
      <c r="W478" s="10">
        <v>-5.8823529411764705E-2</v>
      </c>
      <c r="X478" s="10">
        <f t="shared" si="57"/>
        <v>-7.6286566461057026E-2</v>
      </c>
      <c r="Y478" s="8">
        <f>(Table1[[#This Row],[2023 Market share (%)]]-Table1[[#This Row],[2019 Market share (%)]])*10000</f>
        <v>-45.591528227791059</v>
      </c>
      <c r="Z478" s="10">
        <f t="shared" si="58"/>
        <v>-5.4723111372664279E-3</v>
      </c>
      <c r="AA478" s="10">
        <f t="shared" si="59"/>
        <v>-7.1203905247493315E-2</v>
      </c>
      <c r="AB478" s="5">
        <v>85400</v>
      </c>
      <c r="AC478" s="6">
        <f>Table1[[#This Row],[2022 U.S. Sales ($000)]]/SUMIF($E:$E, E478, $AB:$AB)</f>
        <v>9.1209770510236425E-3</v>
      </c>
      <c r="AD478" s="5">
        <v>34</v>
      </c>
      <c r="AE478" s="5">
        <f t="shared" si="60"/>
        <v>2511.7647058823532</v>
      </c>
      <c r="AF478" s="5">
        <v>89900</v>
      </c>
      <c r="AG478" s="6">
        <f>Table1[[#This Row],[2021 U.S. Sales ($000)]]/SUMIF($E:$E, E478, $AF:$AF)</f>
        <v>1.0541055123269373E-2</v>
      </c>
      <c r="AH478" s="5">
        <v>38</v>
      </c>
      <c r="AI478" s="12">
        <f t="shared" si="61"/>
        <v>2365.7894736842104</v>
      </c>
      <c r="AJ478" s="5">
        <v>78400</v>
      </c>
      <c r="AK478" s="6">
        <f>Table1[[#This Row],[2020 U.S. Sales ($000)]]/SUMIF($E:$E, E478, $AJ:$AJ)</f>
        <v>1.1832974545671886E-2</v>
      </c>
      <c r="AL478" s="5">
        <v>41</v>
      </c>
      <c r="AM478" s="5">
        <f t="shared" si="62"/>
        <v>1912.1951219512196</v>
      </c>
      <c r="AN478" s="5">
        <v>108100</v>
      </c>
      <c r="AO478" s="6">
        <f>Table1[[#This Row],[2019 U.S. Sales ($000)]]/SUMIF($E:$E, E478, $AN:$AN)</f>
        <v>1.263019853597188E-2</v>
      </c>
      <c r="AP478" s="5">
        <v>43</v>
      </c>
      <c r="AQ478" s="5">
        <f t="shared" si="63"/>
        <v>2513.953488372093</v>
      </c>
    </row>
    <row r="479" spans="1:43" x14ac:dyDescent="0.25">
      <c r="A479" t="s">
        <v>544</v>
      </c>
      <c r="B479">
        <v>2752</v>
      </c>
      <c r="C479" t="s">
        <v>68</v>
      </c>
      <c r="D479" t="s">
        <v>69</v>
      </c>
      <c r="E479" t="s">
        <v>52</v>
      </c>
      <c r="F479" s="5">
        <v>378</v>
      </c>
      <c r="G479" s="5">
        <v>0</v>
      </c>
      <c r="H479" s="6">
        <f>Table1[[#This Row],[2024 U.S. Sales ($000)]]/SUMIF($E:$E, E479, $G:$G)</f>
        <v>0</v>
      </c>
      <c r="I479" s="5">
        <v>0</v>
      </c>
      <c r="J479" s="5" t="e">
        <f>Table1[[#This Row],[2024 U.S. Sales ($000)]]/Table1[[#This Row],[2024 U.S. Units]]</f>
        <v>#DIV/0!</v>
      </c>
      <c r="K479" s="6">
        <f>Table1[[#This Row],[2024 U.S. Units]]/Table1[[#This Row],[2023 U.S. Units]]-1</f>
        <v>-1</v>
      </c>
      <c r="L479" s="8">
        <f>(Table1[[#This Row],[2024 Market share (%)]]-Table1[[#This Row],[2023 Market share (%)]])*10000</f>
        <v>-25.083982988344957</v>
      </c>
      <c r="M479" s="6">
        <f>_xlfn.RRI(5,Table1[[#This Row],[2019 U.S. Sales ($000)]],Table1[[#This Row],[2024 U.S. Sales ($000)]])</f>
        <v>-1</v>
      </c>
      <c r="N479" s="9">
        <f>(Table1[[#This Row],[2024 Market share (%)]]-Table1[[#This Row],[2019 Market share (%)]])*10000</f>
        <v>-47.436764730146677</v>
      </c>
      <c r="O479" s="6" t="e">
        <f>IF(Table1[[#This Row],[2024 AUV]]=0,"",_xlfn.RRI(5,Table1[[#This Row],[2019 AUV]],Table1[[#This Row],[2024 AUV]]))</f>
        <v>#DIV/0!</v>
      </c>
      <c r="P479" s="6">
        <f>_xlfn.RRI(5,Table1[[#This Row],[2019 U.S. Units]],Table1[[#This Row],[2024 U.S. Units]])</f>
        <v>-1</v>
      </c>
      <c r="Q479" s="5">
        <v>83000</v>
      </c>
      <c r="R479" s="6">
        <f>Table1[[#This Row],[2023 U.S. Sales ($000)]]/SUMIF($E:$E, E479, $Q:$Q)</f>
        <v>2.5083982988344956E-3</v>
      </c>
      <c r="S479" s="8">
        <f>(Table1[[#This Row],[2023 Market share (%)]]-Table1[[#This Row],[2022 Market share (%)]])*10000</f>
        <v>-3.375685023354674</v>
      </c>
      <c r="T479" s="10">
        <v>-3.7122969837587005E-2</v>
      </c>
      <c r="U479" s="5">
        <v>25</v>
      </c>
      <c r="V479" s="5">
        <f t="shared" si="56"/>
        <v>3320</v>
      </c>
      <c r="W479" s="10">
        <v>-3.8461538461538464E-2</v>
      </c>
      <c r="X479" s="10">
        <f t="shared" si="57"/>
        <v>-7.8288379279827569E-2</v>
      </c>
      <c r="Y479" s="8">
        <f>(Table1[[#This Row],[2023 Market share (%)]]-Table1[[#This Row],[2019 Market share (%)]])*10000</f>
        <v>-22.352781741801724</v>
      </c>
      <c r="Z479" s="10">
        <f t="shared" si="58"/>
        <v>2.5985494056561809E-3</v>
      </c>
      <c r="AA479" s="10">
        <f t="shared" si="59"/>
        <v>-8.0677284775081515E-2</v>
      </c>
      <c r="AB479" s="5">
        <v>86200</v>
      </c>
      <c r="AC479" s="6">
        <f>Table1[[#This Row],[2022 U.S. Sales ($000)]]/SUMIF($E:$E, E479, $AB:$AB)</f>
        <v>2.845966801169963E-3</v>
      </c>
      <c r="AD479" s="5">
        <v>26</v>
      </c>
      <c r="AE479" s="5">
        <f t="shared" si="60"/>
        <v>3315.3846153846152</v>
      </c>
      <c r="AF479" s="5">
        <v>85300</v>
      </c>
      <c r="AG479" s="6">
        <f>Table1[[#This Row],[2021 U.S. Sales ($000)]]/SUMIF($E:$E, E479, $AF:$AF)</f>
        <v>3.112087391208284E-3</v>
      </c>
      <c r="AH479" s="5">
        <v>26</v>
      </c>
      <c r="AI479" s="12">
        <f t="shared" si="61"/>
        <v>3280.7692307692309</v>
      </c>
      <c r="AJ479" s="5">
        <v>77000</v>
      </c>
      <c r="AK479" s="6">
        <f>Table1[[#This Row],[2020 U.S. Sales ($000)]]/SUMIF($E:$E, E479, $AJ:$AJ)</f>
        <v>3.2666377816695548E-3</v>
      </c>
      <c r="AL479" s="5">
        <v>29</v>
      </c>
      <c r="AM479" s="5">
        <f t="shared" si="62"/>
        <v>2655.1724137931033</v>
      </c>
      <c r="AN479" s="5">
        <v>115000</v>
      </c>
      <c r="AO479" s="6">
        <f>Table1[[#This Row],[2019 U.S. Sales ($000)]]/SUMIF($E:$E, E479, $AN:$AN)</f>
        <v>4.7436764730146679E-3</v>
      </c>
      <c r="AP479" s="5">
        <v>35</v>
      </c>
      <c r="AQ479" s="5">
        <f t="shared" si="63"/>
        <v>3285.7142857142858</v>
      </c>
    </row>
    <row r="480" spans="1:43" x14ac:dyDescent="0.25">
      <c r="A480" t="s">
        <v>545</v>
      </c>
      <c r="B480">
        <v>2498</v>
      </c>
      <c r="C480" t="s">
        <v>68</v>
      </c>
      <c r="D480" t="s">
        <v>69</v>
      </c>
      <c r="E480" t="s">
        <v>79</v>
      </c>
      <c r="F480" s="5">
        <v>302</v>
      </c>
      <c r="G480" s="5">
        <v>0</v>
      </c>
      <c r="H480" s="6">
        <f>Table1[[#This Row],[2024 U.S. Sales ($000)]]/SUMIF($E:$E, E480, $G:$G)</f>
        <v>0</v>
      </c>
      <c r="I480" s="5">
        <v>0</v>
      </c>
      <c r="J480" s="5" t="e">
        <f>Table1[[#This Row],[2024 U.S. Sales ($000)]]/Table1[[#This Row],[2024 U.S. Units]]</f>
        <v>#DIV/0!</v>
      </c>
      <c r="K480" s="6">
        <f>Table1[[#This Row],[2024 U.S. Units]]/Table1[[#This Row],[2023 U.S. Units]]-1</f>
        <v>-1</v>
      </c>
      <c r="L480" s="8">
        <f>(Table1[[#This Row],[2024 Market share (%)]]-Table1[[#This Row],[2023 Market share (%)]])*10000</f>
        <v>-47.838785448685108</v>
      </c>
      <c r="M480" s="6">
        <f>_xlfn.RRI(5,Table1[[#This Row],[2019 U.S. Sales ($000)]],Table1[[#This Row],[2024 U.S. Sales ($000)]])</f>
        <v>-1</v>
      </c>
      <c r="N480" s="9">
        <f>(Table1[[#This Row],[2024 Market share (%)]]-Table1[[#This Row],[2019 Market share (%)]])*10000</f>
        <v>-70.149730702978246</v>
      </c>
      <c r="O480" s="6" t="e">
        <f>IF(Table1[[#This Row],[2024 AUV]]=0,"",_xlfn.RRI(5,Table1[[#This Row],[2019 AUV]],Table1[[#This Row],[2024 AUV]]))</f>
        <v>#DIV/0!</v>
      </c>
      <c r="P480" s="6">
        <f>_xlfn.RRI(5,Table1[[#This Row],[2019 U.S. Units]],Table1[[#This Row],[2024 U.S. Units]])</f>
        <v>-1</v>
      </c>
      <c r="Q480" s="5">
        <v>115400</v>
      </c>
      <c r="R480" s="6">
        <f>Table1[[#This Row],[2023 U.S. Sales ($000)]]/SUMIF($E:$E, E480, $Q:$Q)</f>
        <v>4.7838785448685106E-3</v>
      </c>
      <c r="S480" s="8">
        <f>(Table1[[#This Row],[2023 Market share (%)]]-Table1[[#This Row],[2022 Market share (%)]])*10000</f>
        <v>-4.634320064907322</v>
      </c>
      <c r="T480" s="10">
        <v>-6.4829821717990274E-2</v>
      </c>
      <c r="U480" s="5">
        <v>39</v>
      </c>
      <c r="V480" s="5">
        <f t="shared" si="56"/>
        <v>2958.9743589743589</v>
      </c>
      <c r="W480" s="10">
        <v>-4.878048780487805E-2</v>
      </c>
      <c r="X480" s="10">
        <f t="shared" si="57"/>
        <v>-7.8732343762689783E-2</v>
      </c>
      <c r="Y480" s="8">
        <f>(Table1[[#This Row],[2023 Market share (%)]]-Table1[[#This Row],[2019 Market share (%)]])*10000</f>
        <v>-22.310945254293141</v>
      </c>
      <c r="Z480" s="10">
        <f t="shared" si="58"/>
        <v>-6.4885943102233057E-4</v>
      </c>
      <c r="AA480" s="10">
        <f t="shared" si="59"/>
        <v>-7.8134182432824217E-2</v>
      </c>
      <c r="AB480" s="5">
        <v>123400</v>
      </c>
      <c r="AC480" s="6">
        <f>Table1[[#This Row],[2022 U.S. Sales ($000)]]/SUMIF($E:$E, E480, $AB:$AB)</f>
        <v>5.2473105513592428E-3</v>
      </c>
      <c r="AD480" s="5">
        <v>41</v>
      </c>
      <c r="AE480" s="5">
        <f t="shared" si="60"/>
        <v>3009.7560975609758</v>
      </c>
      <c r="AF480" s="5">
        <v>126700</v>
      </c>
      <c r="AG480" s="6">
        <f>Table1[[#This Row],[2021 U.S. Sales ($000)]]/SUMIF($E:$E, E480, $AF:$AF)</f>
        <v>5.8333051336538202E-3</v>
      </c>
      <c r="AH480" s="5">
        <v>45</v>
      </c>
      <c r="AI480" s="12">
        <f t="shared" si="61"/>
        <v>2815.5555555555557</v>
      </c>
      <c r="AJ480" s="5">
        <v>114700</v>
      </c>
      <c r="AK480" s="6">
        <f>Table1[[#This Row],[2020 U.S. Sales ($000)]]/SUMIF($E:$E, E480, $AJ:$AJ)</f>
        <v>7.0340924122748406E-3</v>
      </c>
      <c r="AL480" s="5">
        <v>48</v>
      </c>
      <c r="AM480" s="5">
        <f t="shared" si="62"/>
        <v>2389.5833333333335</v>
      </c>
      <c r="AN480" s="5">
        <v>160200</v>
      </c>
      <c r="AO480" s="6">
        <f>Table1[[#This Row],[2019 U.S. Sales ($000)]]/SUMIF($E:$E, E480, $AN:$AN)</f>
        <v>7.0149730702978247E-3</v>
      </c>
      <c r="AP480" s="5">
        <v>54</v>
      </c>
      <c r="AQ480" s="5">
        <f t="shared" si="63"/>
        <v>2966.6666666666665</v>
      </c>
    </row>
    <row r="481" spans="1:43" x14ac:dyDescent="0.25">
      <c r="A481" t="s">
        <v>546</v>
      </c>
      <c r="B481">
        <v>5346</v>
      </c>
      <c r="C481" t="s">
        <v>68</v>
      </c>
      <c r="D481" t="s">
        <v>69</v>
      </c>
      <c r="E481" t="s">
        <v>125</v>
      </c>
      <c r="F481" s="5">
        <v>386</v>
      </c>
      <c r="G481" s="5">
        <v>0</v>
      </c>
      <c r="H481" s="6">
        <f>Table1[[#This Row],[2024 U.S. Sales ($000)]]/SUMIF($E:$E, E481, $G:$G)</f>
        <v>0</v>
      </c>
      <c r="I481" s="5">
        <v>0</v>
      </c>
      <c r="J481" s="5" t="e">
        <f>Table1[[#This Row],[2024 U.S. Sales ($000)]]/Table1[[#This Row],[2024 U.S. Units]]</f>
        <v>#DIV/0!</v>
      </c>
      <c r="K481" s="6">
        <f>Table1[[#This Row],[2024 U.S. Units]]/Table1[[#This Row],[2023 U.S. Units]]-1</f>
        <v>-1</v>
      </c>
      <c r="L481" s="8">
        <f>(Table1[[#This Row],[2024 Market share (%)]]-Table1[[#This Row],[2023 Market share (%)]])*10000</f>
        <v>-228.06137108915675</v>
      </c>
      <c r="M481" s="6">
        <f>_xlfn.RRI(5,Table1[[#This Row],[2019 U.S. Sales ($000)]],Table1[[#This Row],[2024 U.S. Sales ($000)]])</f>
        <v>-1</v>
      </c>
      <c r="N481" s="9">
        <f>(Table1[[#This Row],[2024 Market share (%)]]-Table1[[#This Row],[2019 Market share (%)]])*10000</f>
        <v>-424.50785151189962</v>
      </c>
      <c r="O481" s="6" t="e">
        <f>IF(Table1[[#This Row],[2024 AUV]]=0,"",_xlfn.RRI(5,Table1[[#This Row],[2019 AUV]],Table1[[#This Row],[2024 AUV]]))</f>
        <v>#DIV/0!</v>
      </c>
      <c r="P481" s="6">
        <f>_xlfn.RRI(5,Table1[[#This Row],[2019 U.S. Units]],Table1[[#This Row],[2024 U.S. Units]])</f>
        <v>-1</v>
      </c>
      <c r="Q481" s="5">
        <v>80800</v>
      </c>
      <c r="R481" s="6">
        <f>Table1[[#This Row],[2023 U.S. Sales ($000)]]/SUMIF($E:$E, E481, $Q:$Q)</f>
        <v>2.2806137108915676E-2</v>
      </c>
      <c r="S481" s="8">
        <f>(Table1[[#This Row],[2023 Market share (%)]]-Table1[[#This Row],[2022 Market share (%)]])*10000</f>
        <v>-47.967973784257268</v>
      </c>
      <c r="T481" s="10">
        <v>-7.0195627157652471E-2</v>
      </c>
      <c r="U481" s="5">
        <v>52</v>
      </c>
      <c r="V481" s="5">
        <f t="shared" si="56"/>
        <v>1553.8461538461538</v>
      </c>
      <c r="W481" s="10">
        <v>-7.1428571428571425E-2</v>
      </c>
      <c r="X481" s="10">
        <f t="shared" si="57"/>
        <v>-7.9821967321703213E-2</v>
      </c>
      <c r="Y481" s="8">
        <f>(Table1[[#This Row],[2023 Market share (%)]]-Table1[[#This Row],[2019 Market share (%)]])*10000</f>
        <v>-196.44648042274287</v>
      </c>
      <c r="Z481" s="10">
        <f t="shared" si="58"/>
        <v>-2.7030190996696679E-2</v>
      </c>
      <c r="AA481" s="10">
        <f t="shared" si="59"/>
        <v>-5.4258390996824168E-2</v>
      </c>
      <c r="AB481" s="5">
        <v>86900</v>
      </c>
      <c r="AC481" s="6">
        <f>Table1[[#This Row],[2022 U.S. Sales ($000)]]/SUMIF($E:$E, E481, $AB:$AB)</f>
        <v>2.7602934487341402E-2</v>
      </c>
      <c r="AD481" s="5">
        <v>56</v>
      </c>
      <c r="AE481" s="5">
        <f t="shared" si="60"/>
        <v>1551.7857142857142</v>
      </c>
      <c r="AF481" s="5">
        <v>85500</v>
      </c>
      <c r="AG481" s="6">
        <f>Table1[[#This Row],[2021 U.S. Sales ($000)]]/SUMIF($E:$E, E481, $AF:$AF)</f>
        <v>3.2150640982252843E-2</v>
      </c>
      <c r="AH481" s="5">
        <v>58</v>
      </c>
      <c r="AI481" s="12">
        <f t="shared" si="61"/>
        <v>1474.1379310344828</v>
      </c>
      <c r="AJ481" s="5">
        <v>66000</v>
      </c>
      <c r="AK481" s="6">
        <f>Table1[[#This Row],[2020 U.S. Sales ($000)]]/SUMIF($E:$E, E481, $AJ:$AJ)</f>
        <v>3.4828698214079343E-2</v>
      </c>
      <c r="AL481" s="5">
        <v>62</v>
      </c>
      <c r="AM481" s="5">
        <f t="shared" si="62"/>
        <v>1064.516129032258</v>
      </c>
      <c r="AN481" s="5">
        <v>112700</v>
      </c>
      <c r="AO481" s="6">
        <f>Table1[[#This Row],[2019 U.S. Sales ($000)]]/SUMIF($E:$E, E481, $AN:$AN)</f>
        <v>4.2450785151189961E-2</v>
      </c>
      <c r="AP481" s="5">
        <v>65</v>
      </c>
      <c r="AQ481" s="5">
        <f t="shared" si="63"/>
        <v>1733.8461538461538</v>
      </c>
    </row>
    <row r="482" spans="1:43" x14ac:dyDescent="0.25">
      <c r="A482" t="s">
        <v>547</v>
      </c>
      <c r="B482">
        <v>524</v>
      </c>
      <c r="C482" t="s">
        <v>68</v>
      </c>
      <c r="D482" t="s">
        <v>69</v>
      </c>
      <c r="E482" t="s">
        <v>73</v>
      </c>
      <c r="F482" s="5">
        <v>252</v>
      </c>
      <c r="G482" s="5">
        <v>0</v>
      </c>
      <c r="H482" s="6">
        <f>Table1[[#This Row],[2024 U.S. Sales ($000)]]/SUMIF($E:$E, E482, $G:$G)</f>
        <v>0</v>
      </c>
      <c r="I482" s="5">
        <v>0</v>
      </c>
      <c r="J482" s="5" t="e">
        <f>Table1[[#This Row],[2024 U.S. Sales ($000)]]/Table1[[#This Row],[2024 U.S. Units]]</f>
        <v>#DIV/0!</v>
      </c>
      <c r="K482" s="6">
        <f>Table1[[#This Row],[2024 U.S. Units]]/Table1[[#This Row],[2023 U.S. Units]]-1</f>
        <v>-1</v>
      </c>
      <c r="L482" s="8">
        <f>(Table1[[#This Row],[2024 Market share (%)]]-Table1[[#This Row],[2023 Market share (%)]])*10000</f>
        <v>-154.4224283800952</v>
      </c>
      <c r="M482" s="6">
        <f>_xlfn.RRI(5,Table1[[#This Row],[2019 U.S. Sales ($000)]],Table1[[#This Row],[2024 U.S. Sales ($000)]])</f>
        <v>-1</v>
      </c>
      <c r="N482" s="9">
        <f>(Table1[[#This Row],[2024 Market share (%)]]-Table1[[#This Row],[2019 Market share (%)]])*10000</f>
        <v>-231.87524914255491</v>
      </c>
      <c r="O482" s="6" t="e">
        <f>IF(Table1[[#This Row],[2024 AUV]]=0,"",_xlfn.RRI(5,Table1[[#This Row],[2019 AUV]],Table1[[#This Row],[2024 AUV]]))</f>
        <v>#DIV/0!</v>
      </c>
      <c r="P482" s="6">
        <f>_xlfn.RRI(5,Table1[[#This Row],[2019 U.S. Units]],Table1[[#This Row],[2024 U.S. Units]])</f>
        <v>-1</v>
      </c>
      <c r="Q482" s="5">
        <v>148400</v>
      </c>
      <c r="R482" s="6">
        <f>Table1[[#This Row],[2023 U.S. Sales ($000)]]/SUMIF($E:$E, E482, $Q:$Q)</f>
        <v>1.544224283800952E-2</v>
      </c>
      <c r="S482" s="8">
        <f>(Table1[[#This Row],[2023 Market share (%)]]-Table1[[#This Row],[2022 Market share (%)]])*10000</f>
        <v>-21.973835155051443</v>
      </c>
      <c r="T482" s="10">
        <v>-8.3950617283950618E-2</v>
      </c>
      <c r="U482" s="5">
        <v>72</v>
      </c>
      <c r="V482" s="5">
        <f t="shared" si="56"/>
        <v>2061.1111111111113</v>
      </c>
      <c r="W482" s="10">
        <v>-5.2631578947368418E-2</v>
      </c>
      <c r="X482" s="10">
        <f t="shared" si="57"/>
        <v>-8.476866171740427E-2</v>
      </c>
      <c r="Y482" s="8">
        <f>(Table1[[#This Row],[2023 Market share (%)]]-Table1[[#This Row],[2019 Market share (%)]])*10000</f>
        <v>-77.452820762459723</v>
      </c>
      <c r="Z482" s="10">
        <f t="shared" si="58"/>
        <v>-1.9091134958752032E-2</v>
      </c>
      <c r="AA482" s="10">
        <f t="shared" si="59"/>
        <v>-6.6955788758102819E-2</v>
      </c>
      <c r="AB482" s="5">
        <v>162000</v>
      </c>
      <c r="AC482" s="6">
        <f>Table1[[#This Row],[2022 U.S. Sales ($000)]]/SUMIF($E:$E, E482, $AB:$AB)</f>
        <v>1.7639626353514664E-2</v>
      </c>
      <c r="AD482" s="5">
        <v>76</v>
      </c>
      <c r="AE482" s="5">
        <f t="shared" si="60"/>
        <v>2131.5789473684213</v>
      </c>
      <c r="AF482" s="5">
        <v>169900</v>
      </c>
      <c r="AG482" s="6">
        <f>Table1[[#This Row],[2021 U.S. Sales ($000)]]/SUMIF($E:$E, E482, $AF:$AF)</f>
        <v>2.0290341773430805E-2</v>
      </c>
      <c r="AH482" s="5">
        <v>82</v>
      </c>
      <c r="AI482" s="12">
        <f t="shared" si="61"/>
        <v>2071.9512195121952</v>
      </c>
      <c r="AJ482" s="5">
        <v>148500</v>
      </c>
      <c r="AK482" s="6">
        <f>Table1[[#This Row],[2020 U.S. Sales ($000)]]/SUMIF($E:$E, E482, $AJ:$AJ)</f>
        <v>2.152523620141765E-2</v>
      </c>
      <c r="AL482" s="5">
        <v>85</v>
      </c>
      <c r="AM482" s="5">
        <f t="shared" si="62"/>
        <v>1747.0588235294117</v>
      </c>
      <c r="AN482" s="5">
        <v>211500</v>
      </c>
      <c r="AO482" s="6">
        <f>Table1[[#This Row],[2019 U.S. Sales ($000)]]/SUMIF($E:$E, E482, $AN:$AN)</f>
        <v>2.3187524914255492E-2</v>
      </c>
      <c r="AP482" s="5">
        <v>95</v>
      </c>
      <c r="AQ482" s="5">
        <f t="shared" si="63"/>
        <v>2226.3157894736842</v>
      </c>
    </row>
    <row r="483" spans="1:43" x14ac:dyDescent="0.25">
      <c r="A483" t="s">
        <v>548</v>
      </c>
      <c r="B483">
        <v>11895</v>
      </c>
      <c r="C483" t="s">
        <v>44</v>
      </c>
      <c r="D483" t="s">
        <v>45</v>
      </c>
      <c r="E483" t="s">
        <v>76</v>
      </c>
      <c r="F483" s="5">
        <v>478</v>
      </c>
      <c r="G483" s="5">
        <v>0</v>
      </c>
      <c r="H483" s="6">
        <f>Table1[[#This Row],[2024 U.S. Sales ($000)]]/SUMIF($E:$E, E483, $G:$G)</f>
        <v>0</v>
      </c>
      <c r="I483" s="5">
        <v>0</v>
      </c>
      <c r="J483" s="5" t="e">
        <f>Table1[[#This Row],[2024 U.S. Sales ($000)]]/Table1[[#This Row],[2024 U.S. Units]]</f>
        <v>#DIV/0!</v>
      </c>
      <c r="K483" s="6">
        <f>Table1[[#This Row],[2024 U.S. Units]]/Table1[[#This Row],[2023 U.S. Units]]-1</f>
        <v>-1</v>
      </c>
      <c r="L483" s="8">
        <f>(Table1[[#This Row],[2024 Market share (%)]]-Table1[[#This Row],[2023 Market share (%)]])*10000</f>
        <v>-75.427347688521536</v>
      </c>
      <c r="M483" s="6">
        <f>_xlfn.RRI(5,Table1[[#This Row],[2019 U.S. Sales ($000)]],Table1[[#This Row],[2024 U.S. Sales ($000)]])</f>
        <v>-1</v>
      </c>
      <c r="N483" s="9">
        <f>(Table1[[#This Row],[2024 Market share (%)]]-Table1[[#This Row],[2019 Market share (%)]])*10000</f>
        <v>-139.38856144389538</v>
      </c>
      <c r="O483" s="6" t="e">
        <f>IF(Table1[[#This Row],[2024 AUV]]=0,"",_xlfn.RRI(5,Table1[[#This Row],[2019 AUV]],Table1[[#This Row],[2024 AUV]]))</f>
        <v>#DIV/0!</v>
      </c>
      <c r="P483" s="6">
        <f>_xlfn.RRI(5,Table1[[#This Row],[2019 U.S. Units]],Table1[[#This Row],[2024 U.S. Units]])</f>
        <v>-1</v>
      </c>
      <c r="Q483" s="5">
        <v>61200</v>
      </c>
      <c r="R483" s="6">
        <f>Table1[[#This Row],[2023 U.S. Sales ($000)]]/SUMIF($E:$E, E483, $Q:$Q)</f>
        <v>7.5427347688521535E-3</v>
      </c>
      <c r="S483" s="8">
        <f>(Table1[[#This Row],[2023 Market share (%)]]-Table1[[#This Row],[2022 Market share (%)]])*10000</f>
        <v>-8.3739203269249991</v>
      </c>
      <c r="T483" s="10">
        <v>-3.0110935023771792E-2</v>
      </c>
      <c r="U483" s="5">
        <v>216</v>
      </c>
      <c r="V483" s="5">
        <f t="shared" si="56"/>
        <v>283.33333333333331</v>
      </c>
      <c r="W483" s="10">
        <v>-2.2624434389140271E-2</v>
      </c>
      <c r="X483" s="10">
        <f t="shared" si="57"/>
        <v>-8.8089874736351326E-2</v>
      </c>
      <c r="Y483" s="8">
        <f>(Table1[[#This Row],[2023 Market share (%)]]-Table1[[#This Row],[2019 Market share (%)]])*10000</f>
        <v>-63.961213755373862</v>
      </c>
      <c r="Z483" s="10">
        <f t="shared" si="58"/>
        <v>-2.1794481922139397E-2</v>
      </c>
      <c r="AA483" s="10">
        <f t="shared" si="59"/>
        <v>-6.7772458434378957E-2</v>
      </c>
      <c r="AB483" s="5">
        <v>63100</v>
      </c>
      <c r="AC483" s="6">
        <f>Table1[[#This Row],[2022 U.S. Sales ($000)]]/SUMIF($E:$E, E483, $AB:$AB)</f>
        <v>8.3801268015446535E-3</v>
      </c>
      <c r="AD483" s="5">
        <v>221</v>
      </c>
      <c r="AE483" s="5">
        <f t="shared" si="60"/>
        <v>285.52036199095022</v>
      </c>
      <c r="AF483" s="5">
        <v>66800</v>
      </c>
      <c r="AG483" s="6">
        <f>Table1[[#This Row],[2021 U.S. Sales ($000)]]/SUMIF($E:$E, E483, $AF:$AF)</f>
        <v>9.1493664200720665E-3</v>
      </c>
      <c r="AH483" s="5">
        <v>238</v>
      </c>
      <c r="AI483" s="12">
        <f t="shared" si="61"/>
        <v>280.67226890756302</v>
      </c>
      <c r="AJ483" s="5">
        <v>67900</v>
      </c>
      <c r="AK483" s="6">
        <f>Table1[[#This Row],[2020 U.S. Sales ($000)]]/SUMIF($E:$E, E483, $AJ:$AJ)</f>
        <v>1.0625622240507126E-2</v>
      </c>
      <c r="AL483" s="5">
        <v>257</v>
      </c>
      <c r="AM483" s="5">
        <f t="shared" si="62"/>
        <v>264.20233463035021</v>
      </c>
      <c r="AN483" s="5">
        <v>88500</v>
      </c>
      <c r="AO483" s="6">
        <f>Table1[[#This Row],[2019 U.S. Sales ($000)]]/SUMIF($E:$E, E483, $AN:$AN)</f>
        <v>1.393885614438954E-2</v>
      </c>
      <c r="AP483" s="5">
        <v>286</v>
      </c>
      <c r="AQ483" s="5">
        <f t="shared" si="63"/>
        <v>309.44055944055947</v>
      </c>
    </row>
    <row r="484" spans="1:43" x14ac:dyDescent="0.25">
      <c r="A484" t="s">
        <v>549</v>
      </c>
      <c r="B484">
        <v>839</v>
      </c>
      <c r="C484" t="s">
        <v>68</v>
      </c>
      <c r="D484" t="s">
        <v>92</v>
      </c>
      <c r="E484" t="s">
        <v>93</v>
      </c>
      <c r="F484" s="5">
        <v>299</v>
      </c>
      <c r="G484" s="5">
        <v>0</v>
      </c>
      <c r="H484" s="6">
        <f>Table1[[#This Row],[2024 U.S. Sales ($000)]]/SUMIF($E:$E, E484, $G:$G)</f>
        <v>0</v>
      </c>
      <c r="I484" s="5">
        <v>0</v>
      </c>
      <c r="J484" s="5" t="e">
        <f>Table1[[#This Row],[2024 U.S. Sales ($000)]]/Table1[[#This Row],[2024 U.S. Units]]</f>
        <v>#DIV/0!</v>
      </c>
      <c r="K484" s="6">
        <f>Table1[[#This Row],[2024 U.S. Units]]/Table1[[#This Row],[2023 U.S. Units]]-1</f>
        <v>-1</v>
      </c>
      <c r="L484" s="8">
        <f>(Table1[[#This Row],[2024 Market share (%)]]-Table1[[#This Row],[2023 Market share (%)]])*10000</f>
        <v>-66.855824842310255</v>
      </c>
      <c r="M484" s="6">
        <f>_xlfn.RRI(5,Table1[[#This Row],[2019 U.S. Sales ($000)]],Table1[[#This Row],[2024 U.S. Sales ($000)]])</f>
        <v>-1</v>
      </c>
      <c r="N484" s="9">
        <f>(Table1[[#This Row],[2024 Market share (%)]]-Table1[[#This Row],[2019 Market share (%)]])*10000</f>
        <v>-100.80017516096011</v>
      </c>
      <c r="O484" s="6" t="e">
        <f>IF(Table1[[#This Row],[2024 AUV]]=0,"",_xlfn.RRI(5,Table1[[#This Row],[2019 AUV]],Table1[[#This Row],[2024 AUV]]))</f>
        <v>#DIV/0!</v>
      </c>
      <c r="P484" s="6">
        <f>_xlfn.RRI(5,Table1[[#This Row],[2019 U.S. Units]],Table1[[#This Row],[2024 U.S. Units]])</f>
        <v>-1</v>
      </c>
      <c r="Q484" s="5">
        <v>117000</v>
      </c>
      <c r="R484" s="6">
        <f>Table1[[#This Row],[2023 U.S. Sales ($000)]]/SUMIF($E:$E, E484, $Q:$Q)</f>
        <v>6.6855824842310249E-3</v>
      </c>
      <c r="S484" s="8">
        <f>(Table1[[#This Row],[2023 Market share (%)]]-Table1[[#This Row],[2022 Market share (%)]])*10000</f>
        <v>-13.367691800648595</v>
      </c>
      <c r="T484" s="10">
        <v>-0.1169811320754717</v>
      </c>
      <c r="U484" s="5">
        <v>82</v>
      </c>
      <c r="V484" s="5">
        <f t="shared" si="56"/>
        <v>1426.8292682926829</v>
      </c>
      <c r="W484" s="10">
        <v>-0.1276595744680851</v>
      </c>
      <c r="X484" s="10">
        <f t="shared" si="57"/>
        <v>-9.0244900063040534E-2</v>
      </c>
      <c r="Y484" s="8">
        <f>(Table1[[#This Row],[2023 Market share (%)]]-Table1[[#This Row],[2019 Market share (%)]])*10000</f>
        <v>-33.944350318649867</v>
      </c>
      <c r="Z484" s="10">
        <f t="shared" si="58"/>
        <v>1.2893238481560321E-2</v>
      </c>
      <c r="AA484" s="10">
        <f t="shared" si="59"/>
        <v>-0.10182528091432075</v>
      </c>
      <c r="AB484" s="5">
        <v>132500</v>
      </c>
      <c r="AC484" s="6">
        <f>Table1[[#This Row],[2022 U.S. Sales ($000)]]/SUMIF($E:$E, E484, $AB:$AB)</f>
        <v>8.0223516642958844E-3</v>
      </c>
      <c r="AD484" s="5">
        <v>94</v>
      </c>
      <c r="AE484" s="5">
        <f t="shared" si="60"/>
        <v>1409.5744680851064</v>
      </c>
      <c r="AF484" s="5">
        <v>136800</v>
      </c>
      <c r="AG484" s="6">
        <f>Table1[[#This Row],[2021 U.S. Sales ($000)]]/SUMIF($E:$E, E484, $AF:$AF)</f>
        <v>9.0610530175591689E-3</v>
      </c>
      <c r="AH484" s="5">
        <v>103</v>
      </c>
      <c r="AI484" s="12">
        <f t="shared" si="61"/>
        <v>1328.1553398058252</v>
      </c>
      <c r="AJ484" s="5">
        <v>105100</v>
      </c>
      <c r="AK484" s="6">
        <f>Table1[[#This Row],[2020 U.S. Sales ($000)]]/SUMIF($E:$E, E484, $AJ:$AJ)</f>
        <v>9.8482830300964837E-3</v>
      </c>
      <c r="AL484" s="5">
        <v>109</v>
      </c>
      <c r="AM484" s="5">
        <f t="shared" si="62"/>
        <v>964.22018348623851</v>
      </c>
      <c r="AN484" s="5">
        <v>170800</v>
      </c>
      <c r="AO484" s="6">
        <f>Table1[[#This Row],[2019 U.S. Sales ($000)]]/SUMIF($E:$E, E484, $AN:$AN)</f>
        <v>1.0080017516096012E-2</v>
      </c>
      <c r="AP484" s="5">
        <v>126</v>
      </c>
      <c r="AQ484" s="5">
        <f t="shared" si="63"/>
        <v>1355.5555555555557</v>
      </c>
    </row>
    <row r="485" spans="1:43" x14ac:dyDescent="0.25">
      <c r="A485" t="s">
        <v>550</v>
      </c>
      <c r="B485">
        <v>430</v>
      </c>
      <c r="C485" t="s">
        <v>68</v>
      </c>
      <c r="D485" t="s">
        <v>92</v>
      </c>
      <c r="E485" t="s">
        <v>93</v>
      </c>
      <c r="F485" s="5">
        <v>262</v>
      </c>
      <c r="G485" s="5">
        <v>0</v>
      </c>
      <c r="H485" s="6">
        <f>Table1[[#This Row],[2024 U.S. Sales ($000)]]/SUMIF($E:$E, E485, $G:$G)</f>
        <v>0</v>
      </c>
      <c r="I485" s="5">
        <v>0</v>
      </c>
      <c r="J485" s="5" t="e">
        <f>Table1[[#This Row],[2024 U.S. Sales ($000)]]/Table1[[#This Row],[2024 U.S. Units]]</f>
        <v>#DIV/0!</v>
      </c>
      <c r="K485" s="6">
        <f>Table1[[#This Row],[2024 U.S. Units]]/Table1[[#This Row],[2023 U.S. Units]]-1</f>
        <v>-1</v>
      </c>
      <c r="L485" s="8">
        <f>(Table1[[#This Row],[2024 Market share (%)]]-Table1[[#This Row],[2023 Market share (%)]])*10000</f>
        <v>-79.484147312524414</v>
      </c>
      <c r="M485" s="6">
        <f>_xlfn.RRI(5,Table1[[#This Row],[2019 U.S. Sales ($000)]],Table1[[#This Row],[2024 U.S. Sales ($000)]])</f>
        <v>-1</v>
      </c>
      <c r="N485" s="9">
        <f>(Table1[[#This Row],[2024 Market share (%)]]-Table1[[#This Row],[2019 Market share (%)]])*10000</f>
        <v>-126.23628493518366</v>
      </c>
      <c r="O485" s="6" t="e">
        <f>IF(Table1[[#This Row],[2024 AUV]]=0,"",_xlfn.RRI(5,Table1[[#This Row],[2019 AUV]],Table1[[#This Row],[2024 AUV]]))</f>
        <v>#DIV/0!</v>
      </c>
      <c r="P485" s="6">
        <f>_xlfn.RRI(5,Table1[[#This Row],[2019 U.S. Units]],Table1[[#This Row],[2024 U.S. Units]])</f>
        <v>-1</v>
      </c>
      <c r="Q485" s="5">
        <v>139100</v>
      </c>
      <c r="R485" s="6">
        <f>Table1[[#This Row],[2023 U.S. Sales ($000)]]/SUMIF($E:$E, E485, $Q:$Q)</f>
        <v>7.9484147312524414E-3</v>
      </c>
      <c r="S485" s="8">
        <f>(Table1[[#This Row],[2023 Market share (%)]]-Table1[[#This Row],[2022 Market share (%)]])*10000</f>
        <v>-12.122026786190107</v>
      </c>
      <c r="T485" s="10">
        <v>-8.0634500991407801E-2</v>
      </c>
      <c r="U485" s="5">
        <v>108</v>
      </c>
      <c r="V485" s="5">
        <f t="shared" si="56"/>
        <v>1287.962962962963</v>
      </c>
      <c r="W485" s="10">
        <v>-0.1</v>
      </c>
      <c r="X485" s="10">
        <f t="shared" si="57"/>
        <v>-0.1019943143936044</v>
      </c>
      <c r="Y485" s="8">
        <f>(Table1[[#This Row],[2023 Market share (%)]]-Table1[[#This Row],[2019 Market share (%)]])*10000</f>
        <v>-46.752137622659248</v>
      </c>
      <c r="Z485" s="10">
        <f t="shared" si="58"/>
        <v>-9.2749520720371015E-3</v>
      </c>
      <c r="AA485" s="10">
        <f t="shared" si="59"/>
        <v>-9.3587380792969577E-2</v>
      </c>
      <c r="AB485" s="5">
        <v>151300</v>
      </c>
      <c r="AC485" s="6">
        <f>Table1[[#This Row],[2022 U.S. Sales ($000)]]/SUMIF($E:$E, E485, $AB:$AB)</f>
        <v>9.1606174098714521E-3</v>
      </c>
      <c r="AD485" s="5">
        <v>120</v>
      </c>
      <c r="AE485" s="5">
        <f t="shared" si="60"/>
        <v>1260.8333333333333</v>
      </c>
      <c r="AF485" s="5">
        <v>143100</v>
      </c>
      <c r="AG485" s="6">
        <f>Table1[[#This Row],[2021 U.S. Sales ($000)]]/SUMIF($E:$E, E485, $AF:$AF)</f>
        <v>9.4783383538941304E-3</v>
      </c>
      <c r="AH485" s="5">
        <v>129</v>
      </c>
      <c r="AI485" s="12">
        <f t="shared" si="61"/>
        <v>1109.3023255813953</v>
      </c>
      <c r="AJ485" s="5">
        <v>126100</v>
      </c>
      <c r="AK485" s="6">
        <f>Table1[[#This Row],[2020 U.S. Sales ($000)]]/SUMIF($E:$E, E485, $AJ:$AJ)</f>
        <v>1.1816065557518237E-2</v>
      </c>
      <c r="AL485" s="5">
        <v>130</v>
      </c>
      <c r="AM485" s="5">
        <f t="shared" si="62"/>
        <v>970</v>
      </c>
      <c r="AN485" s="5">
        <v>213900</v>
      </c>
      <c r="AO485" s="6">
        <f>Table1[[#This Row],[2019 U.S. Sales ($000)]]/SUMIF($E:$E, E485, $AN:$AN)</f>
        <v>1.2623628493518366E-2</v>
      </c>
      <c r="AP485" s="5">
        <v>160</v>
      </c>
      <c r="AQ485" s="5">
        <f t="shared" si="63"/>
        <v>1336.875</v>
      </c>
    </row>
    <row r="486" spans="1:43" x14ac:dyDescent="0.25">
      <c r="A486" t="s">
        <v>551</v>
      </c>
      <c r="B486">
        <v>882</v>
      </c>
      <c r="C486" t="s">
        <v>68</v>
      </c>
      <c r="D486" t="s">
        <v>69</v>
      </c>
      <c r="E486" t="s">
        <v>79</v>
      </c>
      <c r="F486" s="5">
        <v>296</v>
      </c>
      <c r="G486" s="5">
        <v>0</v>
      </c>
      <c r="H486" s="6">
        <f>Table1[[#This Row],[2024 U.S. Sales ($000)]]/SUMIF($E:$E, E486, $G:$G)</f>
        <v>0</v>
      </c>
      <c r="I486" s="5">
        <v>0</v>
      </c>
      <c r="J486" s="5" t="e">
        <f>Table1[[#This Row],[2024 U.S. Sales ($000)]]/Table1[[#This Row],[2024 U.S. Units]]</f>
        <v>#DIV/0!</v>
      </c>
      <c r="K486" s="6">
        <f>Table1[[#This Row],[2024 U.S. Units]]/Table1[[#This Row],[2023 U.S. Units]]-1</f>
        <v>-1</v>
      </c>
      <c r="L486" s="8">
        <f>(Table1[[#This Row],[2024 Market share (%)]]-Table1[[#This Row],[2023 Market share (%)]])*10000</f>
        <v>-48.833699530806804</v>
      </c>
      <c r="M486" s="6">
        <f>_xlfn.RRI(5,Table1[[#This Row],[2019 U.S. Sales ($000)]],Table1[[#This Row],[2024 U.S. Sales ($000)]])</f>
        <v>-1</v>
      </c>
      <c r="N486" s="9">
        <f>(Table1[[#This Row],[2024 Market share (%)]]-Table1[[#This Row],[2019 Market share (%)]])*10000</f>
        <v>-82.23545209749885</v>
      </c>
      <c r="O486" s="6" t="e">
        <f>IF(Table1[[#This Row],[2024 AUV]]=0,"",_xlfn.RRI(5,Table1[[#This Row],[2019 AUV]],Table1[[#This Row],[2024 AUV]]))</f>
        <v>#DIV/0!</v>
      </c>
      <c r="P486" s="6">
        <f>_xlfn.RRI(5,Table1[[#This Row],[2019 U.S. Units]],Table1[[#This Row],[2024 U.S. Units]])</f>
        <v>-1</v>
      </c>
      <c r="Q486" s="5">
        <v>117800</v>
      </c>
      <c r="R486" s="6">
        <f>Table1[[#This Row],[2023 U.S. Sales ($000)]]/SUMIF($E:$E, E486, $Q:$Q)</f>
        <v>4.8833699530806806E-3</v>
      </c>
      <c r="S486" s="8">
        <f>(Table1[[#This Row],[2023 Market share (%)]]-Table1[[#This Row],[2022 Market share (%)]])*10000</f>
        <v>-5.0851803648457006</v>
      </c>
      <c r="T486" s="10">
        <v>-7.0977917981072558E-2</v>
      </c>
      <c r="U486" s="5">
        <v>30</v>
      </c>
      <c r="V486" s="5">
        <f t="shared" si="56"/>
        <v>3926.6666666666665</v>
      </c>
      <c r="W486" s="10">
        <v>-6.25E-2</v>
      </c>
      <c r="X486" s="10">
        <f t="shared" si="57"/>
        <v>-0.11005651999881894</v>
      </c>
      <c r="Y486" s="8">
        <f>(Table1[[#This Row],[2023 Market share (%)]]-Table1[[#This Row],[2019 Market share (%)]])*10000</f>
        <v>-33.401752566692039</v>
      </c>
      <c r="Z486" s="10">
        <f t="shared" si="58"/>
        <v>-4.369349536832523E-2</v>
      </c>
      <c r="AA486" s="10">
        <f t="shared" si="59"/>
        <v>-6.9395140897900442E-2</v>
      </c>
      <c r="AB486" s="5">
        <v>126800</v>
      </c>
      <c r="AC486" s="6">
        <f>Table1[[#This Row],[2022 U.S. Sales ($000)]]/SUMIF($E:$E, E486, $AB:$AB)</f>
        <v>5.3918879895652506E-3</v>
      </c>
      <c r="AD486" s="5">
        <v>32</v>
      </c>
      <c r="AE486" s="5">
        <f t="shared" si="60"/>
        <v>3962.5</v>
      </c>
      <c r="AF486" s="5">
        <v>134900</v>
      </c>
      <c r="AG486" s="6">
        <f>Table1[[#This Row],[2021 U.S. Sales ($000)]]/SUMIF($E:$E, E486, $AF:$AF)</f>
        <v>6.2108355369368609E-3</v>
      </c>
      <c r="AH486" s="5">
        <v>35</v>
      </c>
      <c r="AI486" s="12">
        <f t="shared" si="61"/>
        <v>3854.2857142857142</v>
      </c>
      <c r="AJ486" s="5">
        <v>78200</v>
      </c>
      <c r="AK486" s="6">
        <f>Table1[[#This Row],[2020 U.S. Sales ($000)]]/SUMIF($E:$E, E486, $AJ:$AJ)</f>
        <v>4.7956933447244341E-3</v>
      </c>
      <c r="AL486" s="5">
        <v>38</v>
      </c>
      <c r="AM486" s="5">
        <f t="shared" si="62"/>
        <v>2057.8947368421054</v>
      </c>
      <c r="AN486" s="5">
        <v>187800</v>
      </c>
      <c r="AO486" s="6">
        <f>Table1[[#This Row],[2019 U.S. Sales ($000)]]/SUMIF($E:$E, E486, $AN:$AN)</f>
        <v>8.2235452097498846E-3</v>
      </c>
      <c r="AP486" s="5">
        <v>40</v>
      </c>
      <c r="AQ486" s="5">
        <f t="shared" si="63"/>
        <v>4695</v>
      </c>
    </row>
    <row r="487" spans="1:43" x14ac:dyDescent="0.25">
      <c r="A487" t="s">
        <v>552</v>
      </c>
      <c r="B487">
        <v>1745</v>
      </c>
      <c r="C487" t="s">
        <v>44</v>
      </c>
      <c r="D487" t="s">
        <v>45</v>
      </c>
      <c r="E487" t="s">
        <v>52</v>
      </c>
      <c r="F487" s="5">
        <v>466</v>
      </c>
      <c r="G487" s="5">
        <v>0</v>
      </c>
      <c r="H487" s="6">
        <f>Table1[[#This Row],[2024 U.S. Sales ($000)]]/SUMIF($E:$E, E487, $G:$G)</f>
        <v>0</v>
      </c>
      <c r="I487" s="5">
        <v>0</v>
      </c>
      <c r="J487" s="5" t="e">
        <f>Table1[[#This Row],[2024 U.S. Sales ($000)]]/Table1[[#This Row],[2024 U.S. Units]]</f>
        <v>#DIV/0!</v>
      </c>
      <c r="K487" s="6">
        <f>Table1[[#This Row],[2024 U.S. Units]]/Table1[[#This Row],[2023 U.S. Units]]-1</f>
        <v>-1</v>
      </c>
      <c r="L487" s="8">
        <f>(Table1[[#This Row],[2024 Market share (%)]]-Table1[[#This Row],[2023 Market share (%)]])*10000</f>
        <v>-19.462753065655601</v>
      </c>
      <c r="M487" s="6">
        <f>_xlfn.RRI(5,Table1[[#This Row],[2019 U.S. Sales ($000)]],Table1[[#This Row],[2024 U.S. Sales ($000)]])</f>
        <v>-1</v>
      </c>
      <c r="N487" s="9">
        <f>(Table1[[#This Row],[2024 Market share (%)]]-Table1[[#This Row],[2019 Market share (%)]])*10000</f>
        <v>-43.806820994274588</v>
      </c>
      <c r="O487" s="6" t="e">
        <f>IF(Table1[[#This Row],[2024 AUV]]=0,"",_xlfn.RRI(5,Table1[[#This Row],[2019 AUV]],Table1[[#This Row],[2024 AUV]]))</f>
        <v>#DIV/0!</v>
      </c>
      <c r="P487" s="6">
        <f>_xlfn.RRI(5,Table1[[#This Row],[2019 U.S. Units]],Table1[[#This Row],[2024 U.S. Units]])</f>
        <v>-1</v>
      </c>
      <c r="Q487" s="5">
        <v>64400</v>
      </c>
      <c r="R487" s="6">
        <f>Table1[[#This Row],[2023 U.S. Sales ($000)]]/SUMIF($E:$E, E487, $Q:$Q)</f>
        <v>1.9462753065655602E-3</v>
      </c>
      <c r="S487" s="8">
        <f>(Table1[[#This Row],[2023 Market share (%)]]-Table1[[#This Row],[2022 Market share (%)]])*10000</f>
        <v>-3.2521559738447978</v>
      </c>
      <c r="T487" s="10">
        <v>-6.3953488372093026E-2</v>
      </c>
      <c r="U487" s="5">
        <v>78</v>
      </c>
      <c r="V487" s="5">
        <f t="shared" si="56"/>
        <v>825.64102564102564</v>
      </c>
      <c r="W487" s="10">
        <v>-7.1428571428571425E-2</v>
      </c>
      <c r="X487" s="10">
        <f t="shared" si="57"/>
        <v>-0.11754953223150388</v>
      </c>
      <c r="Y487" s="8">
        <f>(Table1[[#This Row],[2023 Market share (%)]]-Table1[[#This Row],[2019 Market share (%)]])*10000</f>
        <v>-24.344067928618987</v>
      </c>
      <c r="Z487" s="10">
        <f t="shared" si="58"/>
        <v>-2.1327942396299537E-2</v>
      </c>
      <c r="AA487" s="10">
        <f t="shared" si="59"/>
        <v>-9.8318521600386677E-2</v>
      </c>
      <c r="AB487" s="5">
        <v>68800</v>
      </c>
      <c r="AC487" s="6">
        <f>Table1[[#This Row],[2022 U.S. Sales ($000)]]/SUMIF($E:$E, E487, $AB:$AB)</f>
        <v>2.27149090395004E-3</v>
      </c>
      <c r="AD487" s="5">
        <v>84</v>
      </c>
      <c r="AE487" s="5">
        <f t="shared" si="60"/>
        <v>819.04761904761904</v>
      </c>
      <c r="AF487" s="5">
        <v>74300</v>
      </c>
      <c r="AG487" s="6">
        <f>Table1[[#This Row],[2021 U.S. Sales ($000)]]/SUMIF($E:$E, E487, $AF:$AF)</f>
        <v>2.7107631086374616E-3</v>
      </c>
      <c r="AH487" s="5">
        <v>97</v>
      </c>
      <c r="AI487" s="12">
        <f t="shared" si="61"/>
        <v>765.97938144329896</v>
      </c>
      <c r="AJ487" s="5">
        <v>75800</v>
      </c>
      <c r="AK487" s="6">
        <f>Table1[[#This Row],[2020 U.S. Sales ($000)]]/SUMIF($E:$E, E487, $AJ:$AJ)</f>
        <v>3.2157291409162631E-3</v>
      </c>
      <c r="AL487" s="5">
        <v>100</v>
      </c>
      <c r="AM487" s="5">
        <f t="shared" si="62"/>
        <v>758</v>
      </c>
      <c r="AN487" s="5">
        <v>106200</v>
      </c>
      <c r="AO487" s="6">
        <f>Table1[[#This Row],[2019 U.S. Sales ($000)]]/SUMIF($E:$E, E487, $AN:$AN)</f>
        <v>4.3806820994274588E-3</v>
      </c>
      <c r="AP487" s="5">
        <v>118</v>
      </c>
      <c r="AQ487" s="5">
        <f t="shared" si="63"/>
        <v>900</v>
      </c>
    </row>
    <row r="488" spans="1:43" x14ac:dyDescent="0.25">
      <c r="A488" t="s">
        <v>553</v>
      </c>
      <c r="B488">
        <v>2400</v>
      </c>
      <c r="C488" t="s">
        <v>68</v>
      </c>
      <c r="D488" t="s">
        <v>69</v>
      </c>
      <c r="E488" t="s">
        <v>73</v>
      </c>
      <c r="F488" s="5">
        <v>460</v>
      </c>
      <c r="G488" s="5">
        <v>0</v>
      </c>
      <c r="H488" s="6">
        <f>Table1[[#This Row],[2024 U.S. Sales ($000)]]/SUMIF($E:$E, E488, $G:$G)</f>
        <v>0</v>
      </c>
      <c r="I488" s="5">
        <v>0</v>
      </c>
      <c r="J488" s="5" t="e">
        <f>Table1[[#This Row],[2024 U.S. Sales ($000)]]/Table1[[#This Row],[2024 U.S. Units]]</f>
        <v>#DIV/0!</v>
      </c>
      <c r="K488" s="6">
        <f>Table1[[#This Row],[2024 U.S. Units]]/Table1[[#This Row],[2023 U.S. Units]]-1</f>
        <v>-1</v>
      </c>
      <c r="L488" s="8">
        <f>(Table1[[#This Row],[2024 Market share (%)]]-Table1[[#This Row],[2023 Market share (%)]])*10000</f>
        <v>-68.262205537292758</v>
      </c>
      <c r="M488" s="6">
        <f>_xlfn.RRI(5,Table1[[#This Row],[2019 U.S. Sales ($000)]],Table1[[#This Row],[2024 U.S. Sales ($000)]])</f>
        <v>-1</v>
      </c>
      <c r="N488" s="9">
        <f>(Table1[[#This Row],[2024 Market share (%)]]-Table1[[#This Row],[2019 Market share (%)]])*10000</f>
        <v>-121.47412579193895</v>
      </c>
      <c r="O488" s="6" t="e">
        <f>IF(Table1[[#This Row],[2024 AUV]]=0,"",_xlfn.RRI(5,Table1[[#This Row],[2019 AUV]],Table1[[#This Row],[2024 AUV]]))</f>
        <v>#DIV/0!</v>
      </c>
      <c r="P488" s="6">
        <f>_xlfn.RRI(5,Table1[[#This Row],[2019 U.S. Units]],Table1[[#This Row],[2024 U.S. Units]])</f>
        <v>-1</v>
      </c>
      <c r="Q488" s="5">
        <v>65600</v>
      </c>
      <c r="R488" s="6">
        <f>Table1[[#This Row],[2023 U.S. Sales ($000)]]/SUMIF($E:$E, E488, $Q:$Q)</f>
        <v>6.826220553729276E-3</v>
      </c>
      <c r="S488" s="8">
        <f>(Table1[[#This Row],[2023 Market share (%)]]-Table1[[#This Row],[2022 Market share (%)]])*10000</f>
        <v>-12.313865460243353</v>
      </c>
      <c r="T488" s="10">
        <v>-0.11351351351351352</v>
      </c>
      <c r="U488" s="5">
        <v>30</v>
      </c>
      <c r="V488" s="5">
        <f t="shared" si="56"/>
        <v>2186.6666666666665</v>
      </c>
      <c r="W488" s="10">
        <v>-0.14285714285714285</v>
      </c>
      <c r="X488" s="10">
        <f t="shared" si="57"/>
        <v>-0.12281535713963843</v>
      </c>
      <c r="Y488" s="8">
        <f>(Table1[[#This Row],[2023 Market share (%)]]-Table1[[#This Row],[2019 Market share (%)]])*10000</f>
        <v>-53.211920254646181</v>
      </c>
      <c r="Z488" s="10">
        <f t="shared" si="58"/>
        <v>-3.3258208141803136E-3</v>
      </c>
      <c r="AA488" s="10">
        <f t="shared" si="59"/>
        <v>-0.11988826320660662</v>
      </c>
      <c r="AB488" s="5">
        <v>74000</v>
      </c>
      <c r="AC488" s="6">
        <f>Table1[[#This Row],[2022 U.S. Sales ($000)]]/SUMIF($E:$E, E488, $AB:$AB)</f>
        <v>8.0576070997536112E-3</v>
      </c>
      <c r="AD488" s="5">
        <v>35</v>
      </c>
      <c r="AE488" s="5">
        <f t="shared" si="60"/>
        <v>2114.2857142857142</v>
      </c>
      <c r="AF488" s="5">
        <v>76800</v>
      </c>
      <c r="AG488" s="6">
        <f>Table1[[#This Row],[2021 U.S. Sales ($000)]]/SUMIF($E:$E, E488, $AF:$AF)</f>
        <v>9.1718554926397047E-3</v>
      </c>
      <c r="AH488" s="5">
        <v>39</v>
      </c>
      <c r="AI488" s="12">
        <f t="shared" si="61"/>
        <v>1969.2307692307693</v>
      </c>
      <c r="AJ488" s="5">
        <v>68200</v>
      </c>
      <c r="AK488" s="6">
        <f>Table1[[#This Row],[2020 U.S. Sales ($000)]]/SUMIF($E:$E, E488, $AJ:$AJ)</f>
        <v>9.8856640332436619E-3</v>
      </c>
      <c r="AL488" s="5">
        <v>41</v>
      </c>
      <c r="AM488" s="5">
        <f t="shared" si="62"/>
        <v>1663.4146341463415</v>
      </c>
      <c r="AN488" s="5">
        <v>110800</v>
      </c>
      <c r="AO488" s="6">
        <f>Table1[[#This Row],[2019 U.S. Sales ($000)]]/SUMIF($E:$E, E488, $AN:$AN)</f>
        <v>1.2147412579193894E-2</v>
      </c>
      <c r="AP488" s="5">
        <v>50</v>
      </c>
      <c r="AQ488" s="5">
        <f t="shared" si="63"/>
        <v>2216</v>
      </c>
    </row>
    <row r="489" spans="1:43" x14ac:dyDescent="0.25">
      <c r="A489" t="s">
        <v>554</v>
      </c>
      <c r="B489">
        <v>1176</v>
      </c>
      <c r="C489" t="s">
        <v>68</v>
      </c>
      <c r="D489" t="s">
        <v>133</v>
      </c>
      <c r="E489" t="s">
        <v>107</v>
      </c>
      <c r="F489" s="5">
        <v>363</v>
      </c>
      <c r="G489" s="5">
        <v>0</v>
      </c>
      <c r="H489" s="6">
        <f>Table1[[#This Row],[2024 U.S. Sales ($000)]]/SUMIF($E:$E, E489, $G:$G)</f>
        <v>0</v>
      </c>
      <c r="I489" s="5">
        <v>0</v>
      </c>
      <c r="J489" s="5" t="e">
        <f>Table1[[#This Row],[2024 U.S. Sales ($000)]]/Table1[[#This Row],[2024 U.S. Units]]</f>
        <v>#DIV/0!</v>
      </c>
      <c r="K489" s="6">
        <f>Table1[[#This Row],[2024 U.S. Units]]/Table1[[#This Row],[2023 U.S. Units]]-1</f>
        <v>-1</v>
      </c>
      <c r="L489" s="8">
        <f>(Table1[[#This Row],[2024 Market share (%)]]-Table1[[#This Row],[2023 Market share (%)]])*10000</f>
        <v>-177.62866125903349</v>
      </c>
      <c r="M489" s="6">
        <f>_xlfn.RRI(5,Table1[[#This Row],[2019 U.S. Sales ($000)]],Table1[[#This Row],[2024 U.S. Sales ($000)]])</f>
        <v>-1</v>
      </c>
      <c r="N489" s="9">
        <f>(Table1[[#This Row],[2024 Market share (%)]]-Table1[[#This Row],[2019 Market share (%)]])*10000</f>
        <v>-306.59496064424991</v>
      </c>
      <c r="O489" s="6" t="e">
        <f>IF(Table1[[#This Row],[2024 AUV]]=0,"",_xlfn.RRI(5,Table1[[#This Row],[2019 AUV]],Table1[[#This Row],[2024 AUV]]))</f>
        <v>#DIV/0!</v>
      </c>
      <c r="P489" s="6">
        <f>_xlfn.RRI(5,Table1[[#This Row],[2019 U.S. Units]],Table1[[#This Row],[2024 U.S. Units]])</f>
        <v>-1</v>
      </c>
      <c r="Q489" s="5">
        <v>91400</v>
      </c>
      <c r="R489" s="6">
        <f>Table1[[#This Row],[2023 U.S. Sales ($000)]]/SUMIF($E:$E, E489, $Q:$Q)</f>
        <v>1.7762866125903349E-2</v>
      </c>
      <c r="S489" s="8">
        <f>(Table1[[#This Row],[2023 Market share (%)]]-Table1[[#This Row],[2022 Market share (%)]])*10000</f>
        <v>-15.389370991062725</v>
      </c>
      <c r="T489" s="10">
        <v>-9.3253968253968256E-2</v>
      </c>
      <c r="U489" s="5">
        <v>23</v>
      </c>
      <c r="V489" s="5">
        <f t="shared" si="56"/>
        <v>3973.913043478261</v>
      </c>
      <c r="W489" s="10">
        <v>-0.08</v>
      </c>
      <c r="X489" s="10">
        <f t="shared" si="57"/>
        <v>-0.1274735008753789</v>
      </c>
      <c r="Y489" s="8">
        <f>(Table1[[#This Row],[2023 Market share (%)]]-Table1[[#This Row],[2019 Market share (%)]])*10000</f>
        <v>-128.96629938521642</v>
      </c>
      <c r="Z489" s="10">
        <f t="shared" si="58"/>
        <v>-3.091096941875382E-2</v>
      </c>
      <c r="AA489" s="10">
        <f t="shared" si="59"/>
        <v>-9.9642580206184106E-2</v>
      </c>
      <c r="AB489" s="5">
        <v>100800</v>
      </c>
      <c r="AC489" s="6">
        <f>Table1[[#This Row],[2022 U.S. Sales ($000)]]/SUMIF($E:$E, E489, $AB:$AB)</f>
        <v>1.9301803225009621E-2</v>
      </c>
      <c r="AD489" s="5">
        <v>25</v>
      </c>
      <c r="AE489" s="5">
        <f t="shared" si="60"/>
        <v>4032</v>
      </c>
      <c r="AF489" s="5">
        <v>93500</v>
      </c>
      <c r="AG489" s="6">
        <f>Table1[[#This Row],[2021 U.S. Sales ($000)]]/SUMIF($E:$E, E489, $AF:$AF)</f>
        <v>1.9420234347187263E-2</v>
      </c>
      <c r="AH489" s="5">
        <v>26</v>
      </c>
      <c r="AI489" s="12">
        <f t="shared" si="61"/>
        <v>3596.1538461538462</v>
      </c>
      <c r="AJ489" s="5">
        <v>65400</v>
      </c>
      <c r="AK489" s="6">
        <f>Table1[[#This Row],[2020 U.S. Sales ($000)]]/SUMIF($E:$E, E489, $AJ:$AJ)</f>
        <v>1.919777376274898E-2</v>
      </c>
      <c r="AL489" s="5">
        <v>29</v>
      </c>
      <c r="AM489" s="5">
        <f t="shared" si="62"/>
        <v>2255.1724137931033</v>
      </c>
      <c r="AN489" s="5">
        <v>157700</v>
      </c>
      <c r="AO489" s="6">
        <f>Table1[[#This Row],[2019 U.S. Sales ($000)]]/SUMIF($E:$E, E489, $AN:$AN)</f>
        <v>3.0659496064424991E-2</v>
      </c>
      <c r="AP489" s="5">
        <v>35</v>
      </c>
      <c r="AQ489" s="5">
        <f t="shared" si="63"/>
        <v>4505.7142857142853</v>
      </c>
    </row>
    <row r="490" spans="1:43" x14ac:dyDescent="0.25">
      <c r="A490" t="s">
        <v>555</v>
      </c>
      <c r="B490">
        <v>1674</v>
      </c>
      <c r="C490" t="s">
        <v>68</v>
      </c>
      <c r="D490" t="s">
        <v>69</v>
      </c>
      <c r="E490" t="s">
        <v>107</v>
      </c>
      <c r="F490" s="5">
        <v>344</v>
      </c>
      <c r="G490" s="5">
        <v>0</v>
      </c>
      <c r="H490" s="6">
        <f>Table1[[#This Row],[2024 U.S. Sales ($000)]]/SUMIF($E:$E, E490, $G:$G)</f>
        <v>0</v>
      </c>
      <c r="I490" s="5">
        <v>0</v>
      </c>
      <c r="J490" s="5" t="e">
        <f>Table1[[#This Row],[2024 U.S. Sales ($000)]]/Table1[[#This Row],[2024 U.S. Units]]</f>
        <v>#DIV/0!</v>
      </c>
      <c r="K490" s="6">
        <f>Table1[[#This Row],[2024 U.S. Units]]/Table1[[#This Row],[2023 U.S. Units]]-1</f>
        <v>-1</v>
      </c>
      <c r="L490" s="8">
        <f>(Table1[[#This Row],[2024 Market share (%)]]-Table1[[#This Row],[2023 Market share (%)]])*10000</f>
        <v>-187.54010734679139</v>
      </c>
      <c r="M490" s="6">
        <f>_xlfn.RRI(5,Table1[[#This Row],[2019 U.S. Sales ($000)]],Table1[[#This Row],[2024 U.S. Sales ($000)]])</f>
        <v>-1</v>
      </c>
      <c r="N490" s="9">
        <f>(Table1[[#This Row],[2024 Market share (%)]]-Table1[[#This Row],[2019 Market share (%)]])*10000</f>
        <v>-323.89803705346884</v>
      </c>
      <c r="O490" s="6" t="e">
        <f>IF(Table1[[#This Row],[2024 AUV]]=0,"",_xlfn.RRI(5,Table1[[#This Row],[2019 AUV]],Table1[[#This Row],[2024 AUV]]))</f>
        <v>#DIV/0!</v>
      </c>
      <c r="P490" s="6">
        <f>_xlfn.RRI(5,Table1[[#This Row],[2019 U.S. Units]],Table1[[#This Row],[2024 U.S. Units]])</f>
        <v>-1</v>
      </c>
      <c r="Q490" s="5">
        <v>96500</v>
      </c>
      <c r="R490" s="6">
        <f>Table1[[#This Row],[2023 U.S. Sales ($000)]]/SUMIF($E:$E, E490, $Q:$Q)</f>
        <v>1.8754010734679138E-2</v>
      </c>
      <c r="S490" s="8">
        <f>(Table1[[#This Row],[2023 Market share (%)]]-Table1[[#This Row],[2022 Market share (%)]])*10000</f>
        <v>-35.54124937082976</v>
      </c>
      <c r="T490" s="10">
        <v>-0.17167381974248927</v>
      </c>
      <c r="U490" s="5">
        <v>30</v>
      </c>
      <c r="V490" s="5">
        <f t="shared" si="56"/>
        <v>3216.6666666666665</v>
      </c>
      <c r="W490" s="10">
        <v>-0.1891891891891892</v>
      </c>
      <c r="X490" s="10">
        <f t="shared" si="57"/>
        <v>-0.12760517828258322</v>
      </c>
      <c r="Y490" s="8">
        <f>(Table1[[#This Row],[2023 Market share (%)]]-Table1[[#This Row],[2019 Market share (%)]])*10000</f>
        <v>-136.35792970667748</v>
      </c>
      <c r="Z490" s="10">
        <f t="shared" si="58"/>
        <v>5.777075936703735E-3</v>
      </c>
      <c r="AA490" s="10">
        <f t="shared" si="59"/>
        <v>-0.13261612081888519</v>
      </c>
      <c r="AB490" s="5">
        <v>116500</v>
      </c>
      <c r="AC490" s="6">
        <f>Table1[[#This Row],[2022 U.S. Sales ($000)]]/SUMIF($E:$E, E490, $AB:$AB)</f>
        <v>2.2308135671762114E-2</v>
      </c>
      <c r="AD490" s="5">
        <v>37</v>
      </c>
      <c r="AE490" s="5">
        <f t="shared" si="60"/>
        <v>3148.6486486486488</v>
      </c>
      <c r="AF490" s="5">
        <v>122800</v>
      </c>
      <c r="AG490" s="6">
        <f>Table1[[#This Row],[2021 U.S. Sales ($000)]]/SUMIF($E:$E, E490, $AF:$AF)</f>
        <v>2.5505933452776429E-2</v>
      </c>
      <c r="AH490" s="5">
        <v>42</v>
      </c>
      <c r="AI490" s="12">
        <f t="shared" si="61"/>
        <v>2923.8095238095239</v>
      </c>
      <c r="AJ490" s="5">
        <v>95500</v>
      </c>
      <c r="AK490" s="6">
        <f>Table1[[#This Row],[2020 U.S. Sales ($000)]]/SUMIF($E:$E, E490, $AJ:$AJ)</f>
        <v>2.8033446396674735E-2</v>
      </c>
      <c r="AL490" s="5">
        <v>47</v>
      </c>
      <c r="AM490" s="5">
        <f t="shared" si="62"/>
        <v>2031.9148936170213</v>
      </c>
      <c r="AN490" s="5">
        <v>166600</v>
      </c>
      <c r="AO490" s="6">
        <f>Table1[[#This Row],[2019 U.S. Sales ($000)]]/SUMIF($E:$E, E490, $AN:$AN)</f>
        <v>3.2389803705346887E-2</v>
      </c>
      <c r="AP490" s="5">
        <v>53</v>
      </c>
      <c r="AQ490" s="5">
        <f t="shared" si="63"/>
        <v>3143.3962264150941</v>
      </c>
    </row>
    <row r="491" spans="1:43" x14ac:dyDescent="0.25">
      <c r="A491" t="s">
        <v>556</v>
      </c>
      <c r="B491">
        <v>5878</v>
      </c>
      <c r="C491" t="s">
        <v>68</v>
      </c>
      <c r="D491" t="s">
        <v>69</v>
      </c>
      <c r="E491" t="s">
        <v>79</v>
      </c>
      <c r="F491" s="5">
        <v>366</v>
      </c>
      <c r="G491" s="5">
        <v>0</v>
      </c>
      <c r="H491" s="6">
        <f>Table1[[#This Row],[2024 U.S. Sales ($000)]]/SUMIF($E:$E, E491, $G:$G)</f>
        <v>0</v>
      </c>
      <c r="I491" s="5">
        <v>0</v>
      </c>
      <c r="J491" s="5" t="e">
        <f>Table1[[#This Row],[2024 U.S. Sales ($000)]]/Table1[[#This Row],[2024 U.S. Units]]</f>
        <v>#DIV/0!</v>
      </c>
      <c r="K491" s="6">
        <f>Table1[[#This Row],[2024 U.S. Units]]/Table1[[#This Row],[2023 U.S. Units]]-1</f>
        <v>-1</v>
      </c>
      <c r="L491" s="8">
        <f>(Table1[[#This Row],[2024 Market share (%)]]-Table1[[#This Row],[2023 Market share (%)]])*10000</f>
        <v>-37.475097093250724</v>
      </c>
      <c r="M491" s="6">
        <f>_xlfn.RRI(5,Table1[[#This Row],[2019 U.S. Sales ($000)]],Table1[[#This Row],[2024 U.S. Sales ($000)]])</f>
        <v>-1</v>
      </c>
      <c r="N491" s="9">
        <f>(Table1[[#This Row],[2024 Market share (%)]]-Table1[[#This Row],[2019 Market share (%)]])*10000</f>
        <v>-68.967431870905571</v>
      </c>
      <c r="O491" s="6" t="e">
        <f>IF(Table1[[#This Row],[2024 AUV]]=0,"",_xlfn.RRI(5,Table1[[#This Row],[2019 AUV]],Table1[[#This Row],[2024 AUV]]))</f>
        <v>#DIV/0!</v>
      </c>
      <c r="P491" s="6">
        <f>_xlfn.RRI(5,Table1[[#This Row],[2019 U.S. Units]],Table1[[#This Row],[2024 U.S. Units]])</f>
        <v>-1</v>
      </c>
      <c r="Q491" s="5">
        <v>90400</v>
      </c>
      <c r="R491" s="6">
        <f>Table1[[#This Row],[2023 U.S. Sales ($000)]]/SUMIF($E:$E, E491, $Q:$Q)</f>
        <v>3.7475097093250726E-3</v>
      </c>
      <c r="S491" s="8">
        <f>(Table1[[#This Row],[2023 Market share (%)]]-Table1[[#This Row],[2022 Market share (%)]])*10000</f>
        <v>-8.5345464770142687</v>
      </c>
      <c r="T491" s="10">
        <v>-0.16451016635859519</v>
      </c>
      <c r="U491" s="5">
        <v>7</v>
      </c>
      <c r="V491" s="5">
        <f t="shared" si="56"/>
        <v>12914.285714285714</v>
      </c>
      <c r="W491" s="10">
        <v>-0.22222222222222221</v>
      </c>
      <c r="X491" s="10">
        <f t="shared" si="57"/>
        <v>-0.12959381564365857</v>
      </c>
      <c r="Y491" s="8">
        <f>(Table1[[#This Row],[2023 Market share (%)]]-Table1[[#This Row],[2019 Market share (%)]])*10000</f>
        <v>-31.49233477765485</v>
      </c>
      <c r="Z491" s="10">
        <f t="shared" si="58"/>
        <v>1.609261793327077E-2</v>
      </c>
      <c r="AA491" s="10">
        <f t="shared" si="59"/>
        <v>-0.14337908868313121</v>
      </c>
      <c r="AB491" s="5">
        <v>108200</v>
      </c>
      <c r="AC491" s="6">
        <f>Table1[[#This Row],[2022 U.S. Sales ($000)]]/SUMIF($E:$E, E491, $AB:$AB)</f>
        <v>4.6009643570264994E-3</v>
      </c>
      <c r="AD491" s="5">
        <v>9</v>
      </c>
      <c r="AE491" s="5">
        <f t="shared" si="60"/>
        <v>12022.222222222223</v>
      </c>
      <c r="AF491" s="5">
        <v>100000</v>
      </c>
      <c r="AG491" s="6">
        <f>Table1[[#This Row],[2021 U.S. Sales ($000)]]/SUMIF($E:$E, E491, $AF:$AF)</f>
        <v>4.6040293083297714E-3</v>
      </c>
      <c r="AH491" s="5">
        <v>9</v>
      </c>
      <c r="AI491" s="12">
        <f t="shared" si="61"/>
        <v>11111.111111111111</v>
      </c>
      <c r="AJ491" s="5">
        <v>81900</v>
      </c>
      <c r="AK491" s="6">
        <f>Table1[[#This Row],[2020 U.S. Sales ($000)]]/SUMIF($E:$E, E491, $AJ:$AJ)</f>
        <v>5.0225995515720094E-3</v>
      </c>
      <c r="AL491" s="5">
        <v>11</v>
      </c>
      <c r="AM491" s="5">
        <f t="shared" si="62"/>
        <v>7445.454545454545</v>
      </c>
      <c r="AN491" s="5">
        <v>157500</v>
      </c>
      <c r="AO491" s="6">
        <f>Table1[[#This Row],[2019 U.S. Sales ($000)]]/SUMIF($E:$E, E491, $AN:$AN)</f>
        <v>6.8967431870905578E-3</v>
      </c>
      <c r="AP491" s="5">
        <v>13</v>
      </c>
      <c r="AQ491" s="5">
        <f t="shared" si="63"/>
        <v>12115.384615384615</v>
      </c>
    </row>
    <row r="492" spans="1:43" x14ac:dyDescent="0.25">
      <c r="A492" t="s">
        <v>557</v>
      </c>
      <c r="B492">
        <v>5193</v>
      </c>
      <c r="C492" t="s">
        <v>68</v>
      </c>
      <c r="D492" t="s">
        <v>69</v>
      </c>
      <c r="E492" t="s">
        <v>73</v>
      </c>
      <c r="F492" s="5">
        <v>445</v>
      </c>
      <c r="G492" s="5">
        <v>0</v>
      </c>
      <c r="H492" s="6">
        <f>Table1[[#This Row],[2024 U.S. Sales ($000)]]/SUMIF($E:$E, E492, $G:$G)</f>
        <v>0</v>
      </c>
      <c r="I492" s="5">
        <v>0</v>
      </c>
      <c r="J492" s="5" t="e">
        <f>Table1[[#This Row],[2024 U.S. Sales ($000)]]/Table1[[#This Row],[2024 U.S. Units]]</f>
        <v>#DIV/0!</v>
      </c>
      <c r="K492" s="6">
        <f>Table1[[#This Row],[2024 U.S. Units]]/Table1[[#This Row],[2023 U.S. Units]]-1</f>
        <v>-1</v>
      </c>
      <c r="L492" s="8">
        <f>(Table1[[#This Row],[2024 Market share (%)]]-Table1[[#This Row],[2023 Market share (%)]])*10000</f>
        <v>-71.800185702335369</v>
      </c>
      <c r="M492" s="6">
        <f>_xlfn.RRI(5,Table1[[#This Row],[2019 U.S. Sales ($000)]],Table1[[#This Row],[2024 U.S. Sales ($000)]])</f>
        <v>-1</v>
      </c>
      <c r="N492" s="9">
        <f>(Table1[[#This Row],[2024 Market share (%)]]-Table1[[#This Row],[2019 Market share (%)]])*10000</f>
        <v>-133.20493035848901</v>
      </c>
      <c r="O492" s="6" t="e">
        <f>IF(Table1[[#This Row],[2024 AUV]]=0,"",_xlfn.RRI(5,Table1[[#This Row],[2019 AUV]],Table1[[#This Row],[2024 AUV]]))</f>
        <v>#DIV/0!</v>
      </c>
      <c r="P492" s="6">
        <f>_xlfn.RRI(5,Table1[[#This Row],[2019 U.S. Units]],Table1[[#This Row],[2024 U.S. Units]])</f>
        <v>-1</v>
      </c>
      <c r="Q492" s="5">
        <v>69000</v>
      </c>
      <c r="R492" s="6">
        <f>Table1[[#This Row],[2023 U.S. Sales ($000)]]/SUMIF($E:$E, E492, $Q:$Q)</f>
        <v>7.1800185702335373E-3</v>
      </c>
      <c r="S492" s="8">
        <f>(Table1[[#This Row],[2023 Market share (%)]]-Table1[[#This Row],[2022 Market share (%)]])*10000</f>
        <v>-9.6469779546335719</v>
      </c>
      <c r="T492" s="10">
        <v>-7.7540106951871662E-2</v>
      </c>
      <c r="U492" s="5">
        <v>26</v>
      </c>
      <c r="V492" s="5">
        <f t="shared" si="56"/>
        <v>2653.8461538461538</v>
      </c>
      <c r="W492" s="10">
        <v>-3.7037037037037035E-2</v>
      </c>
      <c r="X492" s="10">
        <f t="shared" si="57"/>
        <v>-0.13190310428659402</v>
      </c>
      <c r="Y492" s="8">
        <f>(Table1[[#This Row],[2023 Market share (%)]]-Table1[[#This Row],[2019 Market share (%)]])*10000</f>
        <v>-61.404744656153625</v>
      </c>
      <c r="Z492" s="10">
        <f t="shared" si="58"/>
        <v>-9.8795390928506643E-3</v>
      </c>
      <c r="AA492" s="10">
        <f t="shared" si="59"/>
        <v>-0.12324113076296317</v>
      </c>
      <c r="AB492" s="5">
        <v>74800</v>
      </c>
      <c r="AC492" s="6">
        <f>Table1[[#This Row],[2022 U.S. Sales ($000)]]/SUMIF($E:$E, E492, $AB:$AB)</f>
        <v>8.1447163656968944E-3</v>
      </c>
      <c r="AD492" s="5">
        <v>27</v>
      </c>
      <c r="AE492" s="5">
        <f t="shared" si="60"/>
        <v>2770.3703703703704</v>
      </c>
      <c r="AF492" s="5">
        <v>78900</v>
      </c>
      <c r="AG492" s="6">
        <f>Table1[[#This Row],[2021 U.S. Sales ($000)]]/SUMIF($E:$E, E492, $AF:$AF)</f>
        <v>9.422648416266572E-3</v>
      </c>
      <c r="AH492" s="5">
        <v>31</v>
      </c>
      <c r="AI492" s="12">
        <f t="shared" si="61"/>
        <v>2545.1612903225805</v>
      </c>
      <c r="AJ492" s="5">
        <v>69200</v>
      </c>
      <c r="AK492" s="6">
        <f>Table1[[#This Row],[2020 U.S. Sales ($000)]]/SUMIF($E:$E, E492, $AJ:$AJ)</f>
        <v>1.0030615118775094E-2</v>
      </c>
      <c r="AL492" s="5">
        <v>32</v>
      </c>
      <c r="AM492" s="5">
        <f t="shared" si="62"/>
        <v>2162.5</v>
      </c>
      <c r="AN492" s="5">
        <v>121500</v>
      </c>
      <c r="AO492" s="6">
        <f>Table1[[#This Row],[2019 U.S. Sales ($000)]]/SUMIF($E:$E, E492, $AN:$AN)</f>
        <v>1.3320493035848899E-2</v>
      </c>
      <c r="AP492" s="5">
        <v>44</v>
      </c>
      <c r="AQ492" s="5">
        <f t="shared" si="63"/>
        <v>2761.3636363636365</v>
      </c>
    </row>
    <row r="493" spans="1:43" x14ac:dyDescent="0.25">
      <c r="A493" t="s">
        <v>558</v>
      </c>
      <c r="B493">
        <v>5965</v>
      </c>
      <c r="C493" t="s">
        <v>44</v>
      </c>
      <c r="D493" t="s">
        <v>45</v>
      </c>
      <c r="E493" t="s">
        <v>59</v>
      </c>
      <c r="F493" s="5">
        <v>319</v>
      </c>
      <c r="G493" s="5">
        <v>0</v>
      </c>
      <c r="H493" s="6">
        <f>Table1[[#This Row],[2024 U.S. Sales ($000)]]/SUMIF($E:$E, E493, $G:$G)</f>
        <v>0</v>
      </c>
      <c r="I493" s="5">
        <v>0</v>
      </c>
      <c r="J493" s="5" t="e">
        <f>Table1[[#This Row],[2024 U.S. Sales ($000)]]/Table1[[#This Row],[2024 U.S. Units]]</f>
        <v>#DIV/0!</v>
      </c>
      <c r="K493" s="6">
        <f>Table1[[#This Row],[2024 U.S. Units]]/Table1[[#This Row],[2023 U.S. Units]]-1</f>
        <v>-1</v>
      </c>
      <c r="L493" s="8">
        <f>(Table1[[#This Row],[2024 Market share (%)]]-Table1[[#This Row],[2023 Market share (%)]])*10000</f>
        <v>-28.010958268120046</v>
      </c>
      <c r="M493" s="6">
        <f>_xlfn.RRI(5,Table1[[#This Row],[2019 U.S. Sales ($000)]],Table1[[#This Row],[2024 U.S. Sales ($000)]])</f>
        <v>-1</v>
      </c>
      <c r="N493" s="9">
        <f>(Table1[[#This Row],[2024 Market share (%)]]-Table1[[#This Row],[2019 Market share (%)]])*10000</f>
        <v>-57.278586882462747</v>
      </c>
      <c r="O493" s="6" t="e">
        <f>IF(Table1[[#This Row],[2024 AUV]]=0,"",_xlfn.RRI(5,Table1[[#This Row],[2019 AUV]],Table1[[#This Row],[2024 AUV]]))</f>
        <v>#DIV/0!</v>
      </c>
      <c r="P493" s="6">
        <f>_xlfn.RRI(5,Table1[[#This Row],[2019 U.S. Units]],Table1[[#This Row],[2024 U.S. Units]])</f>
        <v>-1</v>
      </c>
      <c r="Q493" s="5">
        <v>105800</v>
      </c>
      <c r="R493" s="6">
        <f>Table1[[#This Row],[2023 U.S. Sales ($000)]]/SUMIF($E:$E, E493, $Q:$Q)</f>
        <v>2.8010958268120047E-3</v>
      </c>
      <c r="S493" s="8">
        <f>(Table1[[#This Row],[2023 Market share (%)]]-Table1[[#This Row],[2022 Market share (%)]])*10000</f>
        <v>-6.4764965289298067</v>
      </c>
      <c r="T493" s="10">
        <v>-0.14262560777957861</v>
      </c>
      <c r="U493" s="5">
        <v>187</v>
      </c>
      <c r="V493" s="5">
        <f t="shared" si="56"/>
        <v>565.77540106951869</v>
      </c>
      <c r="W493" s="10">
        <v>-0.15</v>
      </c>
      <c r="X493" s="10">
        <f t="shared" si="57"/>
        <v>-0.13283254555027724</v>
      </c>
      <c r="Y493" s="8">
        <f>(Table1[[#This Row],[2023 Market share (%)]]-Table1[[#This Row],[2019 Market share (%)]])*10000</f>
        <v>-29.267628614342701</v>
      </c>
      <c r="Z493" s="10">
        <f t="shared" si="58"/>
        <v>1.8603274363242051E-2</v>
      </c>
      <c r="AA493" s="10">
        <f t="shared" si="59"/>
        <v>-0.14867006981514586</v>
      </c>
      <c r="AB493" s="5">
        <v>123400</v>
      </c>
      <c r="AC493" s="6">
        <f>Table1[[#This Row],[2022 U.S. Sales ($000)]]/SUMIF($E:$E, E493, $AB:$AB)</f>
        <v>3.4487454797049854E-3</v>
      </c>
      <c r="AD493" s="5">
        <v>220</v>
      </c>
      <c r="AE493" s="5">
        <f t="shared" si="60"/>
        <v>560.90909090909088</v>
      </c>
      <c r="AF493" s="5">
        <v>139400</v>
      </c>
      <c r="AG493" s="6">
        <f>Table1[[#This Row],[2021 U.S. Sales ($000)]]/SUMIF($E:$E, E493, $AF:$AF)</f>
        <v>4.2015598577304809E-3</v>
      </c>
      <c r="AH493" s="5">
        <v>264</v>
      </c>
      <c r="AI493" s="12">
        <f t="shared" si="61"/>
        <v>528.030303030303</v>
      </c>
      <c r="AJ493" s="5">
        <v>141700</v>
      </c>
      <c r="AK493" s="6">
        <f>Table1[[#This Row],[2020 U.S. Sales ($000)]]/SUMIF($E:$E, E493, $AJ:$AJ)</f>
        <v>4.9755163862680524E-3</v>
      </c>
      <c r="AL493" s="5">
        <v>288</v>
      </c>
      <c r="AM493" s="5">
        <f t="shared" si="62"/>
        <v>492.01388888888891</v>
      </c>
      <c r="AN493" s="5">
        <v>187100</v>
      </c>
      <c r="AO493" s="6">
        <f>Table1[[#This Row],[2019 U.S. Sales ($000)]]/SUMIF($E:$E, E493, $AN:$AN)</f>
        <v>5.7278586882462748E-3</v>
      </c>
      <c r="AP493" s="5">
        <v>356</v>
      </c>
      <c r="AQ493" s="5">
        <f t="shared" si="63"/>
        <v>525.56179775280896</v>
      </c>
    </row>
    <row r="494" spans="1:43" x14ac:dyDescent="0.25">
      <c r="A494" t="s">
        <v>559</v>
      </c>
      <c r="B494">
        <v>513</v>
      </c>
      <c r="C494" t="s">
        <v>68</v>
      </c>
      <c r="D494" t="s">
        <v>69</v>
      </c>
      <c r="E494" t="s">
        <v>79</v>
      </c>
      <c r="F494" s="5">
        <v>377</v>
      </c>
      <c r="G494" s="5">
        <v>0</v>
      </c>
      <c r="H494" s="6">
        <f>Table1[[#This Row],[2024 U.S. Sales ($000)]]/SUMIF($E:$E, E494, $G:$G)</f>
        <v>0</v>
      </c>
      <c r="I494" s="5">
        <v>0</v>
      </c>
      <c r="J494" s="5" t="e">
        <f>Table1[[#This Row],[2024 U.S. Sales ($000)]]/Table1[[#This Row],[2024 U.S. Units]]</f>
        <v>#DIV/0!</v>
      </c>
      <c r="K494" s="6">
        <f>Table1[[#This Row],[2024 U.S. Units]]/Table1[[#This Row],[2023 U.S. Units]]-1</f>
        <v>-1</v>
      </c>
      <c r="L494" s="8">
        <f>(Table1[[#This Row],[2024 Market share (%)]]-Table1[[#This Row],[2023 Market share (%)]])*10000</f>
        <v>-34.448900093463884</v>
      </c>
      <c r="M494" s="6">
        <f>_xlfn.RRI(5,Table1[[#This Row],[2019 U.S. Sales ($000)]],Table1[[#This Row],[2024 U.S. Sales ($000)]])</f>
        <v>-1</v>
      </c>
      <c r="N494" s="9">
        <f>(Table1[[#This Row],[2024 Market share (%)]]-Table1[[#This Row],[2019 Market share (%)]])*10000</f>
        <v>-64.369603079511876</v>
      </c>
      <c r="O494" s="6" t="e">
        <f>IF(Table1[[#This Row],[2024 AUV]]=0,"",_xlfn.RRI(5,Table1[[#This Row],[2019 AUV]],Table1[[#This Row],[2024 AUV]]))</f>
        <v>#DIV/0!</v>
      </c>
      <c r="P494" s="6">
        <f>_xlfn.RRI(5,Table1[[#This Row],[2019 U.S. Units]],Table1[[#This Row],[2024 U.S. Units]])</f>
        <v>-1</v>
      </c>
      <c r="Q494" s="5">
        <v>83100</v>
      </c>
      <c r="R494" s="6">
        <f>Table1[[#This Row],[2023 U.S. Sales ($000)]]/SUMIF($E:$E, E494, $Q:$Q)</f>
        <v>3.4448900093463886E-3</v>
      </c>
      <c r="S494" s="8">
        <f>(Table1[[#This Row],[2023 Market share (%)]]-Table1[[#This Row],[2022 Market share (%)]])*10000</f>
        <v>-4.4169171183865803</v>
      </c>
      <c r="T494" s="10">
        <v>-9.0809628008752738E-2</v>
      </c>
      <c r="U494" s="5">
        <v>31</v>
      </c>
      <c r="V494" s="5">
        <f t="shared" si="56"/>
        <v>2680.6451612903224</v>
      </c>
      <c r="W494" s="10">
        <v>-8.8235294117647065E-2</v>
      </c>
      <c r="X494" s="10">
        <f t="shared" si="57"/>
        <v>-0.13289653387381517</v>
      </c>
      <c r="Y494" s="8">
        <f>(Table1[[#This Row],[2023 Market share (%)]]-Table1[[#This Row],[2019 Market share (%)]])*10000</f>
        <v>-29.920702986047989</v>
      </c>
      <c r="Z494" s="10">
        <f t="shared" si="58"/>
        <v>-4.822645930378977E-2</v>
      </c>
      <c r="AA494" s="10">
        <f t="shared" si="59"/>
        <v>-8.8960315610465801E-2</v>
      </c>
      <c r="AB494" s="5">
        <v>91400</v>
      </c>
      <c r="AC494" s="6">
        <f>Table1[[#This Row],[2022 U.S. Sales ($000)]]/SUMIF($E:$E, E494, $AB:$AB)</f>
        <v>3.8865817211850466E-3</v>
      </c>
      <c r="AD494" s="5">
        <v>34</v>
      </c>
      <c r="AE494" s="5">
        <f t="shared" si="60"/>
        <v>2688.2352941176468</v>
      </c>
      <c r="AF494" s="5">
        <v>93800</v>
      </c>
      <c r="AG494" s="6">
        <f>Table1[[#This Row],[2021 U.S. Sales ($000)]]/SUMIF($E:$E, E494, $AF:$AF)</f>
        <v>4.3185794912133256E-3</v>
      </c>
      <c r="AH494" s="5">
        <v>38</v>
      </c>
      <c r="AI494" s="12">
        <f t="shared" si="61"/>
        <v>2468.4210526315787</v>
      </c>
      <c r="AJ494" s="5">
        <v>85000</v>
      </c>
      <c r="AK494" s="6">
        <f>Table1[[#This Row],[2020 U.S. Sales ($000)]]/SUMIF($E:$E, E494, $AJ:$AJ)</f>
        <v>5.2127101573091672E-3</v>
      </c>
      <c r="AL494" s="5">
        <v>40</v>
      </c>
      <c r="AM494" s="5">
        <f t="shared" si="62"/>
        <v>2125</v>
      </c>
      <c r="AN494" s="5">
        <v>147000</v>
      </c>
      <c r="AO494" s="6">
        <f>Table1[[#This Row],[2019 U.S. Sales ($000)]]/SUMIF($E:$E, E494, $AN:$AN)</f>
        <v>6.4369603079511874E-3</v>
      </c>
      <c r="AP494" s="5">
        <v>45</v>
      </c>
      <c r="AQ494" s="5">
        <f t="shared" si="63"/>
        <v>3266.6666666666665</v>
      </c>
    </row>
    <row r="495" spans="1:43" x14ac:dyDescent="0.25">
      <c r="A495" t="s">
        <v>560</v>
      </c>
      <c r="B495">
        <v>959</v>
      </c>
      <c r="C495" t="s">
        <v>44</v>
      </c>
      <c r="D495" t="s">
        <v>45</v>
      </c>
      <c r="E495" t="s">
        <v>59</v>
      </c>
      <c r="F495" s="5">
        <v>446</v>
      </c>
      <c r="G495" s="5">
        <v>0</v>
      </c>
      <c r="H495" s="6">
        <f>Table1[[#This Row],[2024 U.S. Sales ($000)]]/SUMIF($E:$E, E495, $G:$G)</f>
        <v>0</v>
      </c>
      <c r="I495" s="5">
        <v>0</v>
      </c>
      <c r="J495" s="5" t="e">
        <f>Table1[[#This Row],[2024 U.S. Sales ($000)]]/Table1[[#This Row],[2024 U.S. Units]]</f>
        <v>#DIV/0!</v>
      </c>
      <c r="K495" s="6">
        <f>Table1[[#This Row],[2024 U.S. Units]]/Table1[[#This Row],[2023 U.S. Units]]-1</f>
        <v>-1</v>
      </c>
      <c r="L495" s="8">
        <f>(Table1[[#This Row],[2024 Market share (%)]]-Table1[[#This Row],[2023 Market share (%)]])*10000</f>
        <v>-18.162114718270654</v>
      </c>
      <c r="M495" s="6">
        <f>_xlfn.RRI(5,Table1[[#This Row],[2019 U.S. Sales ($000)]],Table1[[#This Row],[2024 U.S. Sales ($000)]])</f>
        <v>-1</v>
      </c>
      <c r="N495" s="9">
        <f>(Table1[[#This Row],[2024 Market share (%)]]-Table1[[#This Row],[2019 Market share (%)]])*10000</f>
        <v>-37.226489390205614</v>
      </c>
      <c r="O495" s="6" t="e">
        <f>IF(Table1[[#This Row],[2024 AUV]]=0,"",_xlfn.RRI(5,Table1[[#This Row],[2019 AUV]],Table1[[#This Row],[2024 AUV]]))</f>
        <v>#DIV/0!</v>
      </c>
      <c r="P495" s="6">
        <f>_xlfn.RRI(5,Table1[[#This Row],[2019 U.S. Units]],Table1[[#This Row],[2024 U.S. Units]])</f>
        <v>-1</v>
      </c>
      <c r="Q495" s="5">
        <v>68600</v>
      </c>
      <c r="R495" s="6">
        <f>Table1[[#This Row],[2023 U.S. Sales ($000)]]/SUMIF($E:$E, E495, $Q:$Q)</f>
        <v>1.8162114718270653E-3</v>
      </c>
      <c r="S495" s="8">
        <f>(Table1[[#This Row],[2023 Market share (%)]]-Table1[[#This Row],[2022 Market share (%)]])*10000</f>
        <v>-3.1340283573792567</v>
      </c>
      <c r="T495" s="10">
        <v>-9.9737532808398949E-2</v>
      </c>
      <c r="U495" s="5">
        <v>157</v>
      </c>
      <c r="V495" s="5">
        <f t="shared" si="56"/>
        <v>436.94267515923565</v>
      </c>
      <c r="W495" s="10">
        <v>-5.4216867469879519E-2</v>
      </c>
      <c r="X495" s="10">
        <f t="shared" si="57"/>
        <v>-0.13334222967247145</v>
      </c>
      <c r="Y495" s="8">
        <f>(Table1[[#This Row],[2023 Market share (%)]]-Table1[[#This Row],[2019 Market share (%)]])*10000</f>
        <v>-19.06437467193496</v>
      </c>
      <c r="Z495" s="10">
        <f t="shared" si="58"/>
        <v>1.5260039159794569E-3</v>
      </c>
      <c r="AA495" s="10">
        <f t="shared" si="59"/>
        <v>-0.13466273772334869</v>
      </c>
      <c r="AB495" s="5">
        <v>76200</v>
      </c>
      <c r="AC495" s="6">
        <f>Table1[[#This Row],[2022 U.S. Sales ($000)]]/SUMIF($E:$E, E495, $AB:$AB)</f>
        <v>2.129614307564991E-3</v>
      </c>
      <c r="AD495" s="5">
        <v>166</v>
      </c>
      <c r="AE495" s="5">
        <f t="shared" si="60"/>
        <v>459.03614457831327</v>
      </c>
      <c r="AF495" s="5">
        <v>87300</v>
      </c>
      <c r="AG495" s="6">
        <f>Table1[[#This Row],[2021 U.S. Sales ($000)]]/SUMIF($E:$E, E495, $AF:$AF)</f>
        <v>2.6312494661396772E-3</v>
      </c>
      <c r="AH495" s="5">
        <v>202</v>
      </c>
      <c r="AI495" s="12">
        <f t="shared" si="61"/>
        <v>432.1782178217822</v>
      </c>
      <c r="AJ495" s="5">
        <v>86500</v>
      </c>
      <c r="AK495" s="6">
        <f>Table1[[#This Row],[2020 U.S. Sales ($000)]]/SUMIF($E:$E, E495, $AJ:$AJ)</f>
        <v>3.0372771165291922E-3</v>
      </c>
      <c r="AL495" s="5">
        <v>229</v>
      </c>
      <c r="AM495" s="5">
        <f t="shared" si="62"/>
        <v>377.72925764192138</v>
      </c>
      <c r="AN495" s="5">
        <v>121600</v>
      </c>
      <c r="AO495" s="6">
        <f>Table1[[#This Row],[2019 U.S. Sales ($000)]]/SUMIF($E:$E, E495, $AN:$AN)</f>
        <v>3.7226489390205612E-3</v>
      </c>
      <c r="AP495" s="5">
        <v>280</v>
      </c>
      <c r="AQ495" s="5">
        <f t="shared" si="63"/>
        <v>434.28571428571428</v>
      </c>
    </row>
    <row r="496" spans="1:43" x14ac:dyDescent="0.25">
      <c r="A496" t="s">
        <v>561</v>
      </c>
      <c r="B496">
        <v>1320</v>
      </c>
      <c r="C496" t="s">
        <v>68</v>
      </c>
      <c r="D496" t="s">
        <v>69</v>
      </c>
      <c r="E496" t="s">
        <v>79</v>
      </c>
      <c r="F496" s="5">
        <v>312</v>
      </c>
      <c r="G496" s="5">
        <v>0</v>
      </c>
      <c r="H496" s="6">
        <f>Table1[[#This Row],[2024 U.S. Sales ($000)]]/SUMIF($E:$E, E496, $G:$G)</f>
        <v>0</v>
      </c>
      <c r="I496" s="5">
        <v>0</v>
      </c>
      <c r="J496" s="5" t="e">
        <f>Table1[[#This Row],[2024 U.S. Sales ($000)]]/Table1[[#This Row],[2024 U.S. Units]]</f>
        <v>#DIV/0!</v>
      </c>
      <c r="K496" s="6">
        <f>Table1[[#This Row],[2024 U.S. Units]]/Table1[[#This Row],[2023 U.S. Units]]-1</f>
        <v>-1</v>
      </c>
      <c r="L496" s="8">
        <f>(Table1[[#This Row],[2024 Market share (%)]]-Table1[[#This Row],[2023 Market share (%)]])*10000</f>
        <v>-45.600228763911282</v>
      </c>
      <c r="M496" s="6">
        <f>_xlfn.RRI(5,Table1[[#This Row],[2019 U.S. Sales ($000)]],Table1[[#This Row],[2024 U.S. Sales ($000)]])</f>
        <v>-1</v>
      </c>
      <c r="N496" s="9">
        <f>(Table1[[#This Row],[2024 Market share (%)]]-Table1[[#This Row],[2019 Market share (%)]])*10000</f>
        <v>-85.38824898302596</v>
      </c>
      <c r="O496" s="6" t="e">
        <f>IF(Table1[[#This Row],[2024 AUV]]=0,"",_xlfn.RRI(5,Table1[[#This Row],[2019 AUV]],Table1[[#This Row],[2024 AUV]]))</f>
        <v>#DIV/0!</v>
      </c>
      <c r="P496" s="6">
        <f>_xlfn.RRI(5,Table1[[#This Row],[2019 U.S. Units]],Table1[[#This Row],[2024 U.S. Units]])</f>
        <v>-1</v>
      </c>
      <c r="Q496" s="5">
        <v>110000</v>
      </c>
      <c r="R496" s="6">
        <f>Table1[[#This Row],[2023 U.S. Sales ($000)]]/SUMIF($E:$E, E496, $Q:$Q)</f>
        <v>4.5600228763911285E-3</v>
      </c>
      <c r="S496" s="8">
        <f>(Table1[[#This Row],[2023 Market share (%)]]-Table1[[#This Row],[2022 Market share (%)]])*10000</f>
        <v>-3.8537596577321431</v>
      </c>
      <c r="T496" s="10">
        <v>-5.4170249355116079E-2</v>
      </c>
      <c r="U496" s="5">
        <v>45</v>
      </c>
      <c r="V496" s="5">
        <f t="shared" si="56"/>
        <v>2444.4444444444443</v>
      </c>
      <c r="W496" s="10">
        <v>-2.1739130434782608E-2</v>
      </c>
      <c r="X496" s="10">
        <f t="shared" si="57"/>
        <v>-0.13335842691524957</v>
      </c>
      <c r="Y496" s="8">
        <f>(Table1[[#This Row],[2023 Market share (%)]]-Table1[[#This Row],[2019 Market share (%)]])*10000</f>
        <v>-39.788020219114678</v>
      </c>
      <c r="Z496" s="10">
        <f t="shared" si="58"/>
        <v>-8.8050714665710572E-3</v>
      </c>
      <c r="AA496" s="10">
        <f t="shared" si="59"/>
        <v>-0.12565979895898738</v>
      </c>
      <c r="AB496" s="5">
        <v>116300</v>
      </c>
      <c r="AC496" s="6">
        <f>Table1[[#This Row],[2022 U.S. Sales ($000)]]/SUMIF($E:$E, E496, $AB:$AB)</f>
        <v>4.9453988421643428E-3</v>
      </c>
      <c r="AD496" s="5">
        <v>46</v>
      </c>
      <c r="AE496" s="5">
        <f t="shared" si="60"/>
        <v>2528.2608695652175</v>
      </c>
      <c r="AF496" s="5">
        <v>128300</v>
      </c>
      <c r="AG496" s="6">
        <f>Table1[[#This Row],[2021 U.S. Sales ($000)]]/SUMIF($E:$E, E496, $AF:$AF)</f>
        <v>5.9069696025870963E-3</v>
      </c>
      <c r="AH496" s="5">
        <v>48</v>
      </c>
      <c r="AI496" s="12">
        <f t="shared" si="61"/>
        <v>2672.9166666666665</v>
      </c>
      <c r="AJ496" s="5">
        <v>113100</v>
      </c>
      <c r="AK496" s="6">
        <f>Table1[[#This Row],[2020 U.S. Sales ($000)]]/SUMIF($E:$E, E496, $AJ:$AJ)</f>
        <v>6.9359708093137268E-3</v>
      </c>
      <c r="AL496" s="5">
        <v>65</v>
      </c>
      <c r="AM496" s="5">
        <f t="shared" si="62"/>
        <v>1740</v>
      </c>
      <c r="AN496" s="5">
        <v>195000</v>
      </c>
      <c r="AO496" s="6">
        <f>Table1[[#This Row],[2019 U.S. Sales ($000)]]/SUMIF($E:$E, E496, $AN:$AN)</f>
        <v>8.5388248983025959E-3</v>
      </c>
      <c r="AP496" s="5">
        <v>77</v>
      </c>
      <c r="AQ496" s="5">
        <f t="shared" si="63"/>
        <v>2532.4675324675327</v>
      </c>
    </row>
    <row r="497" spans="1:43" x14ac:dyDescent="0.25">
      <c r="A497" t="s">
        <v>562</v>
      </c>
      <c r="B497">
        <v>2465</v>
      </c>
      <c r="C497" t="s">
        <v>68</v>
      </c>
      <c r="D497" t="s">
        <v>69</v>
      </c>
      <c r="E497" t="s">
        <v>73</v>
      </c>
      <c r="F497" s="5">
        <v>290</v>
      </c>
      <c r="G497" s="5">
        <v>0</v>
      </c>
      <c r="H497" s="6">
        <f>Table1[[#This Row],[2024 U.S. Sales ($000)]]/SUMIF($E:$E, E497, $G:$G)</f>
        <v>0</v>
      </c>
      <c r="I497" s="5">
        <v>0</v>
      </c>
      <c r="J497" s="5" t="e">
        <f>Table1[[#This Row],[2024 U.S. Sales ($000)]]/Table1[[#This Row],[2024 U.S. Units]]</f>
        <v>#DIV/0!</v>
      </c>
      <c r="K497" s="6">
        <f>Table1[[#This Row],[2024 U.S. Units]]/Table1[[#This Row],[2023 U.S. Units]]-1</f>
        <v>-1</v>
      </c>
      <c r="L497" s="8">
        <f>(Table1[[#This Row],[2024 Market share (%)]]-Table1[[#This Row],[2023 Market share (%)]])*10000</f>
        <v>-125.07800465827118</v>
      </c>
      <c r="M497" s="6">
        <f>_xlfn.RRI(5,Table1[[#This Row],[2019 U.S. Sales ($000)]],Table1[[#This Row],[2024 U.S. Sales ($000)]])</f>
        <v>-1</v>
      </c>
      <c r="N497" s="9">
        <f>(Table1[[#This Row],[2024 Market share (%)]]-Table1[[#This Row],[2019 Market share (%)]])*10000</f>
        <v>-233.84865551823626</v>
      </c>
      <c r="O497" s="6" t="e">
        <f>IF(Table1[[#This Row],[2024 AUV]]=0,"",_xlfn.RRI(5,Table1[[#This Row],[2019 AUV]],Table1[[#This Row],[2024 AUV]]))</f>
        <v>#DIV/0!</v>
      </c>
      <c r="P497" s="6">
        <f>_xlfn.RRI(5,Table1[[#This Row],[2019 U.S. Units]],Table1[[#This Row],[2024 U.S. Units]])</f>
        <v>-1</v>
      </c>
      <c r="Q497" s="5">
        <v>120200</v>
      </c>
      <c r="R497" s="6">
        <f>Table1[[#This Row],[2023 U.S. Sales ($000)]]/SUMIF($E:$E, E497, $Q:$Q)</f>
        <v>1.2507800465827118E-2</v>
      </c>
      <c r="S497" s="8">
        <f>(Table1[[#This Row],[2023 Market share (%)]]-Table1[[#This Row],[2022 Market share (%)]])*10000</f>
        <v>-12.663522114543941</v>
      </c>
      <c r="T497" s="10">
        <v>-4.9802371541501973E-2</v>
      </c>
      <c r="U497" s="5">
        <v>32</v>
      </c>
      <c r="V497" s="5">
        <f t="shared" si="56"/>
        <v>3756.25</v>
      </c>
      <c r="W497" s="10">
        <v>-3.0303030303030304E-2</v>
      </c>
      <c r="X497" s="10">
        <f t="shared" si="57"/>
        <v>-0.13358013109636735</v>
      </c>
      <c r="Y497" s="8">
        <f>(Table1[[#This Row],[2023 Market share (%)]]-Table1[[#This Row],[2019 Market share (%)]])*10000</f>
        <v>-108.77065085996509</v>
      </c>
      <c r="Z497" s="10">
        <f t="shared" si="58"/>
        <v>-7.9545242279602801E-3</v>
      </c>
      <c r="AA497" s="10">
        <f t="shared" si="59"/>
        <v>-0.12663291143043764</v>
      </c>
      <c r="AB497" s="5">
        <v>126500</v>
      </c>
      <c r="AC497" s="6">
        <f>Table1[[#This Row],[2022 U.S. Sales ($000)]]/SUMIF($E:$E, E497, $AB:$AB)</f>
        <v>1.3774152677281512E-2</v>
      </c>
      <c r="AD497" s="5">
        <v>33</v>
      </c>
      <c r="AE497" s="5">
        <f t="shared" si="60"/>
        <v>3833.3333333333335</v>
      </c>
      <c r="AF497" s="5">
        <v>124600</v>
      </c>
      <c r="AG497" s="6">
        <f>Table1[[#This Row],[2021 U.S. Sales ($000)]]/SUMIF($E:$E, E497, $AF:$AF)</f>
        <v>1.4880380135194105E-2</v>
      </c>
      <c r="AH497" s="5">
        <v>35</v>
      </c>
      <c r="AI497" s="12">
        <f t="shared" si="61"/>
        <v>3560</v>
      </c>
      <c r="AJ497" s="5">
        <v>120300</v>
      </c>
      <c r="AK497" s="6">
        <f>Table1[[#This Row],[2020 U.S. Sales ($000)]]/SUMIF($E:$E, E497, $AJ:$AJ)</f>
        <v>1.7437615589431268E-2</v>
      </c>
      <c r="AL497" s="5">
        <v>36</v>
      </c>
      <c r="AM497" s="5">
        <f t="shared" si="62"/>
        <v>3341.6666666666665</v>
      </c>
      <c r="AN497" s="5">
        <v>213300</v>
      </c>
      <c r="AO497" s="6">
        <f>Table1[[#This Row],[2019 U.S. Sales ($000)]]/SUMIF($E:$E, E497, $AN:$AN)</f>
        <v>2.3384865551823626E-2</v>
      </c>
      <c r="AP497" s="5">
        <v>55</v>
      </c>
      <c r="AQ497" s="5">
        <f t="shared" si="63"/>
        <v>3878.181818181818</v>
      </c>
    </row>
    <row r="498" spans="1:43" x14ac:dyDescent="0.25">
      <c r="A498" t="s">
        <v>563</v>
      </c>
      <c r="B498">
        <v>826</v>
      </c>
      <c r="C498" t="s">
        <v>68</v>
      </c>
      <c r="D498" t="s">
        <v>92</v>
      </c>
      <c r="E498" t="s">
        <v>93</v>
      </c>
      <c r="F498" s="5">
        <v>348</v>
      </c>
      <c r="G498" s="5">
        <v>0</v>
      </c>
      <c r="H498" s="6">
        <f>Table1[[#This Row],[2024 U.S. Sales ($000)]]/SUMIF($E:$E, E498, $G:$G)</f>
        <v>0</v>
      </c>
      <c r="I498" s="5">
        <v>0</v>
      </c>
      <c r="J498" s="5" t="e">
        <f>Table1[[#This Row],[2024 U.S. Sales ($000)]]/Table1[[#This Row],[2024 U.S. Units]]</f>
        <v>#DIV/0!</v>
      </c>
      <c r="K498" s="6">
        <f>Table1[[#This Row],[2024 U.S. Units]]/Table1[[#This Row],[2023 U.S. Units]]-1</f>
        <v>-1</v>
      </c>
      <c r="L498" s="8">
        <f>(Table1[[#This Row],[2024 Market share (%)]]-Table1[[#This Row],[2023 Market share (%)]])*10000</f>
        <v>-54.513211025268362</v>
      </c>
      <c r="M498" s="6">
        <f>_xlfn.RRI(5,Table1[[#This Row],[2019 U.S. Sales ($000)]],Table1[[#This Row],[2024 U.S. Sales ($000)]])</f>
        <v>-1</v>
      </c>
      <c r="N498" s="9">
        <f>(Table1[[#This Row],[2024 Market share (%)]]-Table1[[#This Row],[2019 Market share (%)]])*10000</f>
        <v>-114.85495368237854</v>
      </c>
      <c r="O498" s="6" t="e">
        <f>IF(Table1[[#This Row],[2024 AUV]]=0,"",_xlfn.RRI(5,Table1[[#This Row],[2019 AUV]],Table1[[#This Row],[2024 AUV]]))</f>
        <v>#DIV/0!</v>
      </c>
      <c r="P498" s="6">
        <f>_xlfn.RRI(5,Table1[[#This Row],[2019 U.S. Units]],Table1[[#This Row],[2024 U.S. Units]])</f>
        <v>-1</v>
      </c>
      <c r="Q498" s="5">
        <v>95400</v>
      </c>
      <c r="R498" s="6">
        <f>Table1[[#This Row],[2023 U.S. Sales ($000)]]/SUMIF($E:$E, E498, $Q:$Q)</f>
        <v>5.4513211025268363E-3</v>
      </c>
      <c r="S498" s="8">
        <f>(Table1[[#This Row],[2023 Market share (%)]]-Table1[[#This Row],[2022 Market share (%)]])*10000</f>
        <v>-8.8179575849467025</v>
      </c>
      <c r="T498" s="10">
        <v>-8.7954110898661564E-2</v>
      </c>
      <c r="U498" s="5">
        <v>38</v>
      </c>
      <c r="V498" s="5">
        <f t="shared" si="56"/>
        <v>2510.5263157894738</v>
      </c>
      <c r="W498" s="10">
        <v>-9.5238095238095233E-2</v>
      </c>
      <c r="X498" s="10">
        <f t="shared" si="57"/>
        <v>-0.16325521167203372</v>
      </c>
      <c r="Y498" s="8">
        <f>(Table1[[#This Row],[2023 Market share (%)]]-Table1[[#This Row],[2019 Market share (%)]])*10000</f>
        <v>-60.341742657110174</v>
      </c>
      <c r="Z498" s="10">
        <f t="shared" si="58"/>
        <v>4.7404563854245296E-3</v>
      </c>
      <c r="AA498" s="10">
        <f t="shared" si="59"/>
        <v>-0.16720304929476637</v>
      </c>
      <c r="AB498" s="5">
        <v>104600</v>
      </c>
      <c r="AC498" s="6">
        <f>Table1[[#This Row],[2022 U.S. Sales ($000)]]/SUMIF($E:$E, E498, $AB:$AB)</f>
        <v>6.3331168610215064E-3</v>
      </c>
      <c r="AD498" s="5">
        <v>42</v>
      </c>
      <c r="AE498" s="5">
        <f t="shared" si="60"/>
        <v>2490.4761904761904</v>
      </c>
      <c r="AF498" s="5">
        <v>118800</v>
      </c>
      <c r="AG498" s="6">
        <f>Table1[[#This Row],[2021 U.S. Sales ($000)]]/SUMIF($E:$E, E498, $AF:$AF)</f>
        <v>7.8688091994592781E-3</v>
      </c>
      <c r="AH498" s="5">
        <v>47</v>
      </c>
      <c r="AI498" s="12">
        <f t="shared" si="61"/>
        <v>2527.6595744680849</v>
      </c>
      <c r="AJ498" s="5">
        <v>114800</v>
      </c>
      <c r="AK498" s="6">
        <f>Table1[[#This Row],[2020 U.S. Sales ($000)]]/SUMIF($E:$E, E498, $AJ:$AJ)</f>
        <v>1.0757211149905578E-2</v>
      </c>
      <c r="AL498" s="5">
        <v>61</v>
      </c>
      <c r="AM498" s="5">
        <f t="shared" si="62"/>
        <v>1881.967213114754</v>
      </c>
      <c r="AN498" s="5">
        <v>194615</v>
      </c>
      <c r="AO498" s="6">
        <f>Table1[[#This Row],[2019 U.S. Sales ($000)]]/SUMIF($E:$E, E498, $AN:$AN)</f>
        <v>1.1485495368237853E-2</v>
      </c>
      <c r="AP498" s="5">
        <v>79</v>
      </c>
      <c r="AQ498" s="5">
        <f t="shared" si="63"/>
        <v>2463.4810126582279</v>
      </c>
    </row>
    <row r="499" spans="1:43" x14ac:dyDescent="0.25">
      <c r="A499" t="s">
        <v>564</v>
      </c>
      <c r="B499">
        <v>5500</v>
      </c>
      <c r="C499" t="s">
        <v>44</v>
      </c>
      <c r="D499" t="s">
        <v>56</v>
      </c>
      <c r="E499" t="s">
        <v>59</v>
      </c>
      <c r="F499" s="5">
        <v>382</v>
      </c>
      <c r="G499" s="5">
        <v>0</v>
      </c>
      <c r="H499" s="6">
        <f>Table1[[#This Row],[2024 U.S. Sales ($000)]]/SUMIF($E:$E, E499, $G:$G)</f>
        <v>0</v>
      </c>
      <c r="I499" s="5">
        <v>0</v>
      </c>
      <c r="J499" s="5" t="e">
        <f>Table1[[#This Row],[2024 U.S. Sales ($000)]]/Table1[[#This Row],[2024 U.S. Units]]</f>
        <v>#DIV/0!</v>
      </c>
      <c r="K499" s="6">
        <f>Table1[[#This Row],[2024 U.S. Units]]/Table1[[#This Row],[2023 U.S. Units]]-1</f>
        <v>-1</v>
      </c>
      <c r="L499" s="8">
        <f>(Table1[[#This Row],[2024 Market share (%)]]-Table1[[#This Row],[2023 Market share (%)]])*10000</f>
        <v>-21.550964111767222</v>
      </c>
      <c r="M499" s="6">
        <f>_xlfn.RRI(5,Table1[[#This Row],[2019 U.S. Sales ($000)]],Table1[[#This Row],[2024 U.S. Sales ($000)]])</f>
        <v>-1</v>
      </c>
      <c r="N499" s="9">
        <f>(Table1[[#This Row],[2024 Market share (%)]]-Table1[[#This Row],[2019 Market share (%)]])*10000</f>
        <v>-61.350234159516489</v>
      </c>
      <c r="O499" s="6" t="e">
        <f>IF(Table1[[#This Row],[2024 AUV]]=0,"",_xlfn.RRI(5,Table1[[#This Row],[2019 AUV]],Table1[[#This Row],[2024 AUV]]))</f>
        <v>#DIV/0!</v>
      </c>
      <c r="P499" s="6">
        <f>_xlfn.RRI(5,Table1[[#This Row],[2019 U.S. Units]],Table1[[#This Row],[2024 U.S. Units]])</f>
        <v>-1</v>
      </c>
      <c r="Q499" s="5">
        <v>81400</v>
      </c>
      <c r="R499" s="6">
        <f>Table1[[#This Row],[2023 U.S. Sales ($000)]]/SUMIF($E:$E, E499, $Q:$Q)</f>
        <v>2.155096411176722E-3</v>
      </c>
      <c r="S499" s="8">
        <f>(Table1[[#This Row],[2023 Market share (%)]]-Table1[[#This Row],[2022 Market share (%)]])*10000</f>
        <v>-2.4281576190826777</v>
      </c>
      <c r="T499" s="10">
        <v>-5.128205128205128E-2</v>
      </c>
      <c r="U499" s="5">
        <v>50</v>
      </c>
      <c r="V499" s="5">
        <f t="shared" si="56"/>
        <v>1628</v>
      </c>
      <c r="W499" s="10">
        <v>-5.6603773584905662E-2</v>
      </c>
      <c r="X499" s="10">
        <f t="shared" si="57"/>
        <v>-0.20167142970497387</v>
      </c>
      <c r="Y499" s="8">
        <f>(Table1[[#This Row],[2023 Market share (%)]]-Table1[[#This Row],[2019 Market share (%)]])*10000</f>
        <v>-39.799270047749268</v>
      </c>
      <c r="Z499" s="10">
        <f t="shared" si="58"/>
        <v>-5.540489700135498E-2</v>
      </c>
      <c r="AA499" s="10">
        <f t="shared" si="59"/>
        <v>-0.15484574527148343</v>
      </c>
      <c r="AB499" s="5">
        <v>85800</v>
      </c>
      <c r="AC499" s="6">
        <f>Table1[[#This Row],[2022 U.S. Sales ($000)]]/SUMIF($E:$E, E499, $AB:$AB)</f>
        <v>2.3979121730849898E-3</v>
      </c>
      <c r="AD499" s="5">
        <v>53</v>
      </c>
      <c r="AE499" s="5">
        <f t="shared" si="60"/>
        <v>1618.867924528302</v>
      </c>
      <c r="AF499" s="5">
        <v>83500</v>
      </c>
      <c r="AG499" s="6">
        <f>Table1[[#This Row],[2021 U.S. Sales ($000)]]/SUMIF($E:$E, E499, $AF:$AF)</f>
        <v>2.5167162705917877E-3</v>
      </c>
      <c r="AH499" s="5">
        <v>56</v>
      </c>
      <c r="AI499" s="12">
        <f t="shared" si="61"/>
        <v>1491.0714285714287</v>
      </c>
      <c r="AJ499" s="5">
        <v>71900</v>
      </c>
      <c r="AK499" s="6">
        <f>Table1[[#This Row],[2020 U.S. Sales ($000)]]/SUMIF($E:$E, E499, $AJ:$AJ)</f>
        <v>2.5246268748953631E-3</v>
      </c>
      <c r="AL499" s="5">
        <v>60</v>
      </c>
      <c r="AM499" s="5">
        <f t="shared" si="62"/>
        <v>1198.3333333333333</v>
      </c>
      <c r="AN499" s="5">
        <v>200400</v>
      </c>
      <c r="AO499" s="6">
        <f>Table1[[#This Row],[2019 U.S. Sales ($000)]]/SUMIF($E:$E, E499, $AN:$AN)</f>
        <v>6.1350234159516489E-3</v>
      </c>
      <c r="AP499" s="5">
        <v>98</v>
      </c>
      <c r="AQ499" s="5">
        <f t="shared" si="63"/>
        <v>2044.8979591836735</v>
      </c>
    </row>
    <row r="500" spans="1:43" x14ac:dyDescent="0.25">
      <c r="A500" t="s">
        <v>565</v>
      </c>
      <c r="B500">
        <v>532</v>
      </c>
      <c r="C500" t="s">
        <v>68</v>
      </c>
      <c r="D500" t="s">
        <v>69</v>
      </c>
      <c r="E500" t="s">
        <v>73</v>
      </c>
      <c r="F500" s="5">
        <v>380</v>
      </c>
      <c r="G500" s="5">
        <v>0</v>
      </c>
      <c r="H500" s="6">
        <f>Table1[[#This Row],[2024 U.S. Sales ($000)]]/SUMIF($E:$E, E500, $G:$G)</f>
        <v>0</v>
      </c>
      <c r="I500" s="5">
        <v>0</v>
      </c>
      <c r="J500" s="5" t="e">
        <f>Table1[[#This Row],[2024 U.S. Sales ($000)]]/Table1[[#This Row],[2024 U.S. Units]]</f>
        <v>#DIV/0!</v>
      </c>
      <c r="K500" s="6">
        <f>Table1[[#This Row],[2024 U.S. Units]]/Table1[[#This Row],[2023 U.S. Units]]-1</f>
        <v>-1</v>
      </c>
      <c r="L500" s="8">
        <f>(Table1[[#This Row],[2024 Market share (%)]]-Table1[[#This Row],[2023 Market share (%)]])*10000</f>
        <v>-85.743989882209192</v>
      </c>
      <c r="M500" s="6">
        <f>_xlfn.RRI(5,Table1[[#This Row],[2019 U.S. Sales ($000)]],Table1[[#This Row],[2024 U.S. Sales ($000)]])</f>
        <v>-1</v>
      </c>
      <c r="N500" s="9">
        <f>(Table1[[#This Row],[2024 Market share (%)]]-Table1[[#This Row],[2019 Market share (%)]])*10000</f>
        <v>-239.43997358266665</v>
      </c>
      <c r="O500" s="6" t="e">
        <f>IF(Table1[[#This Row],[2024 AUV]]=0,"",_xlfn.RRI(5,Table1[[#This Row],[2019 AUV]],Table1[[#This Row],[2024 AUV]]))</f>
        <v>#DIV/0!</v>
      </c>
      <c r="P500" s="6">
        <f>_xlfn.RRI(5,Table1[[#This Row],[2019 U.S. Units]],Table1[[#This Row],[2024 U.S. Units]])</f>
        <v>-1</v>
      </c>
      <c r="Q500" s="5">
        <v>82400</v>
      </c>
      <c r="R500" s="6">
        <f>Table1[[#This Row],[2023 U.S. Sales ($000)]]/SUMIF($E:$E, E500, $Q:$Q)</f>
        <v>8.5743989882209187E-3</v>
      </c>
      <c r="S500" s="8">
        <f>(Table1[[#This Row],[2023 Market share (%)]]-Table1[[#This Row],[2022 Market share (%)]])*10000</f>
        <v>-19.549335326733281</v>
      </c>
      <c r="T500" s="10">
        <v>-0.14788004136504654</v>
      </c>
      <c r="U500" s="5">
        <v>31</v>
      </c>
      <c r="V500" s="5">
        <f t="shared" si="56"/>
        <v>2658.0645161290322</v>
      </c>
      <c r="W500" s="10">
        <v>-0.16216216216216217</v>
      </c>
      <c r="X500" s="10">
        <f t="shared" si="57"/>
        <v>-0.21626607823420174</v>
      </c>
      <c r="Y500" s="8">
        <f>(Table1[[#This Row],[2023 Market share (%)]]-Table1[[#This Row],[2019 Market share (%)]])*10000</f>
        <v>-153.69598370045745</v>
      </c>
      <c r="Z500" s="10">
        <f t="shared" si="58"/>
        <v>8.516370962433184E-3</v>
      </c>
      <c r="AA500" s="10">
        <f t="shared" si="59"/>
        <v>-0.22288428395279669</v>
      </c>
      <c r="AB500" s="5">
        <v>96700</v>
      </c>
      <c r="AC500" s="6">
        <f>Table1[[#This Row],[2022 U.S. Sales ($000)]]/SUMIF($E:$E, E500, $AB:$AB)</f>
        <v>1.0529332520894247E-2</v>
      </c>
      <c r="AD500" s="5">
        <v>37</v>
      </c>
      <c r="AE500" s="5">
        <f t="shared" si="60"/>
        <v>2613.5135135135133</v>
      </c>
      <c r="AF500" s="5">
        <v>103000</v>
      </c>
      <c r="AG500" s="6">
        <f>Table1[[#This Row],[2021 U.S. Sales ($000)]]/SUMIF($E:$E, E500, $AF:$AF)</f>
        <v>1.2300795777889189E-2</v>
      </c>
      <c r="AH500" s="5">
        <v>41</v>
      </c>
      <c r="AI500" s="12">
        <f t="shared" si="61"/>
        <v>2512.1951219512193</v>
      </c>
      <c r="AJ500" s="5">
        <v>107000</v>
      </c>
      <c r="AK500" s="6">
        <f>Table1[[#This Row],[2020 U.S. Sales ($000)]]/SUMIF($E:$E, E500, $AJ:$AJ)</f>
        <v>1.5509766151863223E-2</v>
      </c>
      <c r="AL500" s="5">
        <v>43</v>
      </c>
      <c r="AM500" s="5">
        <f t="shared" si="62"/>
        <v>2488.3720930232557</v>
      </c>
      <c r="AN500" s="5">
        <v>218400</v>
      </c>
      <c r="AO500" s="6">
        <f>Table1[[#This Row],[2019 U.S. Sales ($000)]]/SUMIF($E:$E, E500, $AN:$AN)</f>
        <v>2.3943997358266664E-2</v>
      </c>
      <c r="AP500" s="5">
        <v>85</v>
      </c>
      <c r="AQ500" s="5">
        <f t="shared" si="63"/>
        <v>2569.4117647058824</v>
      </c>
    </row>
    <row r="501" spans="1:43" x14ac:dyDescent="0.25">
      <c r="A501" t="s">
        <v>566</v>
      </c>
      <c r="B501">
        <v>472</v>
      </c>
      <c r="C501" t="s">
        <v>44</v>
      </c>
      <c r="D501" t="s">
        <v>56</v>
      </c>
      <c r="E501" t="s">
        <v>50</v>
      </c>
      <c r="F501" s="5">
        <v>248</v>
      </c>
      <c r="G501" s="5">
        <v>0</v>
      </c>
      <c r="H501" s="6">
        <f>Table1[[#This Row],[2024 U.S. Sales ($000)]]/SUMIF($E:$E, E501, $G:$G)</f>
        <v>0</v>
      </c>
      <c r="I501" s="5">
        <v>0</v>
      </c>
      <c r="J501" s="5" t="e">
        <f>Table1[[#This Row],[2024 U.S. Sales ($000)]]/Table1[[#This Row],[2024 U.S. Units]]</f>
        <v>#DIV/0!</v>
      </c>
      <c r="K501" s="6">
        <f>Table1[[#This Row],[2024 U.S. Units]]/Table1[[#This Row],[2023 U.S. Units]]-1</f>
        <v>-1</v>
      </c>
      <c r="L501" s="8">
        <f>(Table1[[#This Row],[2024 Market share (%)]]-Table1[[#This Row],[2023 Market share (%)]])*10000</f>
        <v>-30.602631344493027</v>
      </c>
      <c r="M501" s="6">
        <f>_xlfn.RRI(5,Table1[[#This Row],[2019 U.S. Sales ($000)]],Table1[[#This Row],[2024 U.S. Sales ($000)]])</f>
        <v>-1</v>
      </c>
      <c r="N501" s="9">
        <f>(Table1[[#This Row],[2024 Market share (%)]]-Table1[[#This Row],[2019 Market share (%)]])*10000</f>
        <v>-163.38232401289017</v>
      </c>
      <c r="O501" s="6" t="e">
        <f>IF(Table1[[#This Row],[2024 AUV]]=0,"",_xlfn.RRI(5,Table1[[#This Row],[2019 AUV]],Table1[[#This Row],[2024 AUV]]))</f>
        <v>#DIV/0!</v>
      </c>
      <c r="P501" s="6">
        <f>_xlfn.RRI(5,Table1[[#This Row],[2019 U.S. Units]],Table1[[#This Row],[2024 U.S. Units]])</f>
        <v>-1</v>
      </c>
      <c r="Q501" s="5">
        <v>149900</v>
      </c>
      <c r="R501" s="6">
        <f>Table1[[#This Row],[2023 U.S. Sales ($000)]]/SUMIF($E:$E, E501, $Q:$Q)</f>
        <v>3.0602631344493025E-3</v>
      </c>
      <c r="S501" s="8">
        <f>(Table1[[#This Row],[2023 Market share (%)]]-Table1[[#This Row],[2022 Market share (%)]])*10000</f>
        <v>-49.384922683776459</v>
      </c>
      <c r="T501" s="10">
        <v>-0.57048710601719199</v>
      </c>
      <c r="U501" s="5">
        <v>91</v>
      </c>
      <c r="V501" s="5">
        <f t="shared" si="56"/>
        <v>1647.2527472527472</v>
      </c>
      <c r="W501" s="10">
        <v>-0.67500000000000004</v>
      </c>
      <c r="X501" s="10">
        <f t="shared" si="57"/>
        <v>-0.26062325259625629</v>
      </c>
      <c r="Y501" s="8">
        <f>(Table1[[#This Row],[2023 Market share (%)]]-Table1[[#This Row],[2019 Market share (%)]])*10000</f>
        <v>-132.77969266839713</v>
      </c>
      <c r="Z501" s="10">
        <f t="shared" si="58"/>
        <v>6.5868378121026083E-2</v>
      </c>
      <c r="AA501" s="10">
        <f t="shared" si="59"/>
        <v>-0.30631514867984033</v>
      </c>
      <c r="AB501" s="5">
        <v>349000</v>
      </c>
      <c r="AC501" s="6">
        <f>Table1[[#This Row],[2022 U.S. Sales ($000)]]/SUMIF($E:$E, E501, $AB:$AB)</f>
        <v>7.9987554028269486E-3</v>
      </c>
      <c r="AD501" s="5">
        <v>208</v>
      </c>
      <c r="AE501" s="5">
        <f t="shared" si="60"/>
        <v>1677.8846153846155</v>
      </c>
      <c r="AF501" s="5">
        <v>411500</v>
      </c>
      <c r="AG501" s="6">
        <f>Table1[[#This Row],[2021 U.S. Sales ($000)]]/SUMIF($E:$E, E501, $AF:$AF)</f>
        <v>1.0466778381826905E-2</v>
      </c>
      <c r="AH501" s="5">
        <v>335</v>
      </c>
      <c r="AI501" s="12">
        <f t="shared" si="61"/>
        <v>1228.358208955224</v>
      </c>
      <c r="AJ501" s="5">
        <v>380736</v>
      </c>
      <c r="AK501" s="6">
        <f>Table1[[#This Row],[2020 U.S. Sales ($000)]]/SUMIF($E:$E, E501, $AJ:$AJ)</f>
        <v>1.1257943351375978E-2</v>
      </c>
      <c r="AL501" s="5">
        <v>342</v>
      </c>
      <c r="AM501" s="5">
        <f t="shared" si="62"/>
        <v>1113.2631578947369</v>
      </c>
      <c r="AN501" s="5">
        <v>501578</v>
      </c>
      <c r="AO501" s="6">
        <f>Table1[[#This Row],[2019 U.S. Sales ($000)]]/SUMIF($E:$E, E501, $AN:$AN)</f>
        <v>1.6338232401289017E-2</v>
      </c>
      <c r="AP501" s="5">
        <v>393</v>
      </c>
      <c r="AQ501" s="5">
        <f t="shared" si="63"/>
        <v>1276.2798982188294</v>
      </c>
    </row>
    <row r="502" spans="1:43" x14ac:dyDescent="0.25">
      <c r="M502" s="10"/>
    </row>
    <row r="503" spans="1:43" x14ac:dyDescent="0.25">
      <c r="T503" s="5"/>
      <c r="U503" s="5"/>
    </row>
    <row r="504" spans="1:43" x14ac:dyDescent="0.25">
      <c r="Q504" s="6"/>
      <c r="R504" s="6"/>
      <c r="S504" s="6"/>
      <c r="U504" s="13"/>
    </row>
    <row r="505" spans="1:43" x14ac:dyDescent="0.25">
      <c r="Q505" s="5"/>
      <c r="R505" s="5"/>
      <c r="S505" s="5"/>
    </row>
    <row r="507" spans="1:43" x14ac:dyDescent="0.25">
      <c r="W507" s="10"/>
    </row>
  </sheetData>
  <pageMargins left="0.7" right="0.7" top="0.75" bottom="0.75" header="0.3" footer="0.3"/>
  <pageSetup orientation="portrait" r:id="rId1"/>
  <headerFooter>
    <oddFooter>&amp;C_x000D_&amp;1#&amp;"Arial"&amp;9&amp;K7C7C80 Public</oddFooter>
  </headerFooter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Technomic Top 500 Chains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Luyckx, Chris</dc:creator>
  <cp:lastModifiedBy>Luyckx, Chris</cp:lastModifiedBy>
  <dcterms:created xsi:type="dcterms:W3CDTF">2026-02-06T09:38:34Z</dcterms:created>
  <dcterms:modified xsi:type="dcterms:W3CDTF">2026-02-06T09:50:39Z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06e186d-8807-44bb-beec-30ed51960fb6_Enabled">
    <vt:lpwstr>true</vt:lpwstr>
  </property>
  <property fmtid="{D5CDD505-2E9C-101B-9397-08002B2CF9AE}" pid="3" name="MSIP_Label_706e186d-8807-44bb-beec-30ed51960fb6_SetDate">
    <vt:lpwstr>2026-02-06T09:39:03Z</vt:lpwstr>
  </property>
  <property fmtid="{D5CDD505-2E9C-101B-9397-08002B2CF9AE}" pid="4" name="MSIP_Label_706e186d-8807-44bb-beec-30ed51960fb6_Method">
    <vt:lpwstr>Privileged</vt:lpwstr>
  </property>
  <property fmtid="{D5CDD505-2E9C-101B-9397-08002B2CF9AE}" pid="5" name="MSIP_Label_706e186d-8807-44bb-beec-30ed51960fb6_Name">
    <vt:lpwstr>RAndCoPublicMarked</vt:lpwstr>
  </property>
  <property fmtid="{D5CDD505-2E9C-101B-9397-08002B2CF9AE}" pid="6" name="MSIP_Label_706e186d-8807-44bb-beec-30ed51960fb6_SiteId">
    <vt:lpwstr>a3a61790-e8ca-448a-b1be-e046da74a581</vt:lpwstr>
  </property>
  <property fmtid="{D5CDD505-2E9C-101B-9397-08002B2CF9AE}" pid="7" name="MSIP_Label_706e186d-8807-44bb-beec-30ed51960fb6_ActionId">
    <vt:lpwstr>74e58466-3458-41a0-8294-4776e4c9fbd2</vt:lpwstr>
  </property>
  <property fmtid="{D5CDD505-2E9C-101B-9397-08002B2CF9AE}" pid="8" name="MSIP_Label_706e186d-8807-44bb-beec-30ed51960fb6_ContentBits">
    <vt:lpwstr>2</vt:lpwstr>
  </property>
  <property fmtid="{D5CDD505-2E9C-101B-9397-08002B2CF9AE}" pid="9" name="MSIP_Label_706e186d-8807-44bb-beec-30ed51960fb6_Tag">
    <vt:lpwstr>10, 0, 1, 1</vt:lpwstr>
  </property>
</Properties>
</file>